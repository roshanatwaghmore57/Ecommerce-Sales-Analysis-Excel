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2d76ccfc73d6b89e/Desktop/Data Science-502/Advanced Excel/"/>
    </mc:Choice>
  </mc:AlternateContent>
  <xr:revisionPtr revIDLastSave="3766" documentId="8_{ED261C87-E96C-4206-9FD0-60190A4FDC6A}" xr6:coauthVersionLast="47" xr6:coauthVersionMax="47" xr10:uidLastSave="{11A790AE-792D-4D96-95D5-DD4DFA647336}"/>
  <bookViews>
    <workbookView xWindow="-110" yWindow="-110" windowWidth="19420" windowHeight="10300" xr2:uid="{5E0AC343-432F-48E4-85F5-1157A9989A74}"/>
  </bookViews>
  <sheets>
    <sheet name="Dashboard" sheetId="9" r:id="rId1"/>
    <sheet name="Report" sheetId="14" r:id="rId2"/>
    <sheet name="KPIs" sheetId="8" r:id="rId3"/>
    <sheet name="Month wise sales" sheetId="5" r:id="rId4"/>
    <sheet name="Category sales" sheetId="6" r:id="rId5"/>
    <sheet name="Saleschan(Sales)" sheetId="7" r:id="rId6"/>
    <sheet name="Payment method" sheetId="11" r:id="rId7"/>
    <sheet name="Regionwise" sheetId="12" r:id="rId8"/>
    <sheet name="Sales_Transactions_Raw" sheetId="3" r:id="rId9"/>
    <sheet name="Sheet2" sheetId="2" r:id="rId10"/>
    <sheet name="Sheet1" sheetId="1" r:id="rId11"/>
  </sheets>
  <definedNames>
    <definedName name="ExternalData_1" localSheetId="8" hidden="1">Sales_Transactions_Raw!$A$1:$AL$1001</definedName>
    <definedName name="Slicer_Category">#N/A</definedName>
    <definedName name="Slicer_Customer_Segment">#N/A</definedName>
    <definedName name="Slicer_Order_Status">#N/A</definedName>
    <definedName name="Slicer_Region">#N/A</definedName>
    <definedName name="Slicer_Years__Shipping_Dat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G4" i="8"/>
  <c r="H3" i="2"/>
  <c r="I4" i="2" s="1"/>
  <c r="F3" i="2"/>
  <c r="H5" i="1"/>
  <c r="G7" i="2"/>
  <c r="F4" i="2" l="1"/>
  <c r="F5"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6C04E4-32A4-4231-BA79-7BF400E76087}" keepAlive="1" name="Query - Sales_Transactions_Raw" description="Connection to the 'Sales_Transactions_Raw' query in the workbook." type="5" refreshedVersion="8" background="1" saveData="1">
    <dbPr connection="Provider=Microsoft.Mashup.OleDb.1;Data Source=$Workbook$;Location=Sales_Transactions_Raw;Extended Properties=&quot;&quot;" command="SELECT * FROM [Sales_Transactions_Raw]"/>
  </connection>
</connections>
</file>

<file path=xl/sharedStrings.xml><?xml version="1.0" encoding="utf-8"?>
<sst xmlns="http://schemas.openxmlformats.org/spreadsheetml/2006/main" count="24112" uniqueCount="3797">
  <si>
    <t>ETL</t>
  </si>
  <si>
    <t>extract</t>
  </si>
  <si>
    <t>transform</t>
  </si>
  <si>
    <t>load</t>
  </si>
  <si>
    <t>data cleaning</t>
  </si>
  <si>
    <t>power query</t>
  </si>
  <si>
    <t>raw data(we can get data from different sources)</t>
  </si>
  <si>
    <t>ready to analize,ready visualize</t>
  </si>
  <si>
    <t>Order_ID</t>
  </si>
  <si>
    <t>Customer_Name</t>
  </si>
  <si>
    <t>Customer_Segment</t>
  </si>
  <si>
    <t>Product_Name</t>
  </si>
  <si>
    <t>Brand</t>
  </si>
  <si>
    <t>Category</t>
  </si>
  <si>
    <t>Sub_Category</t>
  </si>
  <si>
    <t>Unit_Price</t>
  </si>
  <si>
    <t>Quantity</t>
  </si>
  <si>
    <t>Discount_Pct</t>
  </si>
  <si>
    <t>Discount_Amt</t>
  </si>
  <si>
    <t>Subtotal</t>
  </si>
  <si>
    <t>Tax_Pct</t>
  </si>
  <si>
    <t>Tax_Amt</t>
  </si>
  <si>
    <t>Shipping_Charge</t>
  </si>
  <si>
    <t>new total amt</t>
  </si>
  <si>
    <t>Payment_Method</t>
  </si>
  <si>
    <t>Shipping_Method</t>
  </si>
  <si>
    <t>Order_Status</t>
  </si>
  <si>
    <t>Sales_Channel</t>
  </si>
  <si>
    <t>Sales_Rep</t>
  </si>
  <si>
    <t>Sales_Rep_Region</t>
  </si>
  <si>
    <t>City</t>
  </si>
  <si>
    <t>State</t>
  </si>
  <si>
    <t>Region</t>
  </si>
  <si>
    <t>Pincode</t>
  </si>
  <si>
    <t>Coupon_Code</t>
  </si>
  <si>
    <t>Customer_Rating</t>
  </si>
  <si>
    <t>Return_Flag</t>
  </si>
  <si>
    <t>Return_Reason</t>
  </si>
  <si>
    <t>Warehouse_ID</t>
  </si>
  <si>
    <t>Delivery_Partner</t>
  </si>
  <si>
    <t>ORD-2023006</t>
  </si>
  <si>
    <t>Zubair Khan</t>
  </si>
  <si>
    <t>9654235116</t>
  </si>
  <si>
    <t>Retail</t>
  </si>
  <si>
    <t>Hp Laserjet 1020</t>
  </si>
  <si>
    <t>Hp</t>
  </si>
  <si>
    <t>Electronics</t>
  </si>
  <si>
    <t>Printers</t>
  </si>
  <si>
    <t>Debit Card</t>
  </si>
  <si>
    <t>Express</t>
  </si>
  <si>
    <t>Partner</t>
  </si>
  <si>
    <t>Suraj Verma</t>
  </si>
  <si>
    <t>East</t>
  </si>
  <si>
    <t>Udaipur</t>
  </si>
  <si>
    <t>Rajasthan</t>
  </si>
  <si>
    <t>489202</t>
  </si>
  <si>
    <t>No</t>
  </si>
  <si>
    <t>WH-12</t>
  </si>
  <si>
    <t>Delhivery</t>
  </si>
  <si>
    <t>ORD-2023198</t>
  </si>
  <si>
    <t>Archana Srivastava</t>
  </si>
  <si>
    <t>7030564139</t>
  </si>
  <si>
    <t>Hp Pavilion 15</t>
  </si>
  <si>
    <t>Laptops</t>
  </si>
  <si>
    <t>Emi</t>
  </si>
  <si>
    <t>Standard</t>
  </si>
  <si>
    <t>Shipped</t>
  </si>
  <si>
    <t>Vinay Joshi</t>
  </si>
  <si>
    <t>Central</t>
  </si>
  <si>
    <t>Jodhpur</t>
  </si>
  <si>
    <t>North</t>
  </si>
  <si>
    <t>489581</t>
  </si>
  <si>
    <t>WH-03</t>
  </si>
  <si>
    <t>ORD-2023014</t>
  </si>
  <si>
    <t>Mohan Tiwari</t>
  </si>
  <si>
    <t>9814893252</t>
  </si>
  <si>
    <t>Sony Bravia 55-Inch</t>
  </si>
  <si>
    <t>Sony</t>
  </si>
  <si>
    <t>Televisions</t>
  </si>
  <si>
    <t>Credit Card</t>
  </si>
  <si>
    <t>Priya Sinha</t>
  </si>
  <si>
    <t>West</t>
  </si>
  <si>
    <t>Jharkhand</t>
  </si>
  <si>
    <t>182575</t>
  </si>
  <si>
    <t>WH-09</t>
  </si>
  <si>
    <t>Ekart</t>
  </si>
  <si>
    <t>ORD-2023124</t>
  </si>
  <si>
    <t>Venkatesan Rajan</t>
  </si>
  <si>
    <t>8310518347</t>
  </si>
  <si>
    <t>Wholesale</t>
  </si>
  <si>
    <t>Samsung 65-Inch Qled</t>
  </si>
  <si>
    <t>Samsung</t>
  </si>
  <si>
    <t>Upi</t>
  </si>
  <si>
    <t>Economy</t>
  </si>
  <si>
    <t>Deepa Menon</t>
  </si>
  <si>
    <t>South</t>
  </si>
  <si>
    <t>Bengaluru</t>
  </si>
  <si>
    <t>Karnataka</t>
  </si>
  <si>
    <t>166803</t>
  </si>
  <si>
    <t>WH-11</t>
  </si>
  <si>
    <t>ORD-2023090</t>
  </si>
  <si>
    <t>Anita Bhatt</t>
  </si>
  <si>
    <t>6602606474</t>
  </si>
  <si>
    <t>Nikon D3500</t>
  </si>
  <si>
    <t>Nikon</t>
  </si>
  <si>
    <t>Cameras</t>
  </si>
  <si>
    <t>Wallet</t>
  </si>
  <si>
    <t>Overnight</t>
  </si>
  <si>
    <t>Online</t>
  </si>
  <si>
    <t>Punjab</t>
  </si>
  <si>
    <t>162579</t>
  </si>
  <si>
    <t>Amazon Logistics</t>
  </si>
  <si>
    <t>ORD-2023019</t>
  </si>
  <si>
    <t>Paramjit Brar</t>
  </si>
  <si>
    <t>7079911838</t>
  </si>
  <si>
    <t>Delivered</t>
  </si>
  <si>
    <t>Raj Kumar</t>
  </si>
  <si>
    <t>Kanpur</t>
  </si>
  <si>
    <t>Uttar Pradesh</t>
  </si>
  <si>
    <t>691543</t>
  </si>
  <si>
    <t>ORD-2023073</t>
  </si>
  <si>
    <t>8680112805</t>
  </si>
  <si>
    <t>Lenovo Thinkpad E14</t>
  </si>
  <si>
    <t>Lenovo</t>
  </si>
  <si>
    <t>Net Banking</t>
  </si>
  <si>
    <t>Same Day</t>
  </si>
  <si>
    <t>Indore</t>
  </si>
  <si>
    <t>Madhya Pradesh</t>
  </si>
  <si>
    <t>536118</t>
  </si>
  <si>
    <t>ORD-2023048</t>
  </si>
  <si>
    <t>Vishal Chaudhary</t>
  </si>
  <si>
    <t>VIP</t>
  </si>
  <si>
    <t>Bajaj Mixer 750W</t>
  </si>
  <si>
    <t>Bajaj</t>
  </si>
  <si>
    <t>Appliances</t>
  </si>
  <si>
    <t>Kitchen</t>
  </si>
  <si>
    <t>Processing</t>
  </si>
  <si>
    <t>Pune</t>
  </si>
  <si>
    <t>Maharashtra</t>
  </si>
  <si>
    <t>513907</t>
  </si>
  <si>
    <t>WH-04</t>
  </si>
  <si>
    <t>ORD-2023008</t>
  </si>
  <si>
    <t>Arjun Nair</t>
  </si>
  <si>
    <t>6994680443</t>
  </si>
  <si>
    <t>Fastrack Watch</t>
  </si>
  <si>
    <t>Fastrack</t>
  </si>
  <si>
    <t>Fashion</t>
  </si>
  <si>
    <t>Accessories</t>
  </si>
  <si>
    <t>Pending</t>
  </si>
  <si>
    <t>Aman Bhatia</t>
  </si>
  <si>
    <t>Surat</t>
  </si>
  <si>
    <t>Gujarat</t>
  </si>
  <si>
    <t>773687</t>
  </si>
  <si>
    <t>WH-02</t>
  </si>
  <si>
    <t>ORD-2023181</t>
  </si>
  <si>
    <t>Jyoti Narayan</t>
  </si>
  <si>
    <t>7708317278</t>
  </si>
  <si>
    <t>Corporate</t>
  </si>
  <si>
    <t>Canon Eos 200D</t>
  </si>
  <si>
    <t>Canon</t>
  </si>
  <si>
    <t>Cash On Delivery</t>
  </si>
  <si>
    <t>Phone</t>
  </si>
  <si>
    <t>Chandigarh</t>
  </si>
  <si>
    <t>369250</t>
  </si>
  <si>
    <t>WH-05</t>
  </si>
  <si>
    <t>ORD-2023170</t>
  </si>
  <si>
    <t>Prakash Dubey</t>
  </si>
  <si>
    <t>8967054668</t>
  </si>
  <si>
    <t>Kochi</t>
  </si>
  <si>
    <t>Kerala</t>
  </si>
  <si>
    <t>523161</t>
  </si>
  <si>
    <t>ORD-2023045</t>
  </si>
  <si>
    <t>Roshni Modi</t>
  </si>
  <si>
    <t>6092327193</t>
  </si>
  <si>
    <t>Boat Rockerz 450</t>
  </si>
  <si>
    <t>Boat</t>
  </si>
  <si>
    <t>Audio</t>
  </si>
  <si>
    <t>Neha Kulkarni</t>
  </si>
  <si>
    <t>503538</t>
  </si>
  <si>
    <t>Yes</t>
  </si>
  <si>
    <t>Late Delivery</t>
  </si>
  <si>
    <t>ORD-2023074</t>
  </si>
  <si>
    <t>6776945314</t>
  </si>
  <si>
    <t>Classmate Notebook</t>
  </si>
  <si>
    <t>Classmate</t>
  </si>
  <si>
    <t>Stationery</t>
  </si>
  <si>
    <t>Books</t>
  </si>
  <si>
    <t>Raipur</t>
  </si>
  <si>
    <t>Chhattisgarh</t>
  </si>
  <si>
    <t>399689</t>
  </si>
  <si>
    <t>ORD-2023197</t>
  </si>
  <si>
    <t>Chirag Desai</t>
  </si>
  <si>
    <t>6313518233</t>
  </si>
  <si>
    <t>Levi'S 511 Jeans</t>
  </si>
  <si>
    <t>Levi'S</t>
  </si>
  <si>
    <t>Clothing</t>
  </si>
  <si>
    <t>Mobile App</t>
  </si>
  <si>
    <t>Ritu Singh</t>
  </si>
  <si>
    <t>Asansol</t>
  </si>
  <si>
    <t>West Bengal</t>
  </si>
  <si>
    <t>157727</t>
  </si>
  <si>
    <t>ORD-2023177</t>
  </si>
  <si>
    <t>Bhavesh Patel</t>
  </si>
  <si>
    <t>6186999386</t>
  </si>
  <si>
    <t>Noida</t>
  </si>
  <si>
    <t>195132</t>
  </si>
  <si>
    <t>Changed Mind</t>
  </si>
  <si>
    <t>Ramachandran Pillai</t>
  </si>
  <si>
    <t>6994717464</t>
  </si>
  <si>
    <t>Nilkamal Chair</t>
  </si>
  <si>
    <t>Nilkamal</t>
  </si>
  <si>
    <t>Furniture</t>
  </si>
  <si>
    <t>Seating</t>
  </si>
  <si>
    <t>Returned</t>
  </si>
  <si>
    <t>Store</t>
  </si>
  <si>
    <t>Kozhikode</t>
  </si>
  <si>
    <t>392603</t>
  </si>
  <si>
    <t>WH-08</t>
  </si>
  <si>
    <t>ORD-2023087</t>
  </si>
  <si>
    <t>Neha Saxena</t>
  </si>
  <si>
    <t>6876038597</t>
  </si>
  <si>
    <t>Lavie Handbag</t>
  </si>
  <si>
    <t>Lavie</t>
  </si>
  <si>
    <t>Bags</t>
  </si>
  <si>
    <t>Pooja Nair</t>
  </si>
  <si>
    <t>Vijayawada</t>
  </si>
  <si>
    <t>Andhra Pradesh</t>
  </si>
  <si>
    <t>WH-07</t>
  </si>
  <si>
    <t>ORD-2023046</t>
  </si>
  <si>
    <t>6404499727</t>
  </si>
  <si>
    <t>Macbook Air M2</t>
  </si>
  <si>
    <t>Apple</t>
  </si>
  <si>
    <t>Jamshedpur</t>
  </si>
  <si>
    <t>605952</t>
  </si>
  <si>
    <t>ORD-2023184</t>
  </si>
  <si>
    <t>Ravi Shankar</t>
  </si>
  <si>
    <t>8657809134</t>
  </si>
  <si>
    <t>Nagpur</t>
  </si>
  <si>
    <t>503050</t>
  </si>
  <si>
    <t>ORD-2023065</t>
  </si>
  <si>
    <t>Pooja Agarwal</t>
  </si>
  <si>
    <t>7367136959</t>
  </si>
  <si>
    <t>Ankit Sharma</t>
  </si>
  <si>
    <t>Gurugram</t>
  </si>
  <si>
    <t>Haryana</t>
  </si>
  <si>
    <t>410097</t>
  </si>
  <si>
    <t>ORD-2023182</t>
  </si>
  <si>
    <t>Ajay Pandey</t>
  </si>
  <si>
    <t>6474517123</t>
  </si>
  <si>
    <t>Godrej Interio Desk</t>
  </si>
  <si>
    <t>Godrej</t>
  </si>
  <si>
    <t>Desks</t>
  </si>
  <si>
    <t>499519</t>
  </si>
  <si>
    <t>ORD-2023164</t>
  </si>
  <si>
    <t>Preeti Deshpande</t>
  </si>
  <si>
    <t>6617964053</t>
  </si>
  <si>
    <t>586806</t>
  </si>
  <si>
    <t>ORD-2023034</t>
  </si>
  <si>
    <t>Rajeev Pawar</t>
  </si>
  <si>
    <t>9950240268</t>
  </si>
  <si>
    <t>Ghaziabad</t>
  </si>
  <si>
    <t>590293</t>
  </si>
  <si>
    <t>WH-01</t>
  </si>
  <si>
    <t>ORD-2023125</t>
  </si>
  <si>
    <t>Jayesh Vora</t>
  </si>
  <si>
    <t>7673657661</t>
  </si>
  <si>
    <t>Kurl-On King Bed</t>
  </si>
  <si>
    <t>Kurl-On</t>
  </si>
  <si>
    <t>Beds</t>
  </si>
  <si>
    <t>Karim Sheikh</t>
  </si>
  <si>
    <t>693398</t>
  </si>
  <si>
    <t>ORD-2023129</t>
  </si>
  <si>
    <t>Varsha Shinde</t>
  </si>
  <si>
    <t>9094024455</t>
  </si>
  <si>
    <t>Centuary Mattress</t>
  </si>
  <si>
    <t>Centuary</t>
  </si>
  <si>
    <t>Sneha Reddy</t>
  </si>
  <si>
    <t>Jabalpur</t>
  </si>
  <si>
    <t>436776</t>
  </si>
  <si>
    <t>WH-10</t>
  </si>
  <si>
    <t>ORD-2023064</t>
  </si>
  <si>
    <t>Sanjay  Mishra</t>
  </si>
  <si>
    <t>8451076226</t>
  </si>
  <si>
    <t>Tata Tea Premium 1Kg</t>
  </si>
  <si>
    <t>Tata</t>
  </si>
  <si>
    <t>Grocery</t>
  </si>
  <si>
    <t>Beverages</t>
  </si>
  <si>
    <t>Anjali Mehta</t>
  </si>
  <si>
    <t>Gaya</t>
  </si>
  <si>
    <t>Bihar</t>
  </si>
  <si>
    <t>781238</t>
  </si>
  <si>
    <t>ORD-2023069</t>
  </si>
  <si>
    <t>Hussain Ali</t>
  </si>
  <si>
    <t>6432921277</t>
  </si>
  <si>
    <t>Adidas Ultraboost 22</t>
  </si>
  <si>
    <t>Adidas</t>
  </si>
  <si>
    <t>Footwear</t>
  </si>
  <si>
    <t>Arjun Das</t>
  </si>
  <si>
    <t>Vadodara</t>
  </si>
  <si>
    <t>730149</t>
  </si>
  <si>
    <t>ORD-2023036</t>
  </si>
  <si>
    <t>Kavita Reddy</t>
  </si>
  <si>
    <t>7037788925</t>
  </si>
  <si>
    <t>Voltas 1.5T Ac</t>
  </si>
  <si>
    <t>Voltas</t>
  </si>
  <si>
    <t>Air Conditioners</t>
  </si>
  <si>
    <t>Mangaluru</t>
  </si>
  <si>
    <t>798458</t>
  </si>
  <si>
    <t>ORD-2023117</t>
  </si>
  <si>
    <t>8214188805</t>
  </si>
  <si>
    <t>Pepperfry Coffee Table</t>
  </si>
  <si>
    <t>Pepperfry</t>
  </si>
  <si>
    <t>Tables</t>
  </si>
  <si>
    <t>750256</t>
  </si>
  <si>
    <t>ORD-2023108</t>
  </si>
  <si>
    <t>Kunal Oberoi</t>
  </si>
  <si>
    <t>9478261375</t>
  </si>
  <si>
    <t>Sony Wh-1000Xm5</t>
  </si>
  <si>
    <t>Salem</t>
  </si>
  <si>
    <t>Tamil Nadu</t>
  </si>
  <si>
    <t>150164</t>
  </si>
  <si>
    <t>ORD-2023210</t>
  </si>
  <si>
    <t>8893246095</t>
  </si>
  <si>
    <t>Nike Air Max 270</t>
  </si>
  <si>
    <t>Nike</t>
  </si>
  <si>
    <t>155650</t>
  </si>
  <si>
    <t>WH-06</t>
  </si>
  <si>
    <t>Arun  Das</t>
  </si>
  <si>
    <t>7486874034</t>
  </si>
  <si>
    <t>Godrej 236L Fridge</t>
  </si>
  <si>
    <t>Refrigerators</t>
  </si>
  <si>
    <t>631692</t>
  </si>
  <si>
    <t>ORD-2023140</t>
  </si>
  <si>
    <t>Vijay Pillai</t>
  </si>
  <si>
    <t>9582029702</t>
  </si>
  <si>
    <t>Milton Water Purifier</t>
  </si>
  <si>
    <t>Milton</t>
  </si>
  <si>
    <t>494775</t>
  </si>
  <si>
    <t>ORD-2023039</t>
  </si>
  <si>
    <t>9884422583</t>
  </si>
  <si>
    <t>Thrissur</t>
  </si>
  <si>
    <t>527501</t>
  </si>
  <si>
    <t>ORD-2023138</t>
  </si>
  <si>
    <t>Bhavani Shankar</t>
  </si>
  <si>
    <t>9414384249</t>
  </si>
  <si>
    <t>Dell Xps 15 Laptop</t>
  </si>
  <si>
    <t>Dell</t>
  </si>
  <si>
    <t>157671</t>
  </si>
  <si>
    <t>ORD-2023141</t>
  </si>
  <si>
    <t>6588153714</t>
  </si>
  <si>
    <t>Durian Sofa 3-Seat</t>
  </si>
  <si>
    <t>Durian</t>
  </si>
  <si>
    <t>Sofas</t>
  </si>
  <si>
    <t>277083</t>
  </si>
  <si>
    <t>ORD-2023163</t>
  </si>
  <si>
    <t>Amit Kumar</t>
  </si>
  <si>
    <t>7835841687</t>
  </si>
  <si>
    <t>Warangal</t>
  </si>
  <si>
    <t>Telangana</t>
  </si>
  <si>
    <t>530885</t>
  </si>
  <si>
    <t>ORD-2023158</t>
  </si>
  <si>
    <t>8974993097</t>
  </si>
  <si>
    <t>Agra</t>
  </si>
  <si>
    <t>543021</t>
  </si>
  <si>
    <t>ORD-2023226</t>
  </si>
  <si>
    <t>Yeswanth Reddy</t>
  </si>
  <si>
    <t>7344375758</t>
  </si>
  <si>
    <t>Realme Gt 5</t>
  </si>
  <si>
    <t>Realme</t>
  </si>
  <si>
    <t>Mobile Phones</t>
  </si>
  <si>
    <t>Rajkot</t>
  </si>
  <si>
    <t>573865</t>
  </si>
  <si>
    <t>ORD-2023176</t>
  </si>
  <si>
    <t>Harish Malhotra</t>
  </si>
  <si>
    <t>8454019380</t>
  </si>
  <si>
    <t>Titan Raga</t>
  </si>
  <si>
    <t>Titan</t>
  </si>
  <si>
    <t>422887</t>
  </si>
  <si>
    <t>ORD-2023156</t>
  </si>
  <si>
    <t>Kannappan Ponnusamy</t>
  </si>
  <si>
    <t>6612275304</t>
  </si>
  <si>
    <t>Howrah</t>
  </si>
  <si>
    <t>535111</t>
  </si>
  <si>
    <t>ORD-2023204</t>
  </si>
  <si>
    <t>9839822587</t>
  </si>
  <si>
    <t>433140</t>
  </si>
  <si>
    <t>Chandra Sekar</t>
  </si>
  <si>
    <t>9251286823</t>
  </si>
  <si>
    <t>228327</t>
  </si>
  <si>
    <t>ORD-2023047</t>
  </si>
  <si>
    <t>6836440892</t>
  </si>
  <si>
    <t>Jbl Flip 6</t>
  </si>
  <si>
    <t>Jbl</t>
  </si>
  <si>
    <t>Delhi</t>
  </si>
  <si>
    <t>362674</t>
  </si>
  <si>
    <t>ORD-2023162</t>
  </si>
  <si>
    <t>8540331739</t>
  </si>
  <si>
    <t>Visakhapatnam</t>
  </si>
  <si>
    <t>602297</t>
  </si>
  <si>
    <t>ORD-2023150</t>
  </si>
  <si>
    <t>Meena Iyer</t>
  </si>
  <si>
    <t>9228728080</t>
  </si>
  <si>
    <t>Wildcraft Backpack</t>
  </si>
  <si>
    <t>Wildcraft</t>
  </si>
  <si>
    <t>756468</t>
  </si>
  <si>
    <t>6793341016</t>
  </si>
  <si>
    <t>Iphone 15 Pro</t>
  </si>
  <si>
    <t>154619</t>
  </si>
  <si>
    <t>ORD-2023118</t>
  </si>
  <si>
    <t>Jayalakshmi Kumar</t>
  </si>
  <si>
    <t>6850163159</t>
  </si>
  <si>
    <t>Ahmedabad</t>
  </si>
  <si>
    <t>758666</t>
  </si>
  <si>
    <t>ORD-2023145</t>
  </si>
  <si>
    <t>Uma Shankar</t>
  </si>
  <si>
    <t>8046618398</t>
  </si>
  <si>
    <t>765396</t>
  </si>
  <si>
    <t>ORD-2023126</t>
  </si>
  <si>
    <t>Rahul Sharma</t>
  </si>
  <si>
    <t>8646519398</t>
  </si>
  <si>
    <t>Prestige Induction</t>
  </si>
  <si>
    <t>Prestige</t>
  </si>
  <si>
    <t>Coimbatore</t>
  </si>
  <si>
    <t>633558</t>
  </si>
  <si>
    <t>ORD-2023233</t>
  </si>
  <si>
    <t>8561014388</t>
  </si>
  <si>
    <t>Daikin 1.5T Inverter</t>
  </si>
  <si>
    <t>Daikin</t>
  </si>
  <si>
    <t>258558</t>
  </si>
  <si>
    <t>ORD-2023174</t>
  </si>
  <si>
    <t>Girish More</t>
  </si>
  <si>
    <t>8609379660</t>
  </si>
  <si>
    <t>Puma Softride</t>
  </si>
  <si>
    <t>Puma</t>
  </si>
  <si>
    <t>663350</t>
  </si>
  <si>
    <t>ORD-2023202</t>
  </si>
  <si>
    <t>6828274225</t>
  </si>
  <si>
    <t>Madurai</t>
  </si>
  <si>
    <t>575413</t>
  </si>
  <si>
    <t>ORD-2023109</t>
  </si>
  <si>
    <t>7745171339</t>
  </si>
  <si>
    <t>Oneplus 12</t>
  </si>
  <si>
    <t>Oneplus</t>
  </si>
  <si>
    <t>Mysuru</t>
  </si>
  <si>
    <t>416850</t>
  </si>
  <si>
    <t>India Post</t>
  </si>
  <si>
    <t>ORD-2023227</t>
  </si>
  <si>
    <t>Suresh Gupta</t>
  </si>
  <si>
    <t>9577590175</t>
  </si>
  <si>
    <t>Lg 43-Inch 4K Tv</t>
  </si>
  <si>
    <t>Lg</t>
  </si>
  <si>
    <t>160761</t>
  </si>
  <si>
    <t>ORD-2023086</t>
  </si>
  <si>
    <t>Sanjay Mishra</t>
  </si>
  <si>
    <t>90371 29387</t>
  </si>
  <si>
    <t>423792</t>
  </si>
  <si>
    <t>ORD-2023191</t>
  </si>
  <si>
    <t>Anand Swaminathan</t>
  </si>
  <si>
    <t>8389994043</t>
  </si>
  <si>
    <t>488639</t>
  </si>
  <si>
    <t>ORD-2023196</t>
  </si>
  <si>
    <t>Parvati Devi</t>
  </si>
  <si>
    <t>885691463</t>
  </si>
  <si>
    <t>473547</t>
  </si>
  <si>
    <t>ORD-2023249</t>
  </si>
  <si>
    <t>8000307562</t>
  </si>
  <si>
    <t>Camlin Art Kit</t>
  </si>
  <si>
    <t>Camlin</t>
  </si>
  <si>
    <t>Art Supplies</t>
  </si>
  <si>
    <t>Faridabad</t>
  </si>
  <si>
    <t>500918</t>
  </si>
  <si>
    <t>ORD-2023070</t>
  </si>
  <si>
    <t>Hina Shah</t>
  </si>
  <si>
    <t>9038505064</t>
  </si>
  <si>
    <t>Thiruvananthapuram</t>
  </si>
  <si>
    <t>500587</t>
  </si>
  <si>
    <t>Wrong Item</t>
  </si>
  <si>
    <t>ORD-2023160</t>
  </si>
  <si>
    <t>Nisha Jain</t>
  </si>
  <si>
    <t>9747411249</t>
  </si>
  <si>
    <t>Bhubaneswar</t>
  </si>
  <si>
    <t>Odisha</t>
  </si>
  <si>
    <t>584168</t>
  </si>
  <si>
    <t>ORD-2023096</t>
  </si>
  <si>
    <t>Lalita Shah</t>
  </si>
  <si>
    <t>8029667066</t>
  </si>
  <si>
    <t>Nashik</t>
  </si>
  <si>
    <t>201983</t>
  </si>
  <si>
    <t>ORD-2023223</t>
  </si>
  <si>
    <t>7133480396</t>
  </si>
  <si>
    <t>Samsung Galaxy S24</t>
  </si>
  <si>
    <t>Hyderabad</t>
  </si>
  <si>
    <t>259006</t>
  </si>
  <si>
    <t>ORD-2023189</t>
  </si>
  <si>
    <t>8515691545</t>
  </si>
  <si>
    <t>Whirlpool 7Kg Washer</t>
  </si>
  <si>
    <t>Whirlpool</t>
  </si>
  <si>
    <t>Washing Machines</t>
  </si>
  <si>
    <t>727559</t>
  </si>
  <si>
    <t>ORD-2023250</t>
  </si>
  <si>
    <t>6331541006</t>
  </si>
  <si>
    <t>280558</t>
  </si>
  <si>
    <t>ORD-2023091</t>
  </si>
  <si>
    <t>6444310698</t>
  </si>
  <si>
    <t>Samsung 253L Fridge</t>
  </si>
  <si>
    <t>Lucknow</t>
  </si>
  <si>
    <t>231120</t>
  </si>
  <si>
    <t>ORD-2023133</t>
  </si>
  <si>
    <t>Rekha Menon</t>
  </si>
  <si>
    <t>9686879374</t>
  </si>
  <si>
    <t>Durgapur</t>
  </si>
  <si>
    <t>285285</t>
  </si>
  <si>
    <t>ORD-2023241</t>
  </si>
  <si>
    <t>Kruti Bhatt</t>
  </si>
  <si>
    <t>61485 64679</t>
  </si>
  <si>
    <t>Ranchi</t>
  </si>
  <si>
    <t>ORD-2023246</t>
  </si>
  <si>
    <t>9902330307</t>
  </si>
  <si>
    <t>607636</t>
  </si>
  <si>
    <t>ORD-2023135</t>
  </si>
  <si>
    <t>Aarav Sharma</t>
  </si>
  <si>
    <t>7446657437</t>
  </si>
  <si>
    <t>223356</t>
  </si>
  <si>
    <t>ORD-2023136</t>
  </si>
  <si>
    <t>Lalitha Devi</t>
  </si>
  <si>
    <t>738758428</t>
  </si>
  <si>
    <t>Parker Pen Set</t>
  </si>
  <si>
    <t>Parker</t>
  </si>
  <si>
    <t>Writing</t>
  </si>
  <si>
    <t>432003</t>
  </si>
  <si>
    <t>ORD-2023101</t>
  </si>
  <si>
    <t>8525007432</t>
  </si>
  <si>
    <t>124761</t>
  </si>
  <si>
    <t>Manoj Tomar</t>
  </si>
  <si>
    <t>9033230982</t>
  </si>
  <si>
    <t>231415</t>
  </si>
  <si>
    <t>ORD-2023252</t>
  </si>
  <si>
    <t>86420 87375</t>
  </si>
  <si>
    <t>352390</t>
  </si>
  <si>
    <t>ORD-2023084</t>
  </si>
  <si>
    <t>6676212021</t>
  </si>
  <si>
    <t>616546</t>
  </si>
  <si>
    <t>ORD-2023242</t>
  </si>
  <si>
    <t>Saurabh Kulkarni</t>
  </si>
  <si>
    <t xml:space="preserve"> 7877217535</t>
  </si>
  <si>
    <t>631534</t>
  </si>
  <si>
    <t>ORD-2023218</t>
  </si>
  <si>
    <t>727414</t>
  </si>
  <si>
    <t>ORD-2023206</t>
  </si>
  <si>
    <t>Farhan Khan</t>
  </si>
  <si>
    <t>7472269848</t>
  </si>
  <si>
    <t>Mumbai</t>
  </si>
  <si>
    <t>638371</t>
  </si>
  <si>
    <t>ORD-2023168</t>
  </si>
  <si>
    <t>Meenakshi Sundaram</t>
  </si>
  <si>
    <t>8057198386</t>
  </si>
  <si>
    <t>Cuttack</t>
  </si>
  <si>
    <t>373551</t>
  </si>
  <si>
    <t>ORD-2023259</t>
  </si>
  <si>
    <t>Thiruvengadam Natarajan</t>
  </si>
  <si>
    <t>7909479851</t>
  </si>
  <si>
    <t>417836</t>
  </si>
  <si>
    <t>ORD-2023272</t>
  </si>
  <si>
    <t>9435811288</t>
  </si>
  <si>
    <t>185624</t>
  </si>
  <si>
    <t>ORD-2023103</t>
  </si>
  <si>
    <t>9144914766</t>
  </si>
  <si>
    <t>789415</t>
  </si>
  <si>
    <t>ORD-2023113</t>
  </si>
  <si>
    <t>6781414139</t>
  </si>
  <si>
    <t>269798</t>
  </si>
  <si>
    <t>ORD-2023146</t>
  </si>
  <si>
    <t>7809969308</t>
  </si>
  <si>
    <t>526060</t>
  </si>
  <si>
    <t>ORD-2023277</t>
  </si>
  <si>
    <t>6184498926</t>
  </si>
  <si>
    <t>ORD-2023216</t>
  </si>
  <si>
    <t>9092024286</t>
  </si>
  <si>
    <t>Jaipur</t>
  </si>
  <si>
    <t>720949</t>
  </si>
  <si>
    <t>ORD-2023128</t>
  </si>
  <si>
    <t>Venugopal Krishnan</t>
  </si>
  <si>
    <t>6980686508</t>
  </si>
  <si>
    <t>353808</t>
  </si>
  <si>
    <t>ORD-2023152</t>
  </si>
  <si>
    <t>7887258874</t>
  </si>
  <si>
    <t>464878</t>
  </si>
  <si>
    <t>ORD-2023187</t>
  </si>
  <si>
    <t>Janaki Ramanathan</t>
  </si>
  <si>
    <t>9430988392</t>
  </si>
  <si>
    <t>204546</t>
  </si>
  <si>
    <t>ORD-2023178</t>
  </si>
  <si>
    <t>6577907141</t>
  </si>
  <si>
    <t>468606</t>
  </si>
  <si>
    <t>ORD-2023236</t>
  </si>
  <si>
    <t>6957947284</t>
  </si>
  <si>
    <t>653378</t>
  </si>
  <si>
    <t>ORD-2023188</t>
  </si>
  <si>
    <t>6866322702</t>
  </si>
  <si>
    <t>Chennai</t>
  </si>
  <si>
    <t>172953</t>
  </si>
  <si>
    <t>ORD-2023207</t>
  </si>
  <si>
    <t>6947225699</t>
  </si>
  <si>
    <t>490806</t>
  </si>
  <si>
    <t>ORD-2023098</t>
  </si>
  <si>
    <t>Kiran Rao</t>
  </si>
  <si>
    <t>7282005577</t>
  </si>
  <si>
    <t>474033</t>
  </si>
  <si>
    <t>ORD-2023199</t>
  </si>
  <si>
    <t>Usha Chopra</t>
  </si>
  <si>
    <t>7266341638</t>
  </si>
  <si>
    <t>Hubballi</t>
  </si>
  <si>
    <t>306912</t>
  </si>
  <si>
    <t>Tarun Bansal</t>
  </si>
  <si>
    <t>8234601367</t>
  </si>
  <si>
    <t>154236</t>
  </si>
  <si>
    <t>ORD-2023172</t>
  </si>
  <si>
    <t>Sushma Yadav</t>
  </si>
  <si>
    <t>8500528127</t>
  </si>
  <si>
    <t>568753</t>
  </si>
  <si>
    <t>ORD-2023144</t>
  </si>
  <si>
    <t>6638782945</t>
  </si>
  <si>
    <t>517476</t>
  </si>
  <si>
    <t>ORD-2023110</t>
  </si>
  <si>
    <t>Sunil Jadhav</t>
  </si>
  <si>
    <t>8113863383</t>
  </si>
  <si>
    <t>Patna</t>
  </si>
  <si>
    <t>639209</t>
  </si>
  <si>
    <t>ORD-2023179</t>
  </si>
  <si>
    <t>804335048</t>
  </si>
  <si>
    <t>Lg 8Kg Front Load</t>
  </si>
  <si>
    <t>190952</t>
  </si>
  <si>
    <t>ORD-2023279</t>
  </si>
  <si>
    <t>9583206799</t>
  </si>
  <si>
    <t>246709</t>
  </si>
  <si>
    <t>ORD-2023267</t>
  </si>
  <si>
    <t>9927033521</t>
  </si>
  <si>
    <t>674140</t>
  </si>
  <si>
    <t>ORD-2023225</t>
  </si>
  <si>
    <t>6815798123</t>
  </si>
  <si>
    <t>635601</t>
  </si>
  <si>
    <t>ORD-2023245</t>
  </si>
  <si>
    <t>Seema  Kapoor</t>
  </si>
  <si>
    <t>9248262925</t>
  </si>
  <si>
    <t>777783</t>
  </si>
  <si>
    <t>ORD-2023151</t>
  </si>
  <si>
    <t>Sunita Verma</t>
  </si>
  <si>
    <t>6333127975</t>
  </si>
  <si>
    <t>150383</t>
  </si>
  <si>
    <t>ORD-2023167</t>
  </si>
  <si>
    <t>9129826657</t>
  </si>
  <si>
    <t>229711</t>
  </si>
  <si>
    <t>ORD-2023292</t>
  </si>
  <si>
    <t>8077780973</t>
  </si>
  <si>
    <t>265458</t>
  </si>
  <si>
    <t>ORD-2023254</t>
  </si>
  <si>
    <t>Fathima Begum</t>
  </si>
  <si>
    <t>8147214586</t>
  </si>
  <si>
    <t>748420</t>
  </si>
  <si>
    <t>ORD-2023265</t>
  </si>
  <si>
    <t>7144885015</t>
  </si>
  <si>
    <t>272935</t>
  </si>
  <si>
    <t>ORD-2023214</t>
  </si>
  <si>
    <t>7504617357</t>
  </si>
  <si>
    <t>616958</t>
  </si>
  <si>
    <t>ORD-2023306</t>
  </si>
  <si>
    <t>7533448571</t>
  </si>
  <si>
    <t>Peter England Suit</t>
  </si>
  <si>
    <t>Peter England</t>
  </si>
  <si>
    <t>366718</t>
  </si>
  <si>
    <t>ORD-2023123</t>
  </si>
  <si>
    <t>7717477332</t>
  </si>
  <si>
    <t>289099</t>
  </si>
  <si>
    <t>ORD-2023215</t>
  </si>
  <si>
    <t>6971997581</t>
  </si>
  <si>
    <t>718980</t>
  </si>
  <si>
    <t>ORD-2023282</t>
  </si>
  <si>
    <t>6008514036</t>
  </si>
  <si>
    <t>412484</t>
  </si>
  <si>
    <t>ORD-2023298</t>
  </si>
  <si>
    <t>Harpreet Singh</t>
  </si>
  <si>
    <t>9689500975</t>
  </si>
  <si>
    <t>367144</t>
  </si>
  <si>
    <t>ORD-2023290</t>
  </si>
  <si>
    <t>9049047128</t>
  </si>
  <si>
    <t>293920</t>
  </si>
  <si>
    <t>ORD-2023251</t>
  </si>
  <si>
    <t>Rohit Singh</t>
  </si>
  <si>
    <t>7366742860</t>
  </si>
  <si>
    <t>395832</t>
  </si>
  <si>
    <t>ORD-2023266</t>
  </si>
  <si>
    <t>Vikram Mehta</t>
  </si>
  <si>
    <t>8939111926</t>
  </si>
  <si>
    <t>449114</t>
  </si>
  <si>
    <t>ORD-2023217</t>
  </si>
  <si>
    <t>6072006425</t>
  </si>
  <si>
    <t>south</t>
  </si>
  <si>
    <t>615484</t>
  </si>
  <si>
    <t>ORD-2023293</t>
  </si>
  <si>
    <t>Dinesh Thakur</t>
  </si>
  <si>
    <t>9320309376</t>
  </si>
  <si>
    <t>331961</t>
  </si>
  <si>
    <t>ORD-2023257</t>
  </si>
  <si>
    <t>8931365651</t>
  </si>
  <si>
    <t>Amul Butter 500G</t>
  </si>
  <si>
    <t>Amul</t>
  </si>
  <si>
    <t>Dairy</t>
  </si>
  <si>
    <t>365480</t>
  </si>
  <si>
    <t>ORD-2023320</t>
  </si>
  <si>
    <t>9914560833</t>
  </si>
  <si>
    <t>266466</t>
  </si>
  <si>
    <t>ORD-2023287</t>
  </si>
  <si>
    <t>6531363631</t>
  </si>
  <si>
    <t>Epson L3250</t>
  </si>
  <si>
    <t>Epson</t>
  </si>
  <si>
    <t>462208</t>
  </si>
  <si>
    <t>ORD-2023240</t>
  </si>
  <si>
    <t>Foram Trivedi</t>
  </si>
  <si>
    <t>6356939290</t>
  </si>
  <si>
    <t>Cancelled</t>
  </si>
  <si>
    <t>695617</t>
  </si>
  <si>
    <t>ORD-2023157</t>
  </si>
  <si>
    <t>9804649893</t>
  </si>
  <si>
    <t>789659</t>
  </si>
  <si>
    <t>ORD-2023186</t>
  </si>
  <si>
    <t>8371162411</t>
  </si>
  <si>
    <t>575421</t>
  </si>
  <si>
    <t>ORD-2023185</t>
  </si>
  <si>
    <t>99284 22223</t>
  </si>
  <si>
    <t>280496</t>
  </si>
  <si>
    <t>ORD-2023323</t>
  </si>
  <si>
    <t>Gita Pillai</t>
  </si>
  <si>
    <t>8693751509</t>
  </si>
  <si>
    <t>443194</t>
  </si>
  <si>
    <t>ORD-2023220</t>
  </si>
  <si>
    <t>612347851</t>
  </si>
  <si>
    <t>154285</t>
  </si>
  <si>
    <t>ORD-2023318</t>
  </si>
  <si>
    <t>9796471589</t>
  </si>
  <si>
    <t>413937</t>
  </si>
  <si>
    <t>ORD-2023326</t>
  </si>
  <si>
    <t>Indira Gandhi</t>
  </si>
  <si>
    <t>9132833898</t>
  </si>
  <si>
    <t>468661</t>
  </si>
  <si>
    <t>ORD-2023308</t>
  </si>
  <si>
    <t>9119393250</t>
  </si>
  <si>
    <t>124664</t>
  </si>
  <si>
    <t>ORD-2023325</t>
  </si>
  <si>
    <t>Gopal Menon</t>
  </si>
  <si>
    <t>7801571647</t>
  </si>
  <si>
    <t>Bhopal</t>
  </si>
  <si>
    <t>123407</t>
  </si>
  <si>
    <t>ORD-2023301</t>
  </si>
  <si>
    <t>Obeysekara Fernando</t>
  </si>
  <si>
    <t>6678427114</t>
  </si>
  <si>
    <t>762180</t>
  </si>
  <si>
    <t>ORD-2023260</t>
  </si>
  <si>
    <t>6762467197</t>
  </si>
  <si>
    <t>157311</t>
  </si>
  <si>
    <t>ORD-2023330</t>
  </si>
  <si>
    <t>188980</t>
  </si>
  <si>
    <t>ORD-2023212</t>
  </si>
  <si>
    <t>6208297374</t>
  </si>
  <si>
    <t>177558</t>
  </si>
  <si>
    <t>ORD-2023312</t>
  </si>
  <si>
    <t>Eswaran Murugan</t>
  </si>
  <si>
    <t>9001594165</t>
  </si>
  <si>
    <t>630567</t>
  </si>
  <si>
    <t>ORD-2023222</t>
  </si>
  <si>
    <t>7409003486</t>
  </si>
  <si>
    <t>425505</t>
  </si>
  <si>
    <t>ORD-2023180</t>
  </si>
  <si>
    <t>Mitesh Gandhi</t>
  </si>
  <si>
    <t>249996</t>
  </si>
  <si>
    <t>ORD-2023190</t>
  </si>
  <si>
    <t>7086771333</t>
  </si>
  <si>
    <t>414290</t>
  </si>
  <si>
    <t>ORD-2023316</t>
  </si>
  <si>
    <t>9048964652</t>
  </si>
  <si>
    <t>244083</t>
  </si>
  <si>
    <t>ORD-2023209</t>
  </si>
  <si>
    <t>Geetha Devi</t>
  </si>
  <si>
    <t>8877712151</t>
  </si>
  <si>
    <t>546647</t>
  </si>
  <si>
    <t>ORD-2023149</t>
  </si>
  <si>
    <t>7450189616</t>
  </si>
  <si>
    <t>624689</t>
  </si>
  <si>
    <t>ORD-2023238</t>
  </si>
  <si>
    <t>7147617422</t>
  </si>
  <si>
    <t>375689</t>
  </si>
  <si>
    <t>ORD-2023263</t>
  </si>
  <si>
    <t>6776974995</t>
  </si>
  <si>
    <t>766471</t>
  </si>
  <si>
    <t>ORD-2023183</t>
  </si>
  <si>
    <t>9076789973</t>
  </si>
  <si>
    <t>131818</t>
  </si>
  <si>
    <t>ORD-2023276</t>
  </si>
  <si>
    <t>8433800545</t>
  </si>
  <si>
    <t>158944</t>
  </si>
  <si>
    <t>ORD-2023324</t>
  </si>
  <si>
    <t>9125521376</t>
  </si>
  <si>
    <t>552208</t>
  </si>
  <si>
    <t>ORD-2023253</t>
  </si>
  <si>
    <t>Parag Soni</t>
  </si>
  <si>
    <t>8684550489</t>
  </si>
  <si>
    <t>426179</t>
  </si>
  <si>
    <t>ORD-2023339</t>
  </si>
  <si>
    <t>7510174907</t>
  </si>
  <si>
    <t>710589</t>
  </si>
  <si>
    <t>ORD-2023234</t>
  </si>
  <si>
    <t>8776228277</t>
  </si>
  <si>
    <t>225696</t>
  </si>
  <si>
    <t>ORD-2023247</t>
  </si>
  <si>
    <t>9922877725</t>
  </si>
  <si>
    <t>136009</t>
  </si>
  <si>
    <t>ORD-2023317</t>
  </si>
  <si>
    <t>7070562608</t>
  </si>
  <si>
    <t>451093</t>
  </si>
  <si>
    <t>Defective</t>
  </si>
  <si>
    <t>ORD-2023205</t>
  </si>
  <si>
    <t>8496718325</t>
  </si>
  <si>
    <t>615609</t>
  </si>
  <si>
    <t>ORD-2023244</t>
  </si>
  <si>
    <t>8435537950</t>
  </si>
  <si>
    <t>790628</t>
  </si>
  <si>
    <t>ORD-2023327</t>
  </si>
  <si>
    <t>8375047930</t>
  </si>
  <si>
    <t>726736</t>
  </si>
  <si>
    <t>ORD-2023343</t>
  </si>
  <si>
    <t>Seema Kapoor</t>
  </si>
  <si>
    <t>704687506</t>
  </si>
  <si>
    <t>ORD-2023243</t>
  </si>
  <si>
    <t>Naveen Bajaj</t>
  </si>
  <si>
    <t>7049611080</t>
  </si>
  <si>
    <t>216198</t>
  </si>
  <si>
    <t>ORD-2023311</t>
  </si>
  <si>
    <t xml:space="preserve"> 8749545089</t>
  </si>
  <si>
    <t>600107</t>
  </si>
  <si>
    <t>ORD-2023201</t>
  </si>
  <si>
    <t>7950033423</t>
  </si>
  <si>
    <t>226360</t>
  </si>
  <si>
    <t>ORD-2023256</t>
  </si>
  <si>
    <t>Muthukrishnan Arunachalam</t>
  </si>
  <si>
    <t>6304289731</t>
  </si>
  <si>
    <t>616774</t>
  </si>
  <si>
    <t>ORD-2023328</t>
  </si>
  <si>
    <t>66776 65754</t>
  </si>
  <si>
    <t>234349</t>
  </si>
  <si>
    <t>ORD-2023353</t>
  </si>
  <si>
    <t>6987751536</t>
  </si>
  <si>
    <t>549508</t>
  </si>
  <si>
    <t>ORD-2023314</t>
  </si>
  <si>
    <t>9164334817</t>
  </si>
  <si>
    <t>326510</t>
  </si>
  <si>
    <t>ORD-2023335</t>
  </si>
  <si>
    <t>6546926329</t>
  </si>
  <si>
    <t>179987</t>
  </si>
  <si>
    <t>ORD-2023271</t>
  </si>
  <si>
    <t>Chandni Gupta</t>
  </si>
  <si>
    <t>6257771183</t>
  </si>
  <si>
    <t>396526</t>
  </si>
  <si>
    <t>ORD-2023303</t>
  </si>
  <si>
    <t>Divya Krishnan</t>
  </si>
  <si>
    <t>8220681558</t>
  </si>
  <si>
    <t>340788</t>
  </si>
  <si>
    <t>ORD-2023273</t>
  </si>
  <si>
    <t>9768389030</t>
  </si>
  <si>
    <t>Maggi Noodles 12-Pack</t>
  </si>
  <si>
    <t>Nestlé</t>
  </si>
  <si>
    <t>Instant Foods</t>
  </si>
  <si>
    <t>737128</t>
  </si>
  <si>
    <t>ORD-2023333</t>
  </si>
  <si>
    <t>9321298338</t>
  </si>
  <si>
    <t>614545</t>
  </si>
  <si>
    <t>ORD-2023278</t>
  </si>
  <si>
    <t>Balwinder Sandhu</t>
  </si>
  <si>
    <t>6273230085</t>
  </si>
  <si>
    <t>703084</t>
  </si>
  <si>
    <t>ORD-2023352</t>
  </si>
  <si>
    <t>7669183626</t>
  </si>
  <si>
    <t>471123</t>
  </si>
  <si>
    <t>ORD-2023350</t>
  </si>
  <si>
    <t>9346791214</t>
  </si>
  <si>
    <t>153893</t>
  </si>
  <si>
    <t>ORD-2023367</t>
  </si>
  <si>
    <t>88435 79786</t>
  </si>
  <si>
    <t>752350</t>
  </si>
  <si>
    <t>ORD-2023295</t>
  </si>
  <si>
    <t>8211602564</t>
  </si>
  <si>
    <t>713951</t>
  </si>
  <si>
    <t>ORD-2023365</t>
  </si>
  <si>
    <t>6528993160</t>
  </si>
  <si>
    <t>445691</t>
  </si>
  <si>
    <t>ORD-2023337</t>
  </si>
  <si>
    <t>656618443</t>
  </si>
  <si>
    <t>261858</t>
  </si>
  <si>
    <t>ORD-2023269</t>
  </si>
  <si>
    <t>512612</t>
  </si>
  <si>
    <t>ORD-2023203</t>
  </si>
  <si>
    <t>7510293218</t>
  </si>
  <si>
    <t>654676</t>
  </si>
  <si>
    <t>ORD-2023304</t>
  </si>
  <si>
    <t>7671462831</t>
  </si>
  <si>
    <t>137169</t>
  </si>
  <si>
    <t>ORD-2023208</t>
  </si>
  <si>
    <t>6948491025</t>
  </si>
  <si>
    <t>799505</t>
  </si>
  <si>
    <t>ORD-2023366</t>
  </si>
  <si>
    <t>6129014870</t>
  </si>
  <si>
    <t>117645</t>
  </si>
  <si>
    <t>ORD-2023371</t>
  </si>
  <si>
    <t>8447443096</t>
  </si>
  <si>
    <t>422844</t>
  </si>
  <si>
    <t>ORD-2023285</t>
  </si>
  <si>
    <t>72256 05313</t>
  </si>
  <si>
    <t>243625</t>
  </si>
  <si>
    <t>ORD-2023283</t>
  </si>
  <si>
    <t>8436371892</t>
  </si>
  <si>
    <t>163431</t>
  </si>
  <si>
    <t>ORD-2023294</t>
  </si>
  <si>
    <t>Simran Bajwa</t>
  </si>
  <si>
    <t>7554110825</t>
  </si>
  <si>
    <t>Kolkata</t>
  </si>
  <si>
    <t>236201</t>
  </si>
  <si>
    <t>ORD-2023300</t>
  </si>
  <si>
    <t>6942409036</t>
  </si>
  <si>
    <t>338388</t>
  </si>
  <si>
    <t>ORD-2023315</t>
  </si>
  <si>
    <t>7551842694</t>
  </si>
  <si>
    <t>721594</t>
  </si>
  <si>
    <t>ORD-2023348</t>
  </si>
  <si>
    <t xml:space="preserve"> 8404226931</t>
  </si>
  <si>
    <t>124211</t>
  </si>
  <si>
    <t>ORD-2023386</t>
  </si>
  <si>
    <t>9001841862</t>
  </si>
  <si>
    <t>287796</t>
  </si>
  <si>
    <t>ORD-2023281</t>
  </si>
  <si>
    <t>6252677119</t>
  </si>
  <si>
    <t>459664</t>
  </si>
  <si>
    <t>ORD-2023331</t>
  </si>
  <si>
    <t>Gurpreet Kaur</t>
  </si>
  <si>
    <t xml:space="preserve"> 8524728633</t>
  </si>
  <si>
    <t>732777</t>
  </si>
  <si>
    <t>ORD-2023211</t>
  </si>
  <si>
    <t>Priya Patel</t>
  </si>
  <si>
    <t>9849843624</t>
  </si>
  <si>
    <t>601191</t>
  </si>
  <si>
    <t>ORD-2023235</t>
  </si>
  <si>
    <t>Deepak Nair</t>
  </si>
  <si>
    <t>9909700514</t>
  </si>
  <si>
    <t>638041</t>
  </si>
  <si>
    <t>ORD-2023344</t>
  </si>
  <si>
    <t>606339912</t>
  </si>
  <si>
    <t>181473</t>
  </si>
  <si>
    <t>ORD-2023376</t>
  </si>
  <si>
    <t>8903802146</t>
  </si>
  <si>
    <t>Logitech Mx Master 3</t>
  </si>
  <si>
    <t>Logitech</t>
  </si>
  <si>
    <t>223612</t>
  </si>
  <si>
    <t>ORD-2023280</t>
  </si>
  <si>
    <t>Arun Das</t>
  </si>
  <si>
    <t>9644212146</t>
  </si>
  <si>
    <t>282526</t>
  </si>
  <si>
    <t>ORD-2023397</t>
  </si>
  <si>
    <t>8727910336</t>
  </si>
  <si>
    <t>240805</t>
  </si>
  <si>
    <t>ORD-2023288</t>
  </si>
  <si>
    <t>7179817890</t>
  </si>
  <si>
    <t>786185</t>
  </si>
  <si>
    <t>ORD-2023399</t>
  </si>
  <si>
    <t>862626582</t>
  </si>
  <si>
    <t>Van Heusen Shirt</t>
  </si>
  <si>
    <t>Van Heusen</t>
  </si>
  <si>
    <t>ORD-2023358</t>
  </si>
  <si>
    <t>7911791124</t>
  </si>
  <si>
    <t>550305</t>
  </si>
  <si>
    <t>ORD-2023369</t>
  </si>
  <si>
    <t>7312447315</t>
  </si>
  <si>
    <t>726122</t>
  </si>
  <si>
    <t>ORD-2023310</t>
  </si>
  <si>
    <t>7625313552</t>
  </si>
  <si>
    <t>217920</t>
  </si>
  <si>
    <t>ORD-2023374</t>
  </si>
  <si>
    <t>626088050</t>
  </si>
  <si>
    <t>586664</t>
  </si>
  <si>
    <t>ORD-2023299</t>
  </si>
  <si>
    <t>7964229712</t>
  </si>
  <si>
    <t>447549</t>
  </si>
  <si>
    <t>ORD-2023387</t>
  </si>
  <si>
    <t>8812356798</t>
  </si>
  <si>
    <t>593233</t>
  </si>
  <si>
    <t>ORD-2023296</t>
  </si>
  <si>
    <t>9131009431</t>
  </si>
  <si>
    <t>777838</t>
  </si>
  <si>
    <t>8073710094</t>
  </si>
  <si>
    <t>491986</t>
  </si>
  <si>
    <t>ORD-2023406</t>
  </si>
  <si>
    <t>7824556964</t>
  </si>
  <si>
    <t>264279</t>
  </si>
  <si>
    <t>ORD-2023351</t>
  </si>
  <si>
    <t>Nagalakshmi Venkatesh</t>
  </si>
  <si>
    <t>6423691430</t>
  </si>
  <si>
    <t>448145</t>
  </si>
  <si>
    <t>ORD-2023261</t>
  </si>
  <si>
    <t xml:space="preserve"> 7943985298</t>
  </si>
  <si>
    <t>222249</t>
  </si>
  <si>
    <t>ORD-2023400</t>
  </si>
  <si>
    <t>6918133170</t>
  </si>
  <si>
    <t>239181</t>
  </si>
  <si>
    <t>ORD-2023255</t>
  </si>
  <si>
    <t>7705277402</t>
  </si>
  <si>
    <t>256842</t>
  </si>
  <si>
    <t>ORD-2023378</t>
  </si>
  <si>
    <t>711652</t>
  </si>
  <si>
    <t>ORD-2023403</t>
  </si>
  <si>
    <t>6978559821</t>
  </si>
  <si>
    <t>413979</t>
  </si>
  <si>
    <t>ORD-2023362</t>
  </si>
  <si>
    <t>9371990516</t>
  </si>
  <si>
    <t>ORD-2023313</t>
  </si>
  <si>
    <t>8900301027</t>
  </si>
  <si>
    <t>325861</t>
  </si>
  <si>
    <t>ORD-2023416</t>
  </si>
  <si>
    <t>Venkatesan  Rajan</t>
  </si>
  <si>
    <t>7037710704</t>
  </si>
  <si>
    <t>562026</t>
  </si>
  <si>
    <t>ORD-2023307</t>
  </si>
  <si>
    <t>9426732044</t>
  </si>
  <si>
    <t>431803</t>
  </si>
  <si>
    <t>ORD-2023332</t>
  </si>
  <si>
    <t>72903 10287</t>
  </si>
  <si>
    <t>476719</t>
  </si>
  <si>
    <t>ORD-2023394</t>
  </si>
  <si>
    <t>9953690261</t>
  </si>
  <si>
    <t>659924</t>
  </si>
  <si>
    <t>ORD-2023305</t>
  </si>
  <si>
    <t>Sangita Ghosh</t>
  </si>
  <si>
    <t>6929445511</t>
  </si>
  <si>
    <t>602685</t>
  </si>
  <si>
    <t>ORD-2023228</t>
  </si>
  <si>
    <t>8764722981</t>
  </si>
  <si>
    <t>467688</t>
  </si>
  <si>
    <t>ORD-2023321</t>
  </si>
  <si>
    <t>81388 20908</t>
  </si>
  <si>
    <t>235767</t>
  </si>
  <si>
    <t>ORD-2023411</t>
  </si>
  <si>
    <t>6329633472</t>
  </si>
  <si>
    <t>328678</t>
  </si>
  <si>
    <t>ORD-2023322</t>
  </si>
  <si>
    <t>8361275156</t>
  </si>
  <si>
    <t>448892</t>
  </si>
  <si>
    <t>ORD-2023334</t>
  </si>
  <si>
    <t>8558108358</t>
  </si>
  <si>
    <t>131002</t>
  </si>
  <si>
    <t>ORD-2023237</t>
  </si>
  <si>
    <t>7963945680</t>
  </si>
  <si>
    <t>669105</t>
  </si>
  <si>
    <t>ORD-2023423</t>
  </si>
  <si>
    <t>7307464520</t>
  </si>
  <si>
    <t>616459</t>
  </si>
  <si>
    <t>ORD-2023408</t>
  </si>
  <si>
    <t>8859592248</t>
  </si>
  <si>
    <t>ORD-2023231</t>
  </si>
  <si>
    <t>7831921342</t>
  </si>
  <si>
    <t>606404</t>
  </si>
  <si>
    <t>ORD-2023388</t>
  </si>
  <si>
    <t>9324268774</t>
  </si>
  <si>
    <t>310262</t>
  </si>
  <si>
    <t>ORD-2023345</t>
  </si>
  <si>
    <t>8727810509</t>
  </si>
  <si>
    <t>313615</t>
  </si>
  <si>
    <t>ORD-2023414</t>
  </si>
  <si>
    <t>9515791971</t>
  </si>
  <si>
    <t>368718</t>
  </si>
  <si>
    <t>ORD-2023425</t>
  </si>
  <si>
    <t>7096289365</t>
  </si>
  <si>
    <t>771771</t>
  </si>
  <si>
    <t>ORD-2023379</t>
  </si>
  <si>
    <t>Abhijeet Sawant</t>
  </si>
  <si>
    <t>9734595764</t>
  </si>
  <si>
    <t>425184</t>
  </si>
  <si>
    <t>ORD-2023381</t>
  </si>
  <si>
    <t>Bhavesh  Patel</t>
  </si>
  <si>
    <t>6850725178</t>
  </si>
  <si>
    <t>406952</t>
  </si>
  <si>
    <t>ORD-2023373</t>
  </si>
  <si>
    <t>9467046226</t>
  </si>
  <si>
    <t>619755</t>
  </si>
  <si>
    <t>ORD-2023346</t>
  </si>
  <si>
    <t>9607401775</t>
  </si>
  <si>
    <t>776877</t>
  </si>
  <si>
    <t>ORD-2023428</t>
  </si>
  <si>
    <t>9546602416</t>
  </si>
  <si>
    <t>398135</t>
  </si>
  <si>
    <t>ORD-2023342</t>
  </si>
  <si>
    <t>7586780555</t>
  </si>
  <si>
    <t>620173</t>
  </si>
  <si>
    <t>ORD-2023433</t>
  </si>
  <si>
    <t>7422686536</t>
  </si>
  <si>
    <t>596450</t>
  </si>
  <si>
    <t>ORD-2023437</t>
  </si>
  <si>
    <t>8968832753</t>
  </si>
  <si>
    <t>295470</t>
  </si>
  <si>
    <t>ORD-2023361</t>
  </si>
  <si>
    <t>9568761124</t>
  </si>
  <si>
    <t>366617</t>
  </si>
  <si>
    <t>ORD-2023359</t>
  </si>
  <si>
    <t>Saraswathi Rao</t>
  </si>
  <si>
    <t>7430394290</t>
  </si>
  <si>
    <t>506340</t>
  </si>
  <si>
    <t>ORD-2023368</t>
  </si>
  <si>
    <t>9061581488</t>
  </si>
  <si>
    <t>152188</t>
  </si>
  <si>
    <t>ORD-2023262</t>
  </si>
  <si>
    <t>7173997046</t>
  </si>
  <si>
    <t>571420</t>
  </si>
  <si>
    <t>ORD-2023377</t>
  </si>
  <si>
    <t>6236229258</t>
  </si>
  <si>
    <t>440665</t>
  </si>
  <si>
    <t>ORD-2023443</t>
  </si>
  <si>
    <t>7257970673</t>
  </si>
  <si>
    <t>543878</t>
  </si>
  <si>
    <t>ORD-2023392</t>
  </si>
  <si>
    <t>72166 67080</t>
  </si>
  <si>
    <t>695411</t>
  </si>
  <si>
    <t>ORD-2023396</t>
  </si>
  <si>
    <t>8960035624</t>
  </si>
  <si>
    <t>265487</t>
  </si>
  <si>
    <t>ORD-2023450</t>
  </si>
  <si>
    <t>9763369112</t>
  </si>
  <si>
    <t>643448</t>
  </si>
  <si>
    <t>ORD-2023354</t>
  </si>
  <si>
    <t>8459626228</t>
  </si>
  <si>
    <t>ORD-2023441</t>
  </si>
  <si>
    <t>8258591779</t>
  </si>
  <si>
    <t>425735</t>
  </si>
  <si>
    <t>ORD-2023401</t>
  </si>
  <si>
    <t>9967379487</t>
  </si>
  <si>
    <t>469007</t>
  </si>
  <si>
    <t>ORD-2023419</t>
  </si>
  <si>
    <t>8892988085</t>
  </si>
  <si>
    <t>749281</t>
  </si>
  <si>
    <t>ORD-2023355</t>
  </si>
  <si>
    <t>8351342619</t>
  </si>
  <si>
    <t>240930</t>
  </si>
  <si>
    <t>ORD-2023417</t>
  </si>
  <si>
    <t>6645101739</t>
  </si>
  <si>
    <t>154147</t>
  </si>
  <si>
    <t>ORD-2023405</t>
  </si>
  <si>
    <t>8146074555</t>
  </si>
  <si>
    <t>475470</t>
  </si>
  <si>
    <t>ORD-2023349</t>
  </si>
  <si>
    <t>6394884882</t>
  </si>
  <si>
    <t>513954</t>
  </si>
  <si>
    <t>ORD-2023270</t>
  </si>
  <si>
    <t>7896964546</t>
  </si>
  <si>
    <t>211315</t>
  </si>
  <si>
    <t>ORD-2023415</t>
  </si>
  <si>
    <t>Ritu Chauhan</t>
  </si>
  <si>
    <t>6940976263</t>
  </si>
  <si>
    <t>749207</t>
  </si>
  <si>
    <t>ORD-2023448</t>
  </si>
  <si>
    <t>6124633515</t>
  </si>
  <si>
    <t>513444</t>
  </si>
  <si>
    <t>ORD-2023421</t>
  </si>
  <si>
    <t>7982173929</t>
  </si>
  <si>
    <t>307489</t>
  </si>
  <si>
    <t>ORD-2023432</t>
  </si>
  <si>
    <t>8474080314</t>
  </si>
  <si>
    <t>659438</t>
  </si>
  <si>
    <t>ORD-2023319</t>
  </si>
  <si>
    <t>7022939469</t>
  </si>
  <si>
    <t>ORD-2023380</t>
  </si>
  <si>
    <t>87328 07711</t>
  </si>
  <si>
    <t>638084</t>
  </si>
  <si>
    <t>ORD-2023412</t>
  </si>
  <si>
    <t>9822850116</t>
  </si>
  <si>
    <t>235454</t>
  </si>
  <si>
    <t>8642076836</t>
  </si>
  <si>
    <t>665679</t>
  </si>
  <si>
    <t>ORD-2023455</t>
  </si>
  <si>
    <t>8692492693</t>
  </si>
  <si>
    <t>178534</t>
  </si>
  <si>
    <t>ORD-2023460</t>
  </si>
  <si>
    <t>6127102676</t>
  </si>
  <si>
    <t>466282</t>
  </si>
  <si>
    <t>ORD-2023347</t>
  </si>
  <si>
    <t>6034476504</t>
  </si>
  <si>
    <t>393413</t>
  </si>
  <si>
    <t>ORD-2023472</t>
  </si>
  <si>
    <t>9005912975</t>
  </si>
  <si>
    <t>193270</t>
  </si>
  <si>
    <t>ORD-2023454</t>
  </si>
  <si>
    <t>7843645380</t>
  </si>
  <si>
    <t>202518</t>
  </si>
  <si>
    <t>ORD-2023341</t>
  </si>
  <si>
    <t>9660256265</t>
  </si>
  <si>
    <t>276007</t>
  </si>
  <si>
    <t>ORD-2023430</t>
  </si>
  <si>
    <t>9845525971</t>
  </si>
  <si>
    <t>715259</t>
  </si>
  <si>
    <t>ORD-2023422</t>
  </si>
  <si>
    <t>6250733055</t>
  </si>
  <si>
    <t>419980</t>
  </si>
  <si>
    <t>ORD-2023340</t>
  </si>
  <si>
    <t>7742925010</t>
  </si>
  <si>
    <t>406652</t>
  </si>
  <si>
    <t>ORD-2023463</t>
  </si>
  <si>
    <t xml:space="preserve"> 9372143308</t>
  </si>
  <si>
    <t>ORD-2023457</t>
  </si>
  <si>
    <t>69453 54614</t>
  </si>
  <si>
    <t>707906</t>
  </si>
  <si>
    <t>ORD-2023431</t>
  </si>
  <si>
    <t>6009004047</t>
  </si>
  <si>
    <t>146693</t>
  </si>
  <si>
    <t>ORD-2023471</t>
  </si>
  <si>
    <t>7901447340</t>
  </si>
  <si>
    <t>159592</t>
  </si>
  <si>
    <t>ORD-2023402</t>
  </si>
  <si>
    <t>8557782058</t>
  </si>
  <si>
    <t>227315</t>
  </si>
  <si>
    <t>ORD-2023284</t>
  </si>
  <si>
    <t>7081721436</t>
  </si>
  <si>
    <t>234732</t>
  </si>
  <si>
    <t>ORD-2023360</t>
  </si>
  <si>
    <t>Smita Patil</t>
  </si>
  <si>
    <t>9060717481</t>
  </si>
  <si>
    <t>583117</t>
  </si>
  <si>
    <t>ORD-2023436</t>
  </si>
  <si>
    <t>7377306260</t>
  </si>
  <si>
    <t>744605</t>
  </si>
  <si>
    <t>ORD-2023291</t>
  </si>
  <si>
    <t>9858471296</t>
  </si>
  <si>
    <t>119288</t>
  </si>
  <si>
    <t>ORD-2023409</t>
  </si>
  <si>
    <t>8346060560</t>
  </si>
  <si>
    <t>776207</t>
  </si>
  <si>
    <t>ORD-2023398</t>
  </si>
  <si>
    <t>9992751758</t>
  </si>
  <si>
    <t>461272</t>
  </si>
  <si>
    <t>ORD-2023485</t>
  </si>
  <si>
    <t>9978524914</t>
  </si>
  <si>
    <t>705019</t>
  </si>
  <si>
    <t>ORD-2023442</t>
  </si>
  <si>
    <t>7594463339</t>
  </si>
  <si>
    <t>278188</t>
  </si>
  <si>
    <t>ORD-2023395</t>
  </si>
  <si>
    <t>6843768550</t>
  </si>
  <si>
    <t>480426</t>
  </si>
  <si>
    <t>ORD-2023389</t>
  </si>
  <si>
    <t>9898306503</t>
  </si>
  <si>
    <t>305057</t>
  </si>
  <si>
    <t>ORD-2023451</t>
  </si>
  <si>
    <t>9305248088</t>
  </si>
  <si>
    <t>370273</t>
  </si>
  <si>
    <t>ORD-2023390</t>
  </si>
  <si>
    <t>6319541966</t>
  </si>
  <si>
    <t>426641</t>
  </si>
  <si>
    <t>ORD-2023407</t>
  </si>
  <si>
    <t>88707 15534</t>
  </si>
  <si>
    <t>473779</t>
  </si>
  <si>
    <t>ORD-2023490</t>
  </si>
  <si>
    <t>6402369362</t>
  </si>
  <si>
    <t>627454</t>
  </si>
  <si>
    <t>ORD-2023363</t>
  </si>
  <si>
    <t>8441283337</t>
  </si>
  <si>
    <t>439208</t>
  </si>
  <si>
    <t>ORD-2023404</t>
  </si>
  <si>
    <t>82867 12007</t>
  </si>
  <si>
    <t>721177</t>
  </si>
  <si>
    <t>ORD-2023424</t>
  </si>
  <si>
    <t>6446634533</t>
  </si>
  <si>
    <t>717409</t>
  </si>
  <si>
    <t>ORD-2023464</t>
  </si>
  <si>
    <t>7592024617</t>
  </si>
  <si>
    <t>754746</t>
  </si>
  <si>
    <t>ORD-2023429</t>
  </si>
  <si>
    <t>7799359374</t>
  </si>
  <si>
    <t>112360</t>
  </si>
  <si>
    <t>ORD-2023489</t>
  </si>
  <si>
    <t>742446263</t>
  </si>
  <si>
    <t>393170</t>
  </si>
  <si>
    <t>ORD-2023502</t>
  </si>
  <si>
    <t>8056618632</t>
  </si>
  <si>
    <t>447866</t>
  </si>
  <si>
    <t>ORD-2023474</t>
  </si>
  <si>
    <t>Manisha Kadam</t>
  </si>
  <si>
    <t>8640104246</t>
  </si>
  <si>
    <t>207598</t>
  </si>
  <si>
    <t>ORD-2023329</t>
  </si>
  <si>
    <t>9402119017</t>
  </si>
  <si>
    <t>218920</t>
  </si>
  <si>
    <t>ORD-2023338</t>
  </si>
  <si>
    <t>9439164970</t>
  </si>
  <si>
    <t>158827</t>
  </si>
  <si>
    <t>ORD-2023473</t>
  </si>
  <si>
    <t>Ramesh Bose</t>
  </si>
  <si>
    <t xml:space="preserve"> 8774604067</t>
  </si>
  <si>
    <t>665318</t>
  </si>
  <si>
    <t>ORD-2023484</t>
  </si>
  <si>
    <t>8191344389</t>
  </si>
  <si>
    <t>431219</t>
  </si>
  <si>
    <t>ORD-2023459</t>
  </si>
  <si>
    <t>8376811872</t>
  </si>
  <si>
    <t>358208</t>
  </si>
  <si>
    <t>ORD-2023447</t>
  </si>
  <si>
    <t>8201904322</t>
  </si>
  <si>
    <t>324082</t>
  </si>
  <si>
    <t>ORD-2023487</t>
  </si>
  <si>
    <t>6957298937</t>
  </si>
  <si>
    <t>597450</t>
  </si>
  <si>
    <t>ORD-2023370</t>
  </si>
  <si>
    <t>8445822067</t>
  </si>
  <si>
    <t>399734</t>
  </si>
  <si>
    <t>ORD-2023512</t>
  </si>
  <si>
    <t>8618444218</t>
  </si>
  <si>
    <t>601651</t>
  </si>
  <si>
    <t>ORD-2023483</t>
  </si>
  <si>
    <t>6070633699</t>
  </si>
  <si>
    <t>238357</t>
  </si>
  <si>
    <t>ORD-2023504</t>
  </si>
  <si>
    <t>7946420362</t>
  </si>
  <si>
    <t>274283</t>
  </si>
  <si>
    <t>ORD-2023500</t>
  </si>
  <si>
    <t>9824527905</t>
  </si>
  <si>
    <t>238116</t>
  </si>
  <si>
    <t>ORD-2023499</t>
  </si>
  <si>
    <t>9561786880</t>
  </si>
  <si>
    <t>505619</t>
  </si>
  <si>
    <t>ORD-2023470</t>
  </si>
  <si>
    <t>8322399821</t>
  </si>
  <si>
    <t>494656</t>
  </si>
  <si>
    <t>ORD-2023509</t>
  </si>
  <si>
    <t>8123455068</t>
  </si>
  <si>
    <t>152302</t>
  </si>
  <si>
    <t>Nidhi Joshi</t>
  </si>
  <si>
    <t>8144920749</t>
  </si>
  <si>
    <t>739472</t>
  </si>
  <si>
    <t>ORD-2023458</t>
  </si>
  <si>
    <t>8872617607</t>
  </si>
  <si>
    <t>255252</t>
  </si>
  <si>
    <t>ORD-2023410</t>
  </si>
  <si>
    <t>7612385951</t>
  </si>
  <si>
    <t>282224</t>
  </si>
  <si>
    <t>ORD-2023434</t>
  </si>
  <si>
    <t>8283976205</t>
  </si>
  <si>
    <t>541643</t>
  </si>
  <si>
    <t>8356178170</t>
  </si>
  <si>
    <t>248786</t>
  </si>
  <si>
    <t>ORD-2023356</t>
  </si>
  <si>
    <t>97812 77822</t>
  </si>
  <si>
    <t>710331</t>
  </si>
  <si>
    <t>ORD-2023501</t>
  </si>
  <si>
    <t>8617706736</t>
  </si>
  <si>
    <t>522465</t>
  </si>
  <si>
    <t>ORD-2023465</t>
  </si>
  <si>
    <t>8848022050</t>
  </si>
  <si>
    <t>647087</t>
  </si>
  <si>
    <t>ORD-2023488</t>
  </si>
  <si>
    <t>8768299687</t>
  </si>
  <si>
    <t>765570</t>
  </si>
  <si>
    <t>ORD-2023336</t>
  </si>
  <si>
    <t>9289463389</t>
  </si>
  <si>
    <t>285825</t>
  </si>
  <si>
    <t>ORD-2023507</t>
  </si>
  <si>
    <t>6034918911</t>
  </si>
  <si>
    <t>417915</t>
  </si>
  <si>
    <t>ORD-2023517</t>
  </si>
  <si>
    <t>7987809270</t>
  </si>
  <si>
    <t>546295</t>
  </si>
  <si>
    <t>ORD-2023438</t>
  </si>
  <si>
    <t>94911 65020</t>
  </si>
  <si>
    <t>451814</t>
  </si>
  <si>
    <t>ORD-2023466</t>
  </si>
  <si>
    <t>8025825431</t>
  </si>
  <si>
    <t>429679</t>
  </si>
  <si>
    <t>6290529187</t>
  </si>
  <si>
    <t>317955</t>
  </si>
  <si>
    <t>ORD-2023382</t>
  </si>
  <si>
    <t>6358446177</t>
  </si>
  <si>
    <t>299227</t>
  </si>
  <si>
    <t>ORD-2023383</t>
  </si>
  <si>
    <t>6608320048</t>
  </si>
  <si>
    <t>649319</t>
  </si>
  <si>
    <t>ORD-2023529</t>
  </si>
  <si>
    <t>9501437483</t>
  </si>
  <si>
    <t>268264</t>
  </si>
  <si>
    <t>ORD-2023513</t>
  </si>
  <si>
    <t>8930493665</t>
  </si>
  <si>
    <t>695511</t>
  </si>
  <si>
    <t>ORD-2023486</t>
  </si>
  <si>
    <t>7137124365</t>
  </si>
  <si>
    <t>166430</t>
  </si>
  <si>
    <t>ORD-2023482</t>
  </si>
  <si>
    <t>6109567975</t>
  </si>
  <si>
    <t>221595</t>
  </si>
  <si>
    <t>ORD-2023537</t>
  </si>
  <si>
    <t>9713806713</t>
  </si>
  <si>
    <t>ORD-2023477</t>
  </si>
  <si>
    <t>9591832700</t>
  </si>
  <si>
    <t>240363</t>
  </si>
  <si>
    <t>ORD-2023492</t>
  </si>
  <si>
    <t>6731379716</t>
  </si>
  <si>
    <t>292658</t>
  </si>
  <si>
    <t>ORD-2023475</t>
  </si>
  <si>
    <t>6418135998</t>
  </si>
  <si>
    <t>184040</t>
  </si>
  <si>
    <t>ORD-2023539</t>
  </si>
  <si>
    <t>7496112879</t>
  </si>
  <si>
    <t>162456</t>
  </si>
  <si>
    <t>ORD-2023494</t>
  </si>
  <si>
    <t>69649 66834</t>
  </si>
  <si>
    <t>770935</t>
  </si>
  <si>
    <t>Manoj  Tomar</t>
  </si>
  <si>
    <t>6592361337</t>
  </si>
  <si>
    <t>401942</t>
  </si>
  <si>
    <t>ORD-2023372</t>
  </si>
  <si>
    <t>9821417468</t>
  </si>
  <si>
    <t>720030</t>
  </si>
  <si>
    <t>ORD-2023478</t>
  </si>
  <si>
    <t>8716039886</t>
  </si>
  <si>
    <t>797933</t>
  </si>
  <si>
    <t>ORD-2023498</t>
  </si>
  <si>
    <t>6974533890</t>
  </si>
  <si>
    <t>525751</t>
  </si>
  <si>
    <t>ORD-2023364</t>
  </si>
  <si>
    <t>6488600801</t>
  </si>
  <si>
    <t>124282</t>
  </si>
  <si>
    <t>ORD-2023456</t>
  </si>
  <si>
    <t>7548242183</t>
  </si>
  <si>
    <t>262717</t>
  </si>
  <si>
    <t>ORD-2023535</t>
  </si>
  <si>
    <t>88019 63045</t>
  </si>
  <si>
    <t>122390</t>
  </si>
  <si>
    <t>ORD-2023427</t>
  </si>
  <si>
    <t>6128788486</t>
  </si>
  <si>
    <t>219738</t>
  </si>
  <si>
    <t>ORD-2023541</t>
  </si>
  <si>
    <t>8328809832</t>
  </si>
  <si>
    <t>642597</t>
  </si>
  <si>
    <t>ORD-2023479</t>
  </si>
  <si>
    <t>9546951003</t>
  </si>
  <si>
    <t>158316</t>
  </si>
  <si>
    <t>ORD-2023375</t>
  </si>
  <si>
    <t>6836683482</t>
  </si>
  <si>
    <t>234061</t>
  </si>
  <si>
    <t>ORD-2023515</t>
  </si>
  <si>
    <t>9604180952</t>
  </si>
  <si>
    <t>303859</t>
  </si>
  <si>
    <t>ORD-2023524</t>
  </si>
  <si>
    <t>6568209225</t>
  </si>
  <si>
    <t>331535</t>
  </si>
  <si>
    <t>ORD-2023503</t>
  </si>
  <si>
    <t>8058011950</t>
  </si>
  <si>
    <t>571991</t>
  </si>
  <si>
    <t>ORD-2023426</t>
  </si>
  <si>
    <t>99827 34813</t>
  </si>
  <si>
    <t>487428</t>
  </si>
  <si>
    <t>ORD-2023469</t>
  </si>
  <si>
    <t>Lakshmi Pillai</t>
  </si>
  <si>
    <t>6805507740</t>
  </si>
  <si>
    <t>450318</t>
  </si>
  <si>
    <t>ORD-2023533</t>
  </si>
  <si>
    <t>7120122759</t>
  </si>
  <si>
    <t>473882</t>
  </si>
  <si>
    <t>ORD-2023476</t>
  </si>
  <si>
    <t>7493403910</t>
  </si>
  <si>
    <t>342136</t>
  </si>
  <si>
    <t>ORD-2023453</t>
  </si>
  <si>
    <t>84233 94495</t>
  </si>
  <si>
    <t>507917</t>
  </si>
  <si>
    <t>ORD-2023393</t>
  </si>
  <si>
    <t>6868430211</t>
  </si>
  <si>
    <t>693516</t>
  </si>
  <si>
    <t>ORD-2023518</t>
  </si>
  <si>
    <t>6115238023</t>
  </si>
  <si>
    <t>114484</t>
  </si>
  <si>
    <t>ORD-2023496</t>
  </si>
  <si>
    <t>8318692897</t>
  </si>
  <si>
    <t>687975</t>
  </si>
  <si>
    <t>ORD-2023538</t>
  </si>
  <si>
    <t>8042322775</t>
  </si>
  <si>
    <t>113027</t>
  </si>
  <si>
    <t>ORD-2023461</t>
  </si>
  <si>
    <t>8438419662</t>
  </si>
  <si>
    <t>522360</t>
  </si>
  <si>
    <t>ORD-2023519</t>
  </si>
  <si>
    <t>7142436258</t>
  </si>
  <si>
    <t>763027</t>
  </si>
  <si>
    <t>ORD-2023554</t>
  </si>
  <si>
    <t>7115876054</t>
  </si>
  <si>
    <t>776609</t>
  </si>
  <si>
    <t>ORD-2023467</t>
  </si>
  <si>
    <t>7269255966</t>
  </si>
  <si>
    <t>513499</t>
  </si>
  <si>
    <t>ORD-2023540</t>
  </si>
  <si>
    <t>7522115871</t>
  </si>
  <si>
    <t>632249</t>
  </si>
  <si>
    <t>ORD-2023548</t>
  </si>
  <si>
    <t>8810558000</t>
  </si>
  <si>
    <t>711531</t>
  </si>
  <si>
    <t>ORD-2023511</t>
  </si>
  <si>
    <t>83222 73938</t>
  </si>
  <si>
    <t>146447</t>
  </si>
  <si>
    <t>ORD-2023532</t>
  </si>
  <si>
    <t>8846735742</t>
  </si>
  <si>
    <t>271448</t>
  </si>
  <si>
    <t>ORD-2023561</t>
  </si>
  <si>
    <t>7674130753</t>
  </si>
  <si>
    <t>350375</t>
  </si>
  <si>
    <t>ORD-2023566</t>
  </si>
  <si>
    <t>9939578752</t>
  </si>
  <si>
    <t>204168</t>
  </si>
  <si>
    <t>ORD-2023572</t>
  </si>
  <si>
    <t>7889786533</t>
  </si>
  <si>
    <t>261763</t>
  </si>
  <si>
    <t>ORD-2023579</t>
  </si>
  <si>
    <t>9636560450</t>
  </si>
  <si>
    <t>225249</t>
  </si>
  <si>
    <t>ORD-2023560</t>
  </si>
  <si>
    <t>7596546634</t>
  </si>
  <si>
    <t>742796</t>
  </si>
  <si>
    <t>ORD-2023449</t>
  </si>
  <si>
    <t xml:space="preserve"> 8941321097</t>
  </si>
  <si>
    <t>463033</t>
  </si>
  <si>
    <t>ORD-2023446</t>
  </si>
  <si>
    <t>8359570861</t>
  </si>
  <si>
    <t>324648</t>
  </si>
  <si>
    <t>ORD-2023556</t>
  </si>
  <si>
    <t>6294690217</t>
  </si>
  <si>
    <t>281306</t>
  </si>
  <si>
    <t>ORD-2023578</t>
  </si>
  <si>
    <t>7675076279</t>
  </si>
  <si>
    <t>380864</t>
  </si>
  <si>
    <t>ORD-2023570</t>
  </si>
  <si>
    <t>9487177546</t>
  </si>
  <si>
    <t>601951</t>
  </si>
  <si>
    <t>ORD-2023588</t>
  </si>
  <si>
    <t>9869017074</t>
  </si>
  <si>
    <t>224706</t>
  </si>
  <si>
    <t>ORD-2023580</t>
  </si>
  <si>
    <t>74447 04887</t>
  </si>
  <si>
    <t>579967</t>
  </si>
  <si>
    <t>ORD-2023552</t>
  </si>
  <si>
    <t>8294115630</t>
  </si>
  <si>
    <t>421070</t>
  </si>
  <si>
    <t>ORD-2023550</t>
  </si>
  <si>
    <t>6481582686</t>
  </si>
  <si>
    <t>111007</t>
  </si>
  <si>
    <t>ORD-2023505</t>
  </si>
  <si>
    <t>7132041042</t>
  </si>
  <si>
    <t>578204</t>
  </si>
  <si>
    <t>ORD-2023549</t>
  </si>
  <si>
    <t>9050524383</t>
  </si>
  <si>
    <t>563190</t>
  </si>
  <si>
    <t>ORD-2023452</t>
  </si>
  <si>
    <t>8368410132</t>
  </si>
  <si>
    <t>176376</t>
  </si>
  <si>
    <t>ORD-2023574</t>
  </si>
  <si>
    <t>7159698384</t>
  </si>
  <si>
    <t>289113</t>
  </si>
  <si>
    <t>ORD-2023510</t>
  </si>
  <si>
    <t>6179967080</t>
  </si>
  <si>
    <t>426952</t>
  </si>
  <si>
    <t>ORD-2023558</t>
  </si>
  <si>
    <t>7664890082</t>
  </si>
  <si>
    <t>677130</t>
  </si>
  <si>
    <t>ORD-2023571</t>
  </si>
  <si>
    <t>6187260013</t>
  </si>
  <si>
    <t>469603</t>
  </si>
  <si>
    <t>ORD-2023495</t>
  </si>
  <si>
    <t>6764845593</t>
  </si>
  <si>
    <t>284299</t>
  </si>
  <si>
    <t>ORD-2023568</t>
  </si>
  <si>
    <t>9251618575</t>
  </si>
  <si>
    <t>493907</t>
  </si>
  <si>
    <t>ORD-2023536</t>
  </si>
  <si>
    <t>Yeswanth  Reddy</t>
  </si>
  <si>
    <t>8338926087</t>
  </si>
  <si>
    <t>238165</t>
  </si>
  <si>
    <t>ORD-2023525</t>
  </si>
  <si>
    <t>9466450999</t>
  </si>
  <si>
    <t>199113</t>
  </si>
  <si>
    <t>ORD-2023569</t>
  </si>
  <si>
    <t>6819022179</t>
  </si>
  <si>
    <t>195931</t>
  </si>
  <si>
    <t>ORD-2023531</t>
  </si>
  <si>
    <t>7992177905</t>
  </si>
  <si>
    <t>597252</t>
  </si>
  <si>
    <t>ORD-2023577</t>
  </si>
  <si>
    <t>8181045024</t>
  </si>
  <si>
    <t>475617</t>
  </si>
  <si>
    <t>ORD-2023564</t>
  </si>
  <si>
    <t>8164369028</t>
  </si>
  <si>
    <t>196201</t>
  </si>
  <si>
    <t>ORD-2023581</t>
  </si>
  <si>
    <t>8281444718</t>
  </si>
  <si>
    <t>767139</t>
  </si>
  <si>
    <t>ORD-2023545</t>
  </si>
  <si>
    <t>9164034398</t>
  </si>
  <si>
    <t>373265</t>
  </si>
  <si>
    <t>8794193245</t>
  </si>
  <si>
    <t>725915</t>
  </si>
  <si>
    <t>ORD-2023557</t>
  </si>
  <si>
    <t>8070286720</t>
  </si>
  <si>
    <t>ORD-2023435</t>
  </si>
  <si>
    <t>8104546171</t>
  </si>
  <si>
    <t>248145</t>
  </si>
  <si>
    <t>ORD-2023562</t>
  </si>
  <si>
    <t>9802455985</t>
  </si>
  <si>
    <t>409406</t>
  </si>
  <si>
    <t>ORD-2023555</t>
  </si>
  <si>
    <t>6164006983</t>
  </si>
  <si>
    <t>275382</t>
  </si>
  <si>
    <t>ORD-2023596</t>
  </si>
  <si>
    <t>588934</t>
  </si>
  <si>
    <t>ORD-2023601</t>
  </si>
  <si>
    <t>9361137118</t>
  </si>
  <si>
    <t>382394</t>
  </si>
  <si>
    <t>ORD-2023521</t>
  </si>
  <si>
    <t>82387 94026</t>
  </si>
  <si>
    <t>277531</t>
  </si>
  <si>
    <t>ORD-2023439</t>
  </si>
  <si>
    <t>8660012838</t>
  </si>
  <si>
    <t>ORD-2023420</t>
  </si>
  <si>
    <t>6472435861</t>
  </si>
  <si>
    <t>521026</t>
  </si>
  <si>
    <t>ORD-2023523</t>
  </si>
  <si>
    <t>9434046682</t>
  </si>
  <si>
    <t>399840</t>
  </si>
  <si>
    <t>ORD-2023445</t>
  </si>
  <si>
    <t>8640511021</t>
  </si>
  <si>
    <t>663536</t>
  </si>
  <si>
    <t>ORD-2023607</t>
  </si>
  <si>
    <t>7197860162</t>
  </si>
  <si>
    <t>492373</t>
  </si>
  <si>
    <t>ORD-2023534</t>
  </si>
  <si>
    <t>7197223996</t>
  </si>
  <si>
    <t>410728</t>
  </si>
  <si>
    <t>ORD-2023623</t>
  </si>
  <si>
    <t>7067516913</t>
  </si>
  <si>
    <t>120115</t>
  </si>
  <si>
    <t>ORD-2023590</t>
  </si>
  <si>
    <t>6021516758</t>
  </si>
  <si>
    <t>234248</t>
  </si>
  <si>
    <t>ORD-2023621</t>
  </si>
  <si>
    <t>7609723602</t>
  </si>
  <si>
    <t>323464</t>
  </si>
  <si>
    <t>ORD-2023493</t>
  </si>
  <si>
    <t>9686272884</t>
  </si>
  <si>
    <t>328362</t>
  </si>
  <si>
    <t>ORD-2023611</t>
  </si>
  <si>
    <t>9396159764</t>
  </si>
  <si>
    <t>190714</t>
  </si>
  <si>
    <t>ORD-2023481</t>
  </si>
  <si>
    <t>9514486983</t>
  </si>
  <si>
    <t>706262</t>
  </si>
  <si>
    <t>ORD-2023497</t>
  </si>
  <si>
    <t>8326724469</t>
  </si>
  <si>
    <t>527018</t>
  </si>
  <si>
    <t>ORD-2023587</t>
  </si>
  <si>
    <t>7266765272</t>
  </si>
  <si>
    <t>549035</t>
  </si>
  <si>
    <t>ORD-2023614</t>
  </si>
  <si>
    <t>7023510255</t>
  </si>
  <si>
    <t>691314</t>
  </si>
  <si>
    <t>ORD-2023625</t>
  </si>
  <si>
    <t>8659992012</t>
  </si>
  <si>
    <t>207420</t>
  </si>
  <si>
    <t>ORD-2023583</t>
  </si>
  <si>
    <t>7173009928</t>
  </si>
  <si>
    <t>256354</t>
  </si>
  <si>
    <t>ORD-2023547</t>
  </si>
  <si>
    <t>8487706769</t>
  </si>
  <si>
    <t>679274</t>
  </si>
  <si>
    <t>ORD-2023520</t>
  </si>
  <si>
    <t>8551962822</t>
  </si>
  <si>
    <t>541164</t>
  </si>
  <si>
    <t>ORD-2023506</t>
  </si>
  <si>
    <t>9174003910</t>
  </si>
  <si>
    <t>159050</t>
  </si>
  <si>
    <t>ORD-2023605</t>
  </si>
  <si>
    <t>9133610944</t>
  </si>
  <si>
    <t>517227</t>
  </si>
  <si>
    <t>ORD-2023630</t>
  </si>
  <si>
    <t>9024837444</t>
  </si>
  <si>
    <t>486372</t>
  </si>
  <si>
    <t>ORD-2023633</t>
  </si>
  <si>
    <t>9599009378</t>
  </si>
  <si>
    <t>589238</t>
  </si>
  <si>
    <t>ORD-2023606</t>
  </si>
  <si>
    <t>7084507860</t>
  </si>
  <si>
    <t>138364</t>
  </si>
  <si>
    <t>ORD-2023544</t>
  </si>
  <si>
    <t>69634 28987</t>
  </si>
  <si>
    <t>385107</t>
  </si>
  <si>
    <t>ORD-2023616</t>
  </si>
  <si>
    <t>8827182653</t>
  </si>
  <si>
    <t>730085</t>
  </si>
  <si>
    <t>ORD-2023526</t>
  </si>
  <si>
    <t>6430217816</t>
  </si>
  <si>
    <t>164322</t>
  </si>
  <si>
    <t>ORD-2023592</t>
  </si>
  <si>
    <t>7282968244</t>
  </si>
  <si>
    <t>203132</t>
  </si>
  <si>
    <t>ORD-2023620</t>
  </si>
  <si>
    <t>9624587012</t>
  </si>
  <si>
    <t>343654</t>
  </si>
  <si>
    <t>ORD-2023514</t>
  </si>
  <si>
    <t>6036488215</t>
  </si>
  <si>
    <t>743675</t>
  </si>
  <si>
    <t>ORD-2023480</t>
  </si>
  <si>
    <t>8699929983</t>
  </si>
  <si>
    <t>237317</t>
  </si>
  <si>
    <t>ORD-2023603</t>
  </si>
  <si>
    <t>8304913410</t>
  </si>
  <si>
    <t>421556</t>
  </si>
  <si>
    <t>ORD-2023615</t>
  </si>
  <si>
    <t>9568201753</t>
  </si>
  <si>
    <t>117055</t>
  </si>
  <si>
    <t>ORD-2023468</t>
  </si>
  <si>
    <t>9919387337</t>
  </si>
  <si>
    <t>670512</t>
  </si>
  <si>
    <t>ORD-2023628</t>
  </si>
  <si>
    <t>7858055811</t>
  </si>
  <si>
    <t>112824</t>
  </si>
  <si>
    <t>ORD-2023635</t>
  </si>
  <si>
    <t>707880265</t>
  </si>
  <si>
    <t>744286</t>
  </si>
  <si>
    <t>9661158485</t>
  </si>
  <si>
    <t>128969</t>
  </si>
  <si>
    <t>ORD-2023575</t>
  </si>
  <si>
    <t>7467662623</t>
  </si>
  <si>
    <t>692510</t>
  </si>
  <si>
    <t>ORD-2023516</t>
  </si>
  <si>
    <t>6094523759</t>
  </si>
  <si>
    <t>595982</t>
  </si>
  <si>
    <t>ORD-2023617</t>
  </si>
  <si>
    <t>Durga  Prasad</t>
  </si>
  <si>
    <t xml:space="preserve"> 6622952179</t>
  </si>
  <si>
    <t>580716</t>
  </si>
  <si>
    <t>ORD-2023586</t>
  </si>
  <si>
    <t>9479406453</t>
  </si>
  <si>
    <t>778179</t>
  </si>
  <si>
    <t>ORD-2023641</t>
  </si>
  <si>
    <t>7843019220</t>
  </si>
  <si>
    <t>413139</t>
  </si>
  <si>
    <t>ORD-2023654</t>
  </si>
  <si>
    <t>8284423471</t>
  </si>
  <si>
    <t>574064</t>
  </si>
  <si>
    <t>ORD-2023491</t>
  </si>
  <si>
    <t>8470703850</t>
  </si>
  <si>
    <t>421964</t>
  </si>
  <si>
    <t>ORD-2023626</t>
  </si>
  <si>
    <t>380205</t>
  </si>
  <si>
    <t>ORD-2023542</t>
  </si>
  <si>
    <t>9594853400</t>
  </si>
  <si>
    <t>424753</t>
  </si>
  <si>
    <t>ORD-2023594</t>
  </si>
  <si>
    <t>6998460586</t>
  </si>
  <si>
    <t>235127</t>
  </si>
  <si>
    <t>ORD-2023546</t>
  </si>
  <si>
    <t>7682405166</t>
  </si>
  <si>
    <t>321516</t>
  </si>
  <si>
    <t>6094134909</t>
  </si>
  <si>
    <t>391780</t>
  </si>
  <si>
    <t>ORD-2023584</t>
  </si>
  <si>
    <t>8442031589</t>
  </si>
  <si>
    <t>668462</t>
  </si>
  <si>
    <t>ORD-2023598</t>
  </si>
  <si>
    <t>886942767</t>
  </si>
  <si>
    <t>665359</t>
  </si>
  <si>
    <t>ORD-2023543</t>
  </si>
  <si>
    <t>9790065487</t>
  </si>
  <si>
    <t>660326</t>
  </si>
  <si>
    <t>ORD-2023660</t>
  </si>
  <si>
    <t>9612396121</t>
  </si>
  <si>
    <t>213067</t>
  </si>
  <si>
    <t>6035067578</t>
  </si>
  <si>
    <t>338611</t>
  </si>
  <si>
    <t>ORD-2023667</t>
  </si>
  <si>
    <t>7235036871</t>
  </si>
  <si>
    <t>259028</t>
  </si>
  <si>
    <t>ORD-2023593</t>
  </si>
  <si>
    <t>9927318683</t>
  </si>
  <si>
    <t>500960</t>
  </si>
  <si>
    <t>ORD-2023622</t>
  </si>
  <si>
    <t>9050221816</t>
  </si>
  <si>
    <t>699775</t>
  </si>
  <si>
    <t>ORD-2023662</t>
  </si>
  <si>
    <t>6667719666</t>
  </si>
  <si>
    <t>340876</t>
  </si>
  <si>
    <t>ORD-2023582</t>
  </si>
  <si>
    <t>8426018637</t>
  </si>
  <si>
    <t>619574</t>
  </si>
  <si>
    <t>ORD-2023631</t>
  </si>
  <si>
    <t>7314546157</t>
  </si>
  <si>
    <t>118470</t>
  </si>
  <si>
    <t>ORD-2023643</t>
  </si>
  <si>
    <t>7781871096</t>
  </si>
  <si>
    <t>185605</t>
  </si>
  <si>
    <t>ORD-2023527</t>
  </si>
  <si>
    <t>76633 82222</t>
  </si>
  <si>
    <t>753773</t>
  </si>
  <si>
    <t>ORD-2023528</t>
  </si>
  <si>
    <t>7498663420</t>
  </si>
  <si>
    <t>353326</t>
  </si>
  <si>
    <t>ORD-2023565</t>
  </si>
  <si>
    <t>8665353896</t>
  </si>
  <si>
    <t>268057</t>
  </si>
  <si>
    <t>ORD-2023646</t>
  </si>
  <si>
    <t>8161538116</t>
  </si>
  <si>
    <t>397174</t>
  </si>
  <si>
    <t>ORD-2023664</t>
  </si>
  <si>
    <t>75633 91729</t>
  </si>
  <si>
    <t>592518</t>
  </si>
  <si>
    <t>ORD-2023657</t>
  </si>
  <si>
    <t>776734814</t>
  </si>
  <si>
    <t>716436</t>
  </si>
  <si>
    <t>ORD-2023563</t>
  </si>
  <si>
    <t>9203531607</t>
  </si>
  <si>
    <t>231642</t>
  </si>
  <si>
    <t>ORD-2023659</t>
  </si>
  <si>
    <t>9785764639</t>
  </si>
  <si>
    <t>371624</t>
  </si>
  <si>
    <t>ORD-2023591</t>
  </si>
  <si>
    <t>8488566948</t>
  </si>
  <si>
    <t>639391</t>
  </si>
  <si>
    <t>ORD-2023650</t>
  </si>
  <si>
    <t>6240871006</t>
  </si>
  <si>
    <t>237628</t>
  </si>
  <si>
    <t>ORD-2023559</t>
  </si>
  <si>
    <t>7228920641</t>
  </si>
  <si>
    <t>411674</t>
  </si>
  <si>
    <t>ORD-2023508</t>
  </si>
  <si>
    <t>6037891213</t>
  </si>
  <si>
    <t>731131</t>
  </si>
  <si>
    <t>ORD-2023637</t>
  </si>
  <si>
    <t>9276136814</t>
  </si>
  <si>
    <t>633132</t>
  </si>
  <si>
    <t>ORD-2023627</t>
  </si>
  <si>
    <t>8062796024</t>
  </si>
  <si>
    <t>447808</t>
  </si>
  <si>
    <t>ORD-2023668</t>
  </si>
  <si>
    <t>7503139280</t>
  </si>
  <si>
    <t>346657</t>
  </si>
  <si>
    <t>ORD-2023658</t>
  </si>
  <si>
    <t>7323167781</t>
  </si>
  <si>
    <t>219482</t>
  </si>
  <si>
    <t>ORD-2023676</t>
  </si>
  <si>
    <t>8787067635</t>
  </si>
  <si>
    <t>544200</t>
  </si>
  <si>
    <t>ORD-2023686</t>
  </si>
  <si>
    <t>8783765915</t>
  </si>
  <si>
    <t>576739</t>
  </si>
  <si>
    <t>ORD-2023567</t>
  </si>
  <si>
    <t>6250692965</t>
  </si>
  <si>
    <t>352657</t>
  </si>
  <si>
    <t>ORD-2023696</t>
  </si>
  <si>
    <t>67972 51840</t>
  </si>
  <si>
    <t>786445</t>
  </si>
  <si>
    <t>ORD-2023678</t>
  </si>
  <si>
    <t>8484264833</t>
  </si>
  <si>
    <t>326894</t>
  </si>
  <si>
    <t>ORD-2023610</t>
  </si>
  <si>
    <t>9580803889</t>
  </si>
  <si>
    <t>657819</t>
  </si>
  <si>
    <t>ORD-2023629</t>
  </si>
  <si>
    <t>6837161158</t>
  </si>
  <si>
    <t>318883</t>
  </si>
  <si>
    <t>ORD-2023638</t>
  </si>
  <si>
    <t>6580158466</t>
  </si>
  <si>
    <t>560886</t>
  </si>
  <si>
    <t>ORD-2023665</t>
  </si>
  <si>
    <t>7777711842</t>
  </si>
  <si>
    <t>402195</t>
  </si>
  <si>
    <t>ORD-2023692</t>
  </si>
  <si>
    <t>74099 68334</t>
  </si>
  <si>
    <t>764462</t>
  </si>
  <si>
    <t>ORD-2023698</t>
  </si>
  <si>
    <t>6802658934</t>
  </si>
  <si>
    <t>223034</t>
  </si>
  <si>
    <t>ORD-2023634</t>
  </si>
  <si>
    <t>924000208</t>
  </si>
  <si>
    <t>793360</t>
  </si>
  <si>
    <t>ORD-2023613</t>
  </si>
  <si>
    <t>85415 89290</t>
  </si>
  <si>
    <t>196348</t>
  </si>
  <si>
    <t>ORD-2023701</t>
  </si>
  <si>
    <t>7798421891</t>
  </si>
  <si>
    <t>213069</t>
  </si>
  <si>
    <t>ORD-2023612</t>
  </si>
  <si>
    <t>9165228989</t>
  </si>
  <si>
    <t>630100</t>
  </si>
  <si>
    <t>ORD-2023651</t>
  </si>
  <si>
    <t xml:space="preserve"> 9188711486</t>
  </si>
  <si>
    <t>625140</t>
  </si>
  <si>
    <t>ORD-2023708</t>
  </si>
  <si>
    <t>8806200730</t>
  </si>
  <si>
    <t>412284</t>
  </si>
  <si>
    <t>ORD-2023711</t>
  </si>
  <si>
    <t>7466886583</t>
  </si>
  <si>
    <t>336319</t>
  </si>
  <si>
    <t>ORD-2023573</t>
  </si>
  <si>
    <t>8050450509</t>
  </si>
  <si>
    <t>600147</t>
  </si>
  <si>
    <t>ORD-2023675</t>
  </si>
  <si>
    <t xml:space="preserve"> 8279433795</t>
  </si>
  <si>
    <t>387026</t>
  </si>
  <si>
    <t>ORD-2023684</t>
  </si>
  <si>
    <t>9537062728</t>
  </si>
  <si>
    <t>284888</t>
  </si>
  <si>
    <t>ORD-2023522</t>
  </si>
  <si>
    <t>6505998226</t>
  </si>
  <si>
    <t>470875</t>
  </si>
  <si>
    <t>ORD-2023530</t>
  </si>
  <si>
    <t>7443183436</t>
  </si>
  <si>
    <t>264222</t>
  </si>
  <si>
    <t>ORD-2023671</t>
  </si>
  <si>
    <t>6376710529</t>
  </si>
  <si>
    <t>ORD-2023661</t>
  </si>
  <si>
    <t>9182368810</t>
  </si>
  <si>
    <t>277440</t>
  </si>
  <si>
    <t>ORD-2023716</t>
  </si>
  <si>
    <t>9005214107</t>
  </si>
  <si>
    <t>664788</t>
  </si>
  <si>
    <t>ORD-2023679</t>
  </si>
  <si>
    <t>6639561266</t>
  </si>
  <si>
    <t>256581</t>
  </si>
  <si>
    <t>ORD-2023691</t>
  </si>
  <si>
    <t>6636470465</t>
  </si>
  <si>
    <t>620050</t>
  </si>
  <si>
    <t>ORD-2023717</t>
  </si>
  <si>
    <t>9830181796</t>
  </si>
  <si>
    <t>580597</t>
  </si>
  <si>
    <t>ORD-2023648</t>
  </si>
  <si>
    <t>789761</t>
  </si>
  <si>
    <t>ORD-2023702</t>
  </si>
  <si>
    <t>7490372954</t>
  </si>
  <si>
    <t>615235</t>
  </si>
  <si>
    <t>ORD-2023723</t>
  </si>
  <si>
    <t>7639945413</t>
  </si>
  <si>
    <t>761966</t>
  </si>
  <si>
    <t>ORD-2023618</t>
  </si>
  <si>
    <t>Chandra  Sekar</t>
  </si>
  <si>
    <t>8707217340</t>
  </si>
  <si>
    <t>541799</t>
  </si>
  <si>
    <t>ORD-2023551</t>
  </si>
  <si>
    <t>9615640994</t>
  </si>
  <si>
    <t>207873</t>
  </si>
  <si>
    <t>ORD-2023727</t>
  </si>
  <si>
    <t>9861941183</t>
  </si>
  <si>
    <t>393283</t>
  </si>
  <si>
    <t>ORD-2023666</t>
  </si>
  <si>
    <t>7550743509</t>
  </si>
  <si>
    <t>118658</t>
  </si>
  <si>
    <t>ORD-2023602</t>
  </si>
  <si>
    <t>68667 98994</t>
  </si>
  <si>
    <t>196021</t>
  </si>
  <si>
    <t>ORD-2023714</t>
  </si>
  <si>
    <t>7969850450</t>
  </si>
  <si>
    <t>698241</t>
  </si>
  <si>
    <t>ORD-2023608</t>
  </si>
  <si>
    <t>9635853010</t>
  </si>
  <si>
    <t>496792</t>
  </si>
  <si>
    <t>ORD-2023632</t>
  </si>
  <si>
    <t>6731744577</t>
  </si>
  <si>
    <t>622109</t>
  </si>
  <si>
    <t>ORD-2023690</t>
  </si>
  <si>
    <t>7149753411</t>
  </si>
  <si>
    <t>538911</t>
  </si>
  <si>
    <t>ORD-2023725</t>
  </si>
  <si>
    <t>9110349561</t>
  </si>
  <si>
    <t>579576</t>
  </si>
  <si>
    <t>ORD-2023722</t>
  </si>
  <si>
    <t>8914233029</t>
  </si>
  <si>
    <t>180499</t>
  </si>
  <si>
    <t>ORD-2023652</t>
  </si>
  <si>
    <t>735186647</t>
  </si>
  <si>
    <t>443741</t>
  </si>
  <si>
    <t>ORD-2023672</t>
  </si>
  <si>
    <t>9923831934</t>
  </si>
  <si>
    <t>291456</t>
  </si>
  <si>
    <t>ORD-2023729</t>
  </si>
  <si>
    <t>6440778110</t>
  </si>
  <si>
    <t>235493</t>
  </si>
  <si>
    <t>ORD-2023576</t>
  </si>
  <si>
    <t>8421682682</t>
  </si>
  <si>
    <t>312955</t>
  </si>
  <si>
    <t>ORD-2023731</t>
  </si>
  <si>
    <t>8871295145</t>
  </si>
  <si>
    <t>508568</t>
  </si>
  <si>
    <t>ORD-2023609</t>
  </si>
  <si>
    <t>6655623887</t>
  </si>
  <si>
    <t>254759</t>
  </si>
  <si>
    <t>ORD-2023685</t>
  </si>
  <si>
    <t>6914790534</t>
  </si>
  <si>
    <t>522975</t>
  </si>
  <si>
    <t>ORD-2023647</t>
  </si>
  <si>
    <t>6068856846</t>
  </si>
  <si>
    <t>712765</t>
  </si>
  <si>
    <t>ORD-2023720</t>
  </si>
  <si>
    <t xml:space="preserve"> 7764534965</t>
  </si>
  <si>
    <t>703206</t>
  </si>
  <si>
    <t>ORD-2023746</t>
  </si>
  <si>
    <t xml:space="preserve"> 9180403348</t>
  </si>
  <si>
    <t>383904</t>
  </si>
  <si>
    <t>ORD-2023704</t>
  </si>
  <si>
    <t>6215538307</t>
  </si>
  <si>
    <t>ORD-2023718</t>
  </si>
  <si>
    <t>9974776565</t>
  </si>
  <si>
    <t>626560</t>
  </si>
  <si>
    <t>ORD-2023585</t>
  </si>
  <si>
    <t>7431487225</t>
  </si>
  <si>
    <t>502265</t>
  </si>
  <si>
    <t>ORD-2023687</t>
  </si>
  <si>
    <t>6347040714</t>
  </si>
  <si>
    <t>414975</t>
  </si>
  <si>
    <t>ORD-2023683</t>
  </si>
  <si>
    <t>7907869285</t>
  </si>
  <si>
    <t>531323</t>
  </si>
  <si>
    <t>ORD-2023724</t>
  </si>
  <si>
    <t>9366357967</t>
  </si>
  <si>
    <t>491897</t>
  </si>
  <si>
    <t>ORD-2023597</t>
  </si>
  <si>
    <t>8526119789</t>
  </si>
  <si>
    <t>299650</t>
  </si>
  <si>
    <t>ORD-2023751</t>
  </si>
  <si>
    <t>7471462201</t>
  </si>
  <si>
    <t>642843</t>
  </si>
  <si>
    <t>ORD-2023742</t>
  </si>
  <si>
    <t>9680418693</t>
  </si>
  <si>
    <t>148803</t>
  </si>
  <si>
    <t>ORD-2023655</t>
  </si>
  <si>
    <t>8153193625</t>
  </si>
  <si>
    <t>742800</t>
  </si>
  <si>
    <t>ORD-2023649</t>
  </si>
  <si>
    <t>9979903597</t>
  </si>
  <si>
    <t>ORD-2023752</t>
  </si>
  <si>
    <t>6317303324</t>
  </si>
  <si>
    <t>669237</t>
  </si>
  <si>
    <t>ORD-2023744</t>
  </si>
  <si>
    <t>6754565728</t>
  </si>
  <si>
    <t>508696</t>
  </si>
  <si>
    <t>8779271107</t>
  </si>
  <si>
    <t>353090</t>
  </si>
  <si>
    <t>ORD-2023619</t>
  </si>
  <si>
    <t>7853700644</t>
  </si>
  <si>
    <t>436127</t>
  </si>
  <si>
    <t>ORD-2023756</t>
  </si>
  <si>
    <t>6958663992</t>
  </si>
  <si>
    <t>538545</t>
  </si>
  <si>
    <t>ORD-2023663</t>
  </si>
  <si>
    <t>8545416487</t>
  </si>
  <si>
    <t>708897</t>
  </si>
  <si>
    <t>ORD-2023748</t>
  </si>
  <si>
    <t>9232671485</t>
  </si>
  <si>
    <t>477419</t>
  </si>
  <si>
    <t>ORD-2023604</t>
  </si>
  <si>
    <t>9163971492</t>
  </si>
  <si>
    <t>359796</t>
  </si>
  <si>
    <t>ORD-2023705</t>
  </si>
  <si>
    <t>8571564380</t>
  </si>
  <si>
    <t>766917</t>
  </si>
  <si>
    <t>7273117226</t>
  </si>
  <si>
    <t>343596</t>
  </si>
  <si>
    <t>ORD-2023682</t>
  </si>
  <si>
    <t>6032990900</t>
  </si>
  <si>
    <t>165048</t>
  </si>
  <si>
    <t>ORD-2023695</t>
  </si>
  <si>
    <t>9287835733</t>
  </si>
  <si>
    <t>297395</t>
  </si>
  <si>
    <t>9042245641</t>
  </si>
  <si>
    <t>371585</t>
  </si>
  <si>
    <t>ORD-2023754</t>
  </si>
  <si>
    <t>6306162185</t>
  </si>
  <si>
    <t>485914</t>
  </si>
  <si>
    <t>ORD-2023747</t>
  </si>
  <si>
    <t>9388168785</t>
  </si>
  <si>
    <t>278100</t>
  </si>
  <si>
    <t>7978999514</t>
  </si>
  <si>
    <t>581273</t>
  </si>
  <si>
    <t>ORD-2023599</t>
  </si>
  <si>
    <t>865337773</t>
  </si>
  <si>
    <t>260552</t>
  </si>
  <si>
    <t>ORD-2023743</t>
  </si>
  <si>
    <t>7000914352</t>
  </si>
  <si>
    <t>516309</t>
  </si>
  <si>
    <t>ORD-2023709</t>
  </si>
  <si>
    <t>9904182805</t>
  </si>
  <si>
    <t>145280</t>
  </si>
  <si>
    <t>ORD-2023677</t>
  </si>
  <si>
    <t>8802669141</t>
  </si>
  <si>
    <t>718344</t>
  </si>
  <si>
    <t>ORD-2023674</t>
  </si>
  <si>
    <t>7132517904</t>
  </si>
  <si>
    <t>662146</t>
  </si>
  <si>
    <t>ORD-2023669</t>
  </si>
  <si>
    <t>8339136941</t>
  </si>
  <si>
    <t>693555</t>
  </si>
  <si>
    <t>ORD-2023589</t>
  </si>
  <si>
    <t>94848 17036</t>
  </si>
  <si>
    <t>434999</t>
  </si>
  <si>
    <t>ORD-2023694</t>
  </si>
  <si>
    <t>7523917033</t>
  </si>
  <si>
    <t>227093</t>
  </si>
  <si>
    <t>ORD-2023642</t>
  </si>
  <si>
    <t>6413493179</t>
  </si>
  <si>
    <t>517457</t>
  </si>
  <si>
    <t>ORD-2023739</t>
  </si>
  <si>
    <t>9692552905</t>
  </si>
  <si>
    <t>554736</t>
  </si>
  <si>
    <t>ORD-2023781</t>
  </si>
  <si>
    <t>6233104481</t>
  </si>
  <si>
    <t>242588</t>
  </si>
  <si>
    <t>ORD-2023639</t>
  </si>
  <si>
    <t>8916764032</t>
  </si>
  <si>
    <t>586278</t>
  </si>
  <si>
    <t>ORD-2023735</t>
  </si>
  <si>
    <t>6306409805</t>
  </si>
  <si>
    <t>666424</t>
  </si>
  <si>
    <t>ORD-2023734</t>
  </si>
  <si>
    <t>7737939579</t>
  </si>
  <si>
    <t>ORD-2023688</t>
  </si>
  <si>
    <t>828732107</t>
  </si>
  <si>
    <t>581009</t>
  </si>
  <si>
    <t>ORD-2023653</t>
  </si>
  <si>
    <t>64226 23003</t>
  </si>
  <si>
    <t>780822</t>
  </si>
  <si>
    <t>ORD-2023786</t>
  </si>
  <si>
    <t>7649700844</t>
  </si>
  <si>
    <t>210551</t>
  </si>
  <si>
    <t>75404 76253</t>
  </si>
  <si>
    <t>674452</t>
  </si>
  <si>
    <t>ORD-2023728</t>
  </si>
  <si>
    <t>Durga Prasad</t>
  </si>
  <si>
    <t>6920559675</t>
  </si>
  <si>
    <t>541675</t>
  </si>
  <si>
    <t>ORD-2023767</t>
  </si>
  <si>
    <t>7289899307</t>
  </si>
  <si>
    <t>774170</t>
  </si>
  <si>
    <t>ORD-2023794</t>
  </si>
  <si>
    <t>7090073794</t>
  </si>
  <si>
    <t>288632</t>
  </si>
  <si>
    <t>ORD-2023762</t>
  </si>
  <si>
    <t>6658578375</t>
  </si>
  <si>
    <t>574369</t>
  </si>
  <si>
    <t>ORD-2023771</t>
  </si>
  <si>
    <t>8231265327</t>
  </si>
  <si>
    <t>620970</t>
  </si>
  <si>
    <t>ORD-2023778</t>
  </si>
  <si>
    <t>8706507612</t>
  </si>
  <si>
    <t>379138</t>
  </si>
  <si>
    <t>ORD-2023707</t>
  </si>
  <si>
    <t>7902220975</t>
  </si>
  <si>
    <t>150552</t>
  </si>
  <si>
    <t>ORD-2023755</t>
  </si>
  <si>
    <t>8307122600</t>
  </si>
  <si>
    <t>576517</t>
  </si>
  <si>
    <t>ORD-2023640</t>
  </si>
  <si>
    <t>6724525737</t>
  </si>
  <si>
    <t>165426</t>
  </si>
  <si>
    <t>ORD-2023740</t>
  </si>
  <si>
    <t>7880316647</t>
  </si>
  <si>
    <t>393176</t>
  </si>
  <si>
    <t>ORD-2023759</t>
  </si>
  <si>
    <t>8368957967</t>
  </si>
  <si>
    <t>221291</t>
  </si>
  <si>
    <t>ORD-2023773</t>
  </si>
  <si>
    <t xml:space="preserve"> 8744252694</t>
  </si>
  <si>
    <t>306770</t>
  </si>
  <si>
    <t>ORD-2023712</t>
  </si>
  <si>
    <t>6449908035</t>
  </si>
  <si>
    <t>442753</t>
  </si>
  <si>
    <t>ORD-2023782</t>
  </si>
  <si>
    <t>6002264259</t>
  </si>
  <si>
    <t>216929</t>
  </si>
  <si>
    <t>ORD-2023726</t>
  </si>
  <si>
    <t>6045292676</t>
  </si>
  <si>
    <t>231160</t>
  </si>
  <si>
    <t>ORD-2023713</t>
  </si>
  <si>
    <t>8611568622</t>
  </si>
  <si>
    <t>247699</t>
  </si>
  <si>
    <t>ORD-2023780</t>
  </si>
  <si>
    <t>6661545985</t>
  </si>
  <si>
    <t>289680</t>
  </si>
  <si>
    <t>ORD-2023758</t>
  </si>
  <si>
    <t>6123203668</t>
  </si>
  <si>
    <t>664890</t>
  </si>
  <si>
    <t>ORD-2023733</t>
  </si>
  <si>
    <t xml:space="preserve"> 8045358597</t>
  </si>
  <si>
    <t>281146</t>
  </si>
  <si>
    <t>ORD-2023697</t>
  </si>
  <si>
    <t>8690448467</t>
  </si>
  <si>
    <t>553800</t>
  </si>
  <si>
    <t>ORD-2023761</t>
  </si>
  <si>
    <t>9356890581</t>
  </si>
  <si>
    <t>624854</t>
  </si>
  <si>
    <t>ORD-2023710</t>
  </si>
  <si>
    <t>7418395252</t>
  </si>
  <si>
    <t>180361</t>
  </si>
  <si>
    <t>ORD-2023689</t>
  </si>
  <si>
    <t>7244029363</t>
  </si>
  <si>
    <t>611425</t>
  </si>
  <si>
    <t>ORD-2023737</t>
  </si>
  <si>
    <t>8996276861</t>
  </si>
  <si>
    <t>151350</t>
  </si>
  <si>
    <t>ORD-2023770</t>
  </si>
  <si>
    <t>9172366704</t>
  </si>
  <si>
    <t>141639</t>
  </si>
  <si>
    <t>ORD-2023812</t>
  </si>
  <si>
    <t>7160378110</t>
  </si>
  <si>
    <t>ORD-2023719</t>
  </si>
  <si>
    <t>8658744888</t>
  </si>
  <si>
    <t>258241</t>
  </si>
  <si>
    <t>ORD-2023699</t>
  </si>
  <si>
    <t>7800436475</t>
  </si>
  <si>
    <t>220782</t>
  </si>
  <si>
    <t>ORD-2023811</t>
  </si>
  <si>
    <t>8555465426</t>
  </si>
  <si>
    <t>395938</t>
  </si>
  <si>
    <t>ORD-2023766</t>
  </si>
  <si>
    <t>63683 85095</t>
  </si>
  <si>
    <t>541870</t>
  </si>
  <si>
    <t>ORD-2023765</t>
  </si>
  <si>
    <t>408390</t>
  </si>
  <si>
    <t>ORD-2023795</t>
  </si>
  <si>
    <t>8304948414</t>
  </si>
  <si>
    <t>616875</t>
  </si>
  <si>
    <t>ORD-2023792</t>
  </si>
  <si>
    <t xml:space="preserve"> 9941079116</t>
  </si>
  <si>
    <t>428171</t>
  </si>
  <si>
    <t>ORD-2023822</t>
  </si>
  <si>
    <t>6082267990</t>
  </si>
  <si>
    <t>176247</t>
  </si>
  <si>
    <t>ORD-2023809</t>
  </si>
  <si>
    <t>8492674876</t>
  </si>
  <si>
    <t>399593</t>
  </si>
  <si>
    <t>ORD-2023741</t>
  </si>
  <si>
    <t>730907406</t>
  </si>
  <si>
    <t>712676</t>
  </si>
  <si>
    <t>ORD-2023681</t>
  </si>
  <si>
    <t>8337008942</t>
  </si>
  <si>
    <t>649638</t>
  </si>
  <si>
    <t>ORD-2023721</t>
  </si>
  <si>
    <t>71578 37926</t>
  </si>
  <si>
    <t>249237</t>
  </si>
  <si>
    <t>ORD-2023784</t>
  </si>
  <si>
    <t>6686067347</t>
  </si>
  <si>
    <t>663373</t>
  </si>
  <si>
    <t>ORD-2023670</t>
  </si>
  <si>
    <t>8087300210</t>
  </si>
  <si>
    <t>304918</t>
  </si>
  <si>
    <t>ORD-2023700</t>
  </si>
  <si>
    <t>6937859541</t>
  </si>
  <si>
    <t>493514</t>
  </si>
  <si>
    <t>ORD-2023825</t>
  </si>
  <si>
    <t>8847719888</t>
  </si>
  <si>
    <t>267074</t>
  </si>
  <si>
    <t>ORD-2023806</t>
  </si>
  <si>
    <t>Pallavi Gaikwad</t>
  </si>
  <si>
    <t>8694660490</t>
  </si>
  <si>
    <t>156431</t>
  </si>
  <si>
    <t>ORD-2023738</t>
  </si>
  <si>
    <t>8855002957</t>
  </si>
  <si>
    <t>696088</t>
  </si>
  <si>
    <t>ORD-2023789</t>
  </si>
  <si>
    <t>9929328507</t>
  </si>
  <si>
    <t>388069</t>
  </si>
  <si>
    <t>ORD-2023810</t>
  </si>
  <si>
    <t>9121186018</t>
  </si>
  <si>
    <t>484528</t>
  </si>
  <si>
    <t>ORD-2023807</t>
  </si>
  <si>
    <t>Smita  Patil</t>
  </si>
  <si>
    <t>9641804460</t>
  </si>
  <si>
    <t>ORD-2023816</t>
  </si>
  <si>
    <t>9625384766</t>
  </si>
  <si>
    <t>503557</t>
  </si>
  <si>
    <t xml:space="preserve"> 8165627740</t>
  </si>
  <si>
    <t>519237</t>
  </si>
  <si>
    <t>ORD-2023774</t>
  </si>
  <si>
    <t>9342322109</t>
  </si>
  <si>
    <t>142474</t>
  </si>
  <si>
    <t>ORD-2023819</t>
  </si>
  <si>
    <t>6009624265</t>
  </si>
  <si>
    <t>547269</t>
  </si>
  <si>
    <t>ORD-2023693</t>
  </si>
  <si>
    <t>9204767666</t>
  </si>
  <si>
    <t>185766</t>
  </si>
  <si>
    <t>ORD-2023736</t>
  </si>
  <si>
    <t>9964574433</t>
  </si>
  <si>
    <t>762447</t>
  </si>
  <si>
    <t>ORD-2023836</t>
  </si>
  <si>
    <t>8927943763</t>
  </si>
  <si>
    <t>ORD-2023833</t>
  </si>
  <si>
    <t>6212821938</t>
  </si>
  <si>
    <t>423907</t>
  </si>
  <si>
    <t>ORD-2023841</t>
  </si>
  <si>
    <t>6512421063</t>
  </si>
  <si>
    <t>540724</t>
  </si>
  <si>
    <t>ORD-2023808</t>
  </si>
  <si>
    <t>7613417491</t>
  </si>
  <si>
    <t>123617</t>
  </si>
  <si>
    <t>ORD-2023656</t>
  </si>
  <si>
    <t>7647904991</t>
  </si>
  <si>
    <t>722404</t>
  </si>
  <si>
    <t>ORD-2023760</t>
  </si>
  <si>
    <t>61549 17732</t>
  </si>
  <si>
    <t>659187</t>
  </si>
  <si>
    <t>ORD-2023779</t>
  </si>
  <si>
    <t>7766949471</t>
  </si>
  <si>
    <t>363061</t>
  </si>
  <si>
    <t>9136964804</t>
  </si>
  <si>
    <t>140739</t>
  </si>
  <si>
    <t>ORD-2023757</t>
  </si>
  <si>
    <t>9592094101</t>
  </si>
  <si>
    <t>608888</t>
  </si>
  <si>
    <t>ORD-2023763</t>
  </si>
  <si>
    <t>9812923613</t>
  </si>
  <si>
    <t>632432</t>
  </si>
  <si>
    <t>ORD-2023832</t>
  </si>
  <si>
    <t>7034857365</t>
  </si>
  <si>
    <t>640632</t>
  </si>
  <si>
    <t>ORD-2023845</t>
  </si>
  <si>
    <t>9269901523</t>
  </si>
  <si>
    <t>528960</t>
  </si>
  <si>
    <t>8682048109</t>
  </si>
  <si>
    <t>324511</t>
  </si>
  <si>
    <t>ORD-2023821</t>
  </si>
  <si>
    <t>9815590308</t>
  </si>
  <si>
    <t>418461</t>
  </si>
  <si>
    <t>ORD-2023847</t>
  </si>
  <si>
    <t>7277547777</t>
  </si>
  <si>
    <t>735093</t>
  </si>
  <si>
    <t>ORD-2023732</t>
  </si>
  <si>
    <t>8674906412</t>
  </si>
  <si>
    <t>777911</t>
  </si>
  <si>
    <t>ORD-2023803</t>
  </si>
  <si>
    <t>7504910860</t>
  </si>
  <si>
    <t>692996</t>
  </si>
  <si>
    <t>ORD-2023769</t>
  </si>
  <si>
    <t>8396379020</t>
  </si>
  <si>
    <t>214166</t>
  </si>
  <si>
    <t>ORD-2023854</t>
  </si>
  <si>
    <t>6663795818</t>
  </si>
  <si>
    <t>706679</t>
  </si>
  <si>
    <t>ORD-2023775</t>
  </si>
  <si>
    <t>6229232468</t>
  </si>
  <si>
    <t>625837</t>
  </si>
  <si>
    <t>ORD-2023749</t>
  </si>
  <si>
    <t>66449 43632</t>
  </si>
  <si>
    <t>562245</t>
  </si>
  <si>
    <t>ORD-2023827</t>
  </si>
  <si>
    <t>8663279042</t>
  </si>
  <si>
    <t>742437</t>
  </si>
  <si>
    <t>ORD-2023834</t>
  </si>
  <si>
    <t>9130610922</t>
  </si>
  <si>
    <t>196702</t>
  </si>
  <si>
    <t>ORD-2023776</t>
  </si>
  <si>
    <t>60275 10056</t>
  </si>
  <si>
    <t>322452</t>
  </si>
  <si>
    <t>ORD-2023863</t>
  </si>
  <si>
    <t xml:space="preserve"> 7685519020</t>
  </si>
  <si>
    <t>492757</t>
  </si>
  <si>
    <t>ORD-2023730</t>
  </si>
  <si>
    <t>9259283397</t>
  </si>
  <si>
    <t>700144</t>
  </si>
  <si>
    <t>ORD-2023855</t>
  </si>
  <si>
    <t>72593 57076</t>
  </si>
  <si>
    <t>277893</t>
  </si>
  <si>
    <t>ORD-2023840</t>
  </si>
  <si>
    <t>6628058777</t>
  </si>
  <si>
    <t>739039</t>
  </si>
  <si>
    <t>ORD-2023788</t>
  </si>
  <si>
    <t>7250075167</t>
  </si>
  <si>
    <t>405859</t>
  </si>
  <si>
    <t>ORD-2023831</t>
  </si>
  <si>
    <t>8919699335</t>
  </si>
  <si>
    <t>610634</t>
  </si>
  <si>
    <t>ORD-2023783</t>
  </si>
  <si>
    <t>7786503947</t>
  </si>
  <si>
    <t>241638</t>
  </si>
  <si>
    <t>ORD-2023804</t>
  </si>
  <si>
    <t>7916867088</t>
  </si>
  <si>
    <t>262995</t>
  </si>
  <si>
    <t>ORD-2023826</t>
  </si>
  <si>
    <t>6811157034</t>
  </si>
  <si>
    <t>449041</t>
  </si>
  <si>
    <t>ORD-2023859</t>
  </si>
  <si>
    <t>528760</t>
  </si>
  <si>
    <t>ORD-2023790</t>
  </si>
  <si>
    <t>8578290524</t>
  </si>
  <si>
    <t>117173</t>
  </si>
  <si>
    <t>ORD-2023857</t>
  </si>
  <si>
    <t>8886659481</t>
  </si>
  <si>
    <t>780318</t>
  </si>
  <si>
    <t>ORD-2023824</t>
  </si>
  <si>
    <t>8713202534</t>
  </si>
  <si>
    <t>728705</t>
  </si>
  <si>
    <t>ORD-2023791</t>
  </si>
  <si>
    <t>7247254265</t>
  </si>
  <si>
    <t>355298</t>
  </si>
  <si>
    <t>ORD-2023851</t>
  </si>
  <si>
    <t>9318995931</t>
  </si>
  <si>
    <t>ORD-2023882</t>
  </si>
  <si>
    <t>9595513305</t>
  </si>
  <si>
    <t>222465</t>
  </si>
  <si>
    <t>ORD-2023872</t>
  </si>
  <si>
    <t>8128171899</t>
  </si>
  <si>
    <t>719584</t>
  </si>
  <si>
    <t>ORD-2023764</t>
  </si>
  <si>
    <t>71002 18241</t>
  </si>
  <si>
    <t>177351</t>
  </si>
  <si>
    <t>ORD-2023813</t>
  </si>
  <si>
    <t>8072239567</t>
  </si>
  <si>
    <t>586007</t>
  </si>
  <si>
    <t>ORD-2023856</t>
  </si>
  <si>
    <t>7341880796</t>
  </si>
  <si>
    <t>675532</t>
  </si>
  <si>
    <t>ORD-2023842</t>
  </si>
  <si>
    <t>6555354407</t>
  </si>
  <si>
    <t>220996</t>
  </si>
  <si>
    <t>ORD-2023860</t>
  </si>
  <si>
    <t xml:space="preserve"> 6864426244</t>
  </si>
  <si>
    <t>595747</t>
  </si>
  <si>
    <t>ORD-2023884</t>
  </si>
  <si>
    <t>9992469247</t>
  </si>
  <si>
    <t>484629</t>
  </si>
  <si>
    <t>ORD-2023844</t>
  </si>
  <si>
    <t>65411 19020</t>
  </si>
  <si>
    <t>788145</t>
  </si>
  <si>
    <t>ORD-2023886</t>
  </si>
  <si>
    <t>9826829508</t>
  </si>
  <si>
    <t>646007</t>
  </si>
  <si>
    <t>ORD-2023820</t>
  </si>
  <si>
    <t>8046400606</t>
  </si>
  <si>
    <t>699795</t>
  </si>
  <si>
    <t>9926251743</t>
  </si>
  <si>
    <t>643218</t>
  </si>
  <si>
    <t>ORD-2023838</t>
  </si>
  <si>
    <t>9427183224</t>
  </si>
  <si>
    <t>400218</t>
  </si>
  <si>
    <t>ORD-2023866</t>
  </si>
  <si>
    <t>7767742393</t>
  </si>
  <si>
    <t>716568</t>
  </si>
  <si>
    <t>9831873095</t>
  </si>
  <si>
    <t>199795</t>
  </si>
  <si>
    <t>ORD-2023895</t>
  </si>
  <si>
    <t>7959602331</t>
  </si>
  <si>
    <t>687554</t>
  </si>
  <si>
    <t>ORD-2023772</t>
  </si>
  <si>
    <t>6450497236</t>
  </si>
  <si>
    <t>346942</t>
  </si>
  <si>
    <t>ORD-2023875</t>
  </si>
  <si>
    <t>6857491106</t>
  </si>
  <si>
    <t>164930</t>
  </si>
  <si>
    <t>ORD-2023891</t>
  </si>
  <si>
    <t>9920327357</t>
  </si>
  <si>
    <t>475876</t>
  </si>
  <si>
    <t>ORD-2023901</t>
  </si>
  <si>
    <t>68499 77070</t>
  </si>
  <si>
    <t>621916</t>
  </si>
  <si>
    <t>ORD-2023873</t>
  </si>
  <si>
    <t>9142785314</t>
  </si>
  <si>
    <t>723660</t>
  </si>
  <si>
    <t>ORD-2023745</t>
  </si>
  <si>
    <t>9660456893</t>
  </si>
  <si>
    <t>500535</t>
  </si>
  <si>
    <t>ORD-2023829</t>
  </si>
  <si>
    <t>7754422061</t>
  </si>
  <si>
    <t>612219</t>
  </si>
  <si>
    <t>ORD-2023846</t>
  </si>
  <si>
    <t>6514369745</t>
  </si>
  <si>
    <t>476056</t>
  </si>
  <si>
    <t>ORD-2023876</t>
  </si>
  <si>
    <t>8476293684</t>
  </si>
  <si>
    <t>114116</t>
  </si>
  <si>
    <t>ORD-2023867</t>
  </si>
  <si>
    <t>8201656633</t>
  </si>
  <si>
    <t>784450</t>
  </si>
  <si>
    <t>ORD-2023750</t>
  </si>
  <si>
    <t>8310907718</t>
  </si>
  <si>
    <t>527163</t>
  </si>
  <si>
    <t>ORD-2023768</t>
  </si>
  <si>
    <t>8013433906</t>
  </si>
  <si>
    <t>702416</t>
  </si>
  <si>
    <t>ORD-2023888</t>
  </si>
  <si>
    <t>7044364364</t>
  </si>
  <si>
    <t>169113</t>
  </si>
  <si>
    <t>ORD-2023814</t>
  </si>
  <si>
    <t>6586775465</t>
  </si>
  <si>
    <t>506930</t>
  </si>
  <si>
    <t>ORD-2023911</t>
  </si>
  <si>
    <t>8656003375</t>
  </si>
  <si>
    <t>464956</t>
  </si>
  <si>
    <t>ORD-2023879</t>
  </si>
  <si>
    <t>7439229501</t>
  </si>
  <si>
    <t>674656</t>
  </si>
  <si>
    <t>ORD-2023843</t>
  </si>
  <si>
    <t>6085592562</t>
  </si>
  <si>
    <t>428946</t>
  </si>
  <si>
    <t>ORD-2023899</t>
  </si>
  <si>
    <t>8628868879</t>
  </si>
  <si>
    <t>557998</t>
  </si>
  <si>
    <t>ORD-2023787</t>
  </si>
  <si>
    <t>9801220163</t>
  </si>
  <si>
    <t>337385</t>
  </si>
  <si>
    <t>ORD-2023871</t>
  </si>
  <si>
    <t>121320</t>
  </si>
  <si>
    <t>ORD-2023785</t>
  </si>
  <si>
    <t>Deepak  Nair</t>
  </si>
  <si>
    <t>9325276252</t>
  </si>
  <si>
    <t>137864</t>
  </si>
  <si>
    <t>ORD-2023910</t>
  </si>
  <si>
    <t>9531984105</t>
  </si>
  <si>
    <t>567352</t>
  </si>
  <si>
    <t xml:space="preserve"> 8018320511</t>
  </si>
  <si>
    <t>530720</t>
  </si>
  <si>
    <t>ORD-2023907</t>
  </si>
  <si>
    <t>7138819011</t>
  </si>
  <si>
    <t>140396</t>
  </si>
  <si>
    <t>ORD-2023839</t>
  </si>
  <si>
    <t>7928489873</t>
  </si>
  <si>
    <t>126669</t>
  </si>
  <si>
    <t>ORD-2023853</t>
  </si>
  <si>
    <t>9735334062</t>
  </si>
  <si>
    <t>470049</t>
  </si>
  <si>
    <t>ORD-2023861</t>
  </si>
  <si>
    <t>7574218842</t>
  </si>
  <si>
    <t>516214</t>
  </si>
  <si>
    <t>ORD-2023913</t>
  </si>
  <si>
    <t>9057824531</t>
  </si>
  <si>
    <t>325575</t>
  </si>
  <si>
    <t>ORD-2023835</t>
  </si>
  <si>
    <t>9715901125</t>
  </si>
  <si>
    <t>545814</t>
  </si>
  <si>
    <t>ORD-2023870</t>
  </si>
  <si>
    <t>7372386159</t>
  </si>
  <si>
    <t>623570</t>
  </si>
  <si>
    <t>ORD-2023817</t>
  </si>
  <si>
    <t>6560285869</t>
  </si>
  <si>
    <t>201303</t>
  </si>
  <si>
    <t>ORD-2023900</t>
  </si>
  <si>
    <t>7507655737</t>
  </si>
  <si>
    <t>549678</t>
  </si>
  <si>
    <t>ORD-2023815</t>
  </si>
  <si>
    <t>9407008415</t>
  </si>
  <si>
    <t>747820</t>
  </si>
  <si>
    <t>ORD-2023890</t>
  </si>
  <si>
    <t>9338041917</t>
  </si>
  <si>
    <t>791685</t>
  </si>
  <si>
    <t>ORD-2023904</t>
  </si>
  <si>
    <t>9576455459</t>
  </si>
  <si>
    <t>510366</t>
  </si>
  <si>
    <t>ORD-2023893</t>
  </si>
  <si>
    <t>7144876216</t>
  </si>
  <si>
    <t>704318</t>
  </si>
  <si>
    <t>ORD-2023906</t>
  </si>
  <si>
    <t>6991945644</t>
  </si>
  <si>
    <t>661886</t>
  </si>
  <si>
    <t>ORD-2023865</t>
  </si>
  <si>
    <t>296109</t>
  </si>
  <si>
    <t>ORD-2023920</t>
  </si>
  <si>
    <t>6689409363</t>
  </si>
  <si>
    <t>307007</t>
  </si>
  <si>
    <t>ORD-2023894</t>
  </si>
  <si>
    <t>8305270436</t>
  </si>
  <si>
    <t>120467</t>
  </si>
  <si>
    <t>ORD-2023868</t>
  </si>
  <si>
    <t>8984104003</t>
  </si>
  <si>
    <t>350406</t>
  </si>
  <si>
    <t>ORD-2023917</t>
  </si>
  <si>
    <t>8779036666</t>
  </si>
  <si>
    <t>311846</t>
  </si>
  <si>
    <t>ORD-2023912</t>
  </si>
  <si>
    <t>8056878071</t>
  </si>
  <si>
    <t>639879</t>
  </si>
  <si>
    <t>ORD-2023925</t>
  </si>
  <si>
    <t>7490294849</t>
  </si>
  <si>
    <t>678677</t>
  </si>
  <si>
    <t>ORD-2023942</t>
  </si>
  <si>
    <t>9185360878</t>
  </si>
  <si>
    <t>ORD-2023801</t>
  </si>
  <si>
    <t>9705467393</t>
  </si>
  <si>
    <t>162511</t>
  </si>
  <si>
    <t>ORD-2023777</t>
  </si>
  <si>
    <t>7000190073</t>
  </si>
  <si>
    <t>144009</t>
  </si>
  <si>
    <t>ORD-2023828</t>
  </si>
  <si>
    <t>6942941259</t>
  </si>
  <si>
    <t>561104</t>
  </si>
  <si>
    <t>ORD-2023934</t>
  </si>
  <si>
    <t>9026638207</t>
  </si>
  <si>
    <t>580891</t>
  </si>
  <si>
    <t>ORD-2023929</t>
  </si>
  <si>
    <t>Nagalakshmi  Venkatesh</t>
  </si>
  <si>
    <t>6871924972</t>
  </si>
  <si>
    <t>441723</t>
  </si>
  <si>
    <t>ORD-2023923</t>
  </si>
  <si>
    <t>9646705068</t>
  </si>
  <si>
    <t>559133</t>
  </si>
  <si>
    <t>ORD-2023802</t>
  </si>
  <si>
    <t>8242716186</t>
  </si>
  <si>
    <t>773325</t>
  </si>
  <si>
    <t>ORD-2023823</t>
  </si>
  <si>
    <t>7253941854</t>
  </si>
  <si>
    <t>474020</t>
  </si>
  <si>
    <t>ORD-2023874</t>
  </si>
  <si>
    <t>8856434760</t>
  </si>
  <si>
    <t>329506</t>
  </si>
  <si>
    <t>ORD-2023944</t>
  </si>
  <si>
    <t>7016636622</t>
  </si>
  <si>
    <t>479094</t>
  </si>
  <si>
    <t>ORD-2023889</t>
  </si>
  <si>
    <t>7441066788</t>
  </si>
  <si>
    <t>660327</t>
  </si>
  <si>
    <t>ORD-2023931</t>
  </si>
  <si>
    <t>8541298249</t>
  </si>
  <si>
    <t>255429</t>
  </si>
  <si>
    <t>ORD-2023797</t>
  </si>
  <si>
    <t>8623838440</t>
  </si>
  <si>
    <t>137579</t>
  </si>
  <si>
    <t>ORD-2023909</t>
  </si>
  <si>
    <t>7793911717</t>
  </si>
  <si>
    <t>620409</t>
  </si>
  <si>
    <t>ORD-2023862</t>
  </si>
  <si>
    <t>9404393516</t>
  </si>
  <si>
    <t>213440</t>
  </si>
  <si>
    <t>ORD-2023798</t>
  </si>
  <si>
    <t>953298734</t>
  </si>
  <si>
    <t>148736</t>
  </si>
  <si>
    <t>ORD-2023915</t>
  </si>
  <si>
    <t>6417569430</t>
  </si>
  <si>
    <t>714162</t>
  </si>
  <si>
    <t>ORD-2023957</t>
  </si>
  <si>
    <t>68852 49919</t>
  </si>
  <si>
    <t>401610</t>
  </si>
  <si>
    <t>ORD-2023955</t>
  </si>
  <si>
    <t>6682288542</t>
  </si>
  <si>
    <t>735537</t>
  </si>
  <si>
    <t>ORD-2023878</t>
  </si>
  <si>
    <t xml:space="preserve"> 7536017430</t>
  </si>
  <si>
    <t>264833</t>
  </si>
  <si>
    <t>ORD-2023945</t>
  </si>
  <si>
    <t>8270254316</t>
  </si>
  <si>
    <t>275230</t>
  </si>
  <si>
    <t>ORD-2023943</t>
  </si>
  <si>
    <t>7053242169</t>
  </si>
  <si>
    <t>654520</t>
  </si>
  <si>
    <t>ORD-2023965</t>
  </si>
  <si>
    <t>6412359989</t>
  </si>
  <si>
    <t>175965</t>
  </si>
  <si>
    <t>ORD-2023918</t>
  </si>
  <si>
    <t>9653222470</t>
  </si>
  <si>
    <t>373267</t>
  </si>
  <si>
    <t>ORD-2023956</t>
  </si>
  <si>
    <t>6508105635</t>
  </si>
  <si>
    <t>253757</t>
  </si>
  <si>
    <t>ORD-2023880</t>
  </si>
  <si>
    <t>6609203314</t>
  </si>
  <si>
    <t>133803</t>
  </si>
  <si>
    <t>ORD-2023848</t>
  </si>
  <si>
    <t>402819</t>
  </si>
  <si>
    <t>ORD-2023916</t>
  </si>
  <si>
    <t>995578022</t>
  </si>
  <si>
    <t>410170</t>
  </si>
  <si>
    <t>ORD-2023937</t>
  </si>
  <si>
    <t>6104083843</t>
  </si>
  <si>
    <t>406225</t>
  </si>
  <si>
    <t>ORD-2023969</t>
  </si>
  <si>
    <t>7968788420</t>
  </si>
  <si>
    <t>511939</t>
  </si>
  <si>
    <t>ORD-2023940</t>
  </si>
  <si>
    <t>9395945921</t>
  </si>
  <si>
    <t>254326</t>
  </si>
  <si>
    <t>ORD-2023850</t>
  </si>
  <si>
    <t>7251575951</t>
  </si>
  <si>
    <t>388050</t>
  </si>
  <si>
    <t>ORD-2023949</t>
  </si>
  <si>
    <t>8536757777</t>
  </si>
  <si>
    <t>788488</t>
  </si>
  <si>
    <t>8712435668</t>
  </si>
  <si>
    <t>577130</t>
  </si>
  <si>
    <t>ORD-2023922</t>
  </si>
  <si>
    <t>9627564439</t>
  </si>
  <si>
    <t>233859</t>
  </si>
  <si>
    <t>ORD-2023898</t>
  </si>
  <si>
    <t>9677705548</t>
  </si>
  <si>
    <t>ORD-2023979</t>
  </si>
  <si>
    <t>8195617655</t>
  </si>
  <si>
    <t>268714</t>
  </si>
  <si>
    <t>ORD-2023818</t>
  </si>
  <si>
    <t>9310185088</t>
  </si>
  <si>
    <t>121050</t>
  </si>
  <si>
    <t>ORD-2023935</t>
  </si>
  <si>
    <t>9379226281</t>
  </si>
  <si>
    <t>119095</t>
  </si>
  <si>
    <t>ORD-2023976</t>
  </si>
  <si>
    <t>6665397885</t>
  </si>
  <si>
    <t>385193</t>
  </si>
  <si>
    <t>ORD-2023896</t>
  </si>
  <si>
    <t>9755798322</t>
  </si>
  <si>
    <t>704832</t>
  </si>
  <si>
    <t>ORD-2023954</t>
  </si>
  <si>
    <t>6282196087</t>
  </si>
  <si>
    <t>726552</t>
  </si>
  <si>
    <t>ORD-2023972</t>
  </si>
  <si>
    <t>8793226527</t>
  </si>
  <si>
    <t>573787</t>
  </si>
  <si>
    <t>ORD-2023939</t>
  </si>
  <si>
    <t xml:space="preserve"> 8051306967</t>
  </si>
  <si>
    <t>345295</t>
  </si>
  <si>
    <t>ORD-2023974</t>
  </si>
  <si>
    <t>6723866560</t>
  </si>
  <si>
    <t>779835</t>
  </si>
  <si>
    <t>ORD-2023793</t>
  </si>
  <si>
    <t>9041507493</t>
  </si>
  <si>
    <t>ORD-2023932</t>
  </si>
  <si>
    <t>7638364722</t>
  </si>
  <si>
    <t>302915</t>
  </si>
  <si>
    <t>ORD-2023989</t>
  </si>
  <si>
    <t>8098166881</t>
  </si>
  <si>
    <t>538715</t>
  </si>
  <si>
    <t>ORD-2023849</t>
  </si>
  <si>
    <t>67173 31571</t>
  </si>
  <si>
    <t>385244</t>
  </si>
  <si>
    <t>ORD-2023968</t>
  </si>
  <si>
    <t>7652427607</t>
  </si>
  <si>
    <t>480380</t>
  </si>
  <si>
    <t>ORD-2023905</t>
  </si>
  <si>
    <t>8207271263</t>
  </si>
  <si>
    <t>272164</t>
  </si>
  <si>
    <t>ORD-2023908</t>
  </si>
  <si>
    <t>6266849053</t>
  </si>
  <si>
    <t>582053</t>
  </si>
  <si>
    <t>ORD-2023938</t>
  </si>
  <si>
    <t>9531154397</t>
  </si>
  <si>
    <t>508518</t>
  </si>
  <si>
    <t>ORD-2023903</t>
  </si>
  <si>
    <t>95799 70629</t>
  </si>
  <si>
    <t>207458</t>
  </si>
  <si>
    <t>ORD-2023919</t>
  </si>
  <si>
    <t xml:space="preserve"> 8748579888</t>
  </si>
  <si>
    <t>293138</t>
  </si>
  <si>
    <t>ORD-2023971</t>
  </si>
  <si>
    <t>7983755504</t>
  </si>
  <si>
    <t>261845</t>
  </si>
  <si>
    <t>ORD-2023951</t>
  </si>
  <si>
    <t>Thiruvengadam  Natarajan</t>
  </si>
  <si>
    <t>8226093164</t>
  </si>
  <si>
    <t>580683</t>
  </si>
  <si>
    <t>ORD-2023991</t>
  </si>
  <si>
    <t>6352413022</t>
  </si>
  <si>
    <t>195096</t>
  </si>
  <si>
    <t>ORD-2023930</t>
  </si>
  <si>
    <t>9715111424</t>
  </si>
  <si>
    <t>602792</t>
  </si>
  <si>
    <t>ORD-2023978</t>
  </si>
  <si>
    <t>8383181720</t>
  </si>
  <si>
    <t>442601</t>
  </si>
  <si>
    <t>ORD-2023986</t>
  </si>
  <si>
    <t xml:space="preserve"> 6064211684</t>
  </si>
  <si>
    <t>263997</t>
  </si>
  <si>
    <t>ORD-2024000</t>
  </si>
  <si>
    <t>6789078695</t>
  </si>
  <si>
    <t>622181</t>
  </si>
  <si>
    <t>ORD-2023864</t>
  </si>
  <si>
    <t>7118596897</t>
  </si>
  <si>
    <t>180696</t>
  </si>
  <si>
    <t>ORD-2023997</t>
  </si>
  <si>
    <t>8112179592</t>
  </si>
  <si>
    <t>470746</t>
  </si>
  <si>
    <t>ORD-2023926</t>
  </si>
  <si>
    <t>7741587199</t>
  </si>
  <si>
    <t>112292</t>
  </si>
  <si>
    <t>ORD-2023999</t>
  </si>
  <si>
    <t>9330107535</t>
  </si>
  <si>
    <t>242228</t>
  </si>
  <si>
    <t>ORD-2024003</t>
  </si>
  <si>
    <t xml:space="preserve"> 8809937151</t>
  </si>
  <si>
    <t>791599</t>
  </si>
  <si>
    <t>ORD-2023983</t>
  </si>
  <si>
    <t>7829385028</t>
  </si>
  <si>
    <t>446727</t>
  </si>
  <si>
    <t>ORD-2024010</t>
  </si>
  <si>
    <t>6037791703</t>
  </si>
  <si>
    <t>609980</t>
  </si>
  <si>
    <t>ORD-2023928</t>
  </si>
  <si>
    <t>9207209578</t>
  </si>
  <si>
    <t>385832</t>
  </si>
  <si>
    <t>ORD-2024005</t>
  </si>
  <si>
    <t>7759930013</t>
  </si>
  <si>
    <t>564446</t>
  </si>
  <si>
    <t>ORD-2023998</t>
  </si>
  <si>
    <t>9380795118</t>
  </si>
  <si>
    <t>361936</t>
  </si>
  <si>
    <t>ORD-2024015</t>
  </si>
  <si>
    <t>7168444696</t>
  </si>
  <si>
    <t>202294</t>
  </si>
  <si>
    <t>ORD-2023887</t>
  </si>
  <si>
    <t>9463924887</t>
  </si>
  <si>
    <t>157487</t>
  </si>
  <si>
    <t>ORD-2023963</t>
  </si>
  <si>
    <t>6317697085</t>
  </si>
  <si>
    <t>545862</t>
  </si>
  <si>
    <t>ORD-2024011</t>
  </si>
  <si>
    <t>77663 35420</t>
  </si>
  <si>
    <t>259853</t>
  </si>
  <si>
    <t>ORD-2023948</t>
  </si>
  <si>
    <t>7350079616</t>
  </si>
  <si>
    <t>312423</t>
  </si>
  <si>
    <t>774326924</t>
  </si>
  <si>
    <t>385611</t>
  </si>
  <si>
    <t>ORD-2023964</t>
  </si>
  <si>
    <t>Roshni  Modi</t>
  </si>
  <si>
    <t>8375428846</t>
  </si>
  <si>
    <t>253280</t>
  </si>
  <si>
    <t>ORD-2023914</t>
  </si>
  <si>
    <t>6672877478</t>
  </si>
  <si>
    <t>405383</t>
  </si>
  <si>
    <t>ORD-2023837</t>
  </si>
  <si>
    <t>9019353110</t>
  </si>
  <si>
    <t>593576</t>
  </si>
  <si>
    <t>ORD-2023953</t>
  </si>
  <si>
    <t>7400613865</t>
  </si>
  <si>
    <t>400191</t>
  </si>
  <si>
    <t>ORD-2024018</t>
  </si>
  <si>
    <t>6504224640</t>
  </si>
  <si>
    <t>632865</t>
  </si>
  <si>
    <t>ORD-2023970</t>
  </si>
  <si>
    <t xml:space="preserve"> 9426708805</t>
  </si>
  <si>
    <t>155090</t>
  </si>
  <si>
    <t>ORD-2023958</t>
  </si>
  <si>
    <t>65417 15007</t>
  </si>
  <si>
    <t>297716</t>
  </si>
  <si>
    <t>ORD-2023990</t>
  </si>
  <si>
    <t>9597833674</t>
  </si>
  <si>
    <t>729601</t>
  </si>
  <si>
    <t>ORD-2024002</t>
  </si>
  <si>
    <t>6595915167</t>
  </si>
  <si>
    <t>166991</t>
  </si>
  <si>
    <t>ORD-2023869</t>
  </si>
  <si>
    <t>8006658484</t>
  </si>
  <si>
    <t>111376</t>
  </si>
  <si>
    <t>ORD-2023960</t>
  </si>
  <si>
    <t>7130050198</t>
  </si>
  <si>
    <t>451315</t>
  </si>
  <si>
    <t>ORD-2023881</t>
  </si>
  <si>
    <t>88418 05141</t>
  </si>
  <si>
    <t>333180</t>
  </si>
  <si>
    <t>ORD-2024035</t>
  </si>
  <si>
    <t>9373949125</t>
  </si>
  <si>
    <t>440425</t>
  </si>
  <si>
    <t>ORD-2024029</t>
  </si>
  <si>
    <t>8831960250</t>
  </si>
  <si>
    <t>794005</t>
  </si>
  <si>
    <t>ORD-2023959</t>
  </si>
  <si>
    <t>9707518621</t>
  </si>
  <si>
    <t>181326</t>
  </si>
  <si>
    <t>ORD-2024036</t>
  </si>
  <si>
    <t>7703108083</t>
  </si>
  <si>
    <t>394926</t>
  </si>
  <si>
    <t>ORD-2023977</t>
  </si>
  <si>
    <t>8037825371</t>
  </si>
  <si>
    <t>772428</t>
  </si>
  <si>
    <t>ORD-2023962</t>
  </si>
  <si>
    <t>7846401577</t>
  </si>
  <si>
    <t>425306</t>
  </si>
  <si>
    <t>ORD-2023885</t>
  </si>
  <si>
    <t>7923898622</t>
  </si>
  <si>
    <t>782583</t>
  </si>
  <si>
    <t>ORD-2024008</t>
  </si>
  <si>
    <t>7009166595</t>
  </si>
  <si>
    <t>422598</t>
  </si>
  <si>
    <t>ORD-2024025</t>
  </si>
  <si>
    <t>8340250064</t>
  </si>
  <si>
    <t>483432</t>
  </si>
  <si>
    <t>ORD-2024016</t>
  </si>
  <si>
    <t>7552823016</t>
  </si>
  <si>
    <t>262547</t>
  </si>
  <si>
    <t>ORD-2024022</t>
  </si>
  <si>
    <t xml:space="preserve"> 8978442982</t>
  </si>
  <si>
    <t>298675</t>
  </si>
  <si>
    <t>ORD-2023992</t>
  </si>
  <si>
    <t>7139594357</t>
  </si>
  <si>
    <t>433557</t>
  </si>
  <si>
    <t>ORD-2024043</t>
  </si>
  <si>
    <t>9265720798</t>
  </si>
  <si>
    <t>793428</t>
  </si>
  <si>
    <t>ORD-2023897</t>
  </si>
  <si>
    <t>7952747871</t>
  </si>
  <si>
    <t>629154</t>
  </si>
  <si>
    <t>ORD-2024040</t>
  </si>
  <si>
    <t>7538063190</t>
  </si>
  <si>
    <t>632128</t>
  </si>
  <si>
    <t>ORD-2023981</t>
  </si>
  <si>
    <t>8996459624</t>
  </si>
  <si>
    <t>777069</t>
  </si>
  <si>
    <t>ORD-2023933</t>
  </si>
  <si>
    <t>96015 04340</t>
  </si>
  <si>
    <t>590229</t>
  </si>
  <si>
    <t>ORD-2024047</t>
  </si>
  <si>
    <t>6305342890</t>
  </si>
  <si>
    <t>162934</t>
  </si>
  <si>
    <t>ORD-2023921</t>
  </si>
  <si>
    <t>8788477988</t>
  </si>
  <si>
    <t>ORD-2023858</t>
  </si>
  <si>
    <t>8371650942</t>
  </si>
  <si>
    <t>647561</t>
  </si>
  <si>
    <t>ORD-2023967</t>
  </si>
  <si>
    <t>6689009860</t>
  </si>
  <si>
    <t>599262</t>
  </si>
  <si>
    <t>ORD-2024045</t>
  </si>
  <si>
    <t>7962249476</t>
  </si>
  <si>
    <t>252906</t>
  </si>
  <si>
    <t>ORD-2024049</t>
  </si>
  <si>
    <t>7769415139</t>
  </si>
  <si>
    <t>284940</t>
  </si>
  <si>
    <t>ORD-2023947</t>
  </si>
  <si>
    <t>8286255872</t>
  </si>
  <si>
    <t>173426</t>
  </si>
  <si>
    <t>ORD-2023966</t>
  </si>
  <si>
    <t>68637 13799</t>
  </si>
  <si>
    <t>267324</t>
  </si>
  <si>
    <t>ORD-2023975</t>
  </si>
  <si>
    <t>69961 38071</t>
  </si>
  <si>
    <t>269345</t>
  </si>
  <si>
    <t>ORD-2024048</t>
  </si>
  <si>
    <t>9941235288</t>
  </si>
  <si>
    <t>734783</t>
  </si>
  <si>
    <t>Chirag  Desai</t>
  </si>
  <si>
    <t>81918 04384</t>
  </si>
  <si>
    <t>144548</t>
  </si>
  <si>
    <t>ORD-2023961</t>
  </si>
  <si>
    <t>8206304165</t>
  </si>
  <si>
    <t>592014</t>
  </si>
  <si>
    <t>ORD-2024027</t>
  </si>
  <si>
    <t>9772720450</t>
  </si>
  <si>
    <t>248462</t>
  </si>
  <si>
    <t>ORD-2024012</t>
  </si>
  <si>
    <t>8413596653</t>
  </si>
  <si>
    <t>130377</t>
  </si>
  <si>
    <t>ORD-2023902</t>
  </si>
  <si>
    <t>82018 19023</t>
  </si>
  <si>
    <t>143915</t>
  </si>
  <si>
    <t>ORD-2023985</t>
  </si>
  <si>
    <t>6020487103</t>
  </si>
  <si>
    <t>720317</t>
  </si>
  <si>
    <t>ORD-2024028</t>
  </si>
  <si>
    <t>68146 47023</t>
  </si>
  <si>
    <t>376974</t>
  </si>
  <si>
    <t>ORD-2023994</t>
  </si>
  <si>
    <t>7296561206</t>
  </si>
  <si>
    <t>480139</t>
  </si>
  <si>
    <t>ORD-2024014</t>
  </si>
  <si>
    <t>8918198052</t>
  </si>
  <si>
    <t>165661</t>
  </si>
  <si>
    <t>ORD-2024034</t>
  </si>
  <si>
    <t>7914387673</t>
  </si>
  <si>
    <t>298803</t>
  </si>
  <si>
    <t>ORD-2024065</t>
  </si>
  <si>
    <t>8160519170</t>
  </si>
  <si>
    <t>385560</t>
  </si>
  <si>
    <t>ORD-2023996</t>
  </si>
  <si>
    <t>7564731168</t>
  </si>
  <si>
    <t>422700</t>
  </si>
  <si>
    <t>ORD-2023984</t>
  </si>
  <si>
    <t>6314931813</t>
  </si>
  <si>
    <t>351023</t>
  </si>
  <si>
    <t>ORD-2023980</t>
  </si>
  <si>
    <t xml:space="preserve"> 6588302136</t>
  </si>
  <si>
    <t>125070</t>
  </si>
  <si>
    <t>ORD-2024006</t>
  </si>
  <si>
    <t>7781469539</t>
  </si>
  <si>
    <t>199651</t>
  </si>
  <si>
    <t>ORD-2023936</t>
  </si>
  <si>
    <t>6748562378</t>
  </si>
  <si>
    <t>457944</t>
  </si>
  <si>
    <t>ORD-2023987</t>
  </si>
  <si>
    <t xml:space="preserve"> 6859294583</t>
  </si>
  <si>
    <t>505659</t>
  </si>
  <si>
    <t>9437412698</t>
  </si>
  <si>
    <t>636845</t>
  </si>
  <si>
    <t>ORD-2024053</t>
  </si>
  <si>
    <t>60557 38410</t>
  </si>
  <si>
    <t>506851</t>
  </si>
  <si>
    <t>ORD-2024060</t>
  </si>
  <si>
    <t>6882499696</t>
  </si>
  <si>
    <t>130606</t>
  </si>
  <si>
    <t>ORD-2024072</t>
  </si>
  <si>
    <t>6999007256</t>
  </si>
  <si>
    <t>187282</t>
  </si>
  <si>
    <t>ORD-2024007</t>
  </si>
  <si>
    <t>8028944388</t>
  </si>
  <si>
    <t>721450</t>
  </si>
  <si>
    <t>ORD-2024061</t>
  </si>
  <si>
    <t>9874075193</t>
  </si>
  <si>
    <t>230744</t>
  </si>
  <si>
    <t>ORD-2024021</t>
  </si>
  <si>
    <t>6317718626</t>
  </si>
  <si>
    <t>317496</t>
  </si>
  <si>
    <t>ORD-2023993</t>
  </si>
  <si>
    <t>9012893482</t>
  </si>
  <si>
    <t>737750</t>
  </si>
  <si>
    <t>ORD-2024050</t>
  </si>
  <si>
    <t xml:space="preserve"> 7445766162</t>
  </si>
  <si>
    <t>537758</t>
  </si>
  <si>
    <t>ORD-2023982</t>
  </si>
  <si>
    <t>8435354256</t>
  </si>
  <si>
    <t>407508</t>
  </si>
  <si>
    <t>ORD-2024078</t>
  </si>
  <si>
    <t>8611959737</t>
  </si>
  <si>
    <t>7205555628</t>
  </si>
  <si>
    <t>327602</t>
  </si>
  <si>
    <t>ORD-2024020</t>
  </si>
  <si>
    <t>7846074562</t>
  </si>
  <si>
    <t>454153</t>
  </si>
  <si>
    <t>ORD-2023924</t>
  </si>
  <si>
    <t>9971890112</t>
  </si>
  <si>
    <t>196565</t>
  </si>
  <si>
    <t>ORD-2024070</t>
  </si>
  <si>
    <t>60741 66430</t>
  </si>
  <si>
    <t>404412</t>
  </si>
  <si>
    <t>ORD-2024004</t>
  </si>
  <si>
    <t>6056476585</t>
  </si>
  <si>
    <t>622968</t>
  </si>
  <si>
    <t>6000267554</t>
  </si>
  <si>
    <t>257917</t>
  </si>
  <si>
    <t>ORD-2024017</t>
  </si>
  <si>
    <t>495302</t>
  </si>
  <si>
    <t>ORD-2024064</t>
  </si>
  <si>
    <t>6252577689</t>
  </si>
  <si>
    <t>798482</t>
  </si>
  <si>
    <t>ORD-2024055</t>
  </si>
  <si>
    <t>9533841629</t>
  </si>
  <si>
    <t>713653</t>
  </si>
  <si>
    <t>ORD-2023950</t>
  </si>
  <si>
    <t>8309647429</t>
  </si>
  <si>
    <t>727855</t>
  </si>
  <si>
    <t>ORD-2023952</t>
  </si>
  <si>
    <t xml:space="preserve"> 8246968516</t>
  </si>
  <si>
    <t>ORD-2024075</t>
  </si>
  <si>
    <t>8248816035</t>
  </si>
  <si>
    <t>417130</t>
  </si>
  <si>
    <t>ORD-2024071</t>
  </si>
  <si>
    <t>6539091744</t>
  </si>
  <si>
    <t>776070</t>
  </si>
  <si>
    <t>ORD-2024098</t>
  </si>
  <si>
    <t>90805 98018</t>
  </si>
  <si>
    <t>797496</t>
  </si>
  <si>
    <t>ORD-2024042</t>
  </si>
  <si>
    <t>8294286358</t>
  </si>
  <si>
    <t>202743</t>
  </si>
  <si>
    <t>ORD-2024039</t>
  </si>
  <si>
    <t>7990941679</t>
  </si>
  <si>
    <t>194806</t>
  </si>
  <si>
    <t>ORD-2024037</t>
  </si>
  <si>
    <t>6570197435</t>
  </si>
  <si>
    <t>683824</t>
  </si>
  <si>
    <t>6460957724</t>
  </si>
  <si>
    <t>209081</t>
  </si>
  <si>
    <t>ORD-2024068</t>
  </si>
  <si>
    <t>7575552586</t>
  </si>
  <si>
    <t>644932</t>
  </si>
  <si>
    <t>ORD-2024073</t>
  </si>
  <si>
    <t>6511819613</t>
  </si>
  <si>
    <t>412841</t>
  </si>
  <si>
    <t>ORD-2024094</t>
  </si>
  <si>
    <t>8474934768</t>
  </si>
  <si>
    <t>168473</t>
  </si>
  <si>
    <t>ORD-2024096</t>
  </si>
  <si>
    <t>9695591268</t>
  </si>
  <si>
    <t>384372</t>
  </si>
  <si>
    <t>ORD-2024089</t>
  </si>
  <si>
    <t>Arjun  Nair</t>
  </si>
  <si>
    <t>63174 02810</t>
  </si>
  <si>
    <t>503596</t>
  </si>
  <si>
    <t>ORD-2024076</t>
  </si>
  <si>
    <t>76023 54722</t>
  </si>
  <si>
    <t>114476</t>
  </si>
  <si>
    <t>ORD-2023927</t>
  </si>
  <si>
    <t>Balwinder  Sandhu</t>
  </si>
  <si>
    <t>8869800557</t>
  </si>
  <si>
    <t>374104</t>
  </si>
  <si>
    <t>ORD-2023995</t>
  </si>
  <si>
    <t>6063191069</t>
  </si>
  <si>
    <t>161813</t>
  </si>
  <si>
    <t>ORD-2024057</t>
  </si>
  <si>
    <t>9282435097</t>
  </si>
  <si>
    <t>654679</t>
  </si>
  <si>
    <t>ORD-2024113</t>
  </si>
  <si>
    <t>7617362924</t>
  </si>
  <si>
    <t>402934</t>
  </si>
  <si>
    <t>ORD-2024051</t>
  </si>
  <si>
    <t>8456708939</t>
  </si>
  <si>
    <t>316309</t>
  </si>
  <si>
    <t>ORD-2024102</t>
  </si>
  <si>
    <t>6300708618</t>
  </si>
  <si>
    <t>494548</t>
  </si>
  <si>
    <t>ORD-2024083</t>
  </si>
  <si>
    <t>9094059647</t>
  </si>
  <si>
    <t>345847</t>
  </si>
  <si>
    <t>ORD-2024099</t>
  </si>
  <si>
    <t xml:space="preserve"> 6252649747</t>
  </si>
  <si>
    <t>592558</t>
  </si>
  <si>
    <t>ORD-2024056</t>
  </si>
  <si>
    <t xml:space="preserve"> 7920499306</t>
  </si>
  <si>
    <t>337570</t>
  </si>
  <si>
    <t>ORD-2024120</t>
  </si>
  <si>
    <t>7111627143</t>
  </si>
  <si>
    <t>474656</t>
  </si>
  <si>
    <t>ORD-2024111</t>
  </si>
  <si>
    <t>9931914009</t>
  </si>
  <si>
    <t>430764</t>
  </si>
  <si>
    <t>ORD-2024084</t>
  </si>
  <si>
    <t>8724306777</t>
  </si>
  <si>
    <t>197289</t>
  </si>
  <si>
    <t>ORD-2024069</t>
  </si>
  <si>
    <t>8110840390</t>
  </si>
  <si>
    <t>721546</t>
  </si>
  <si>
    <t>ORD-2024030</t>
  </si>
  <si>
    <t>7644199412</t>
  </si>
  <si>
    <t>770968</t>
  </si>
  <si>
    <t>ORD-2024033</t>
  </si>
  <si>
    <t xml:space="preserve"> 7531575229</t>
  </si>
  <si>
    <t>524854</t>
  </si>
  <si>
    <t>ORD-2024009</t>
  </si>
  <si>
    <t>7416099097</t>
  </si>
  <si>
    <t>160307</t>
  </si>
  <si>
    <t>ORD-2024032</t>
  </si>
  <si>
    <t>7218956886</t>
  </si>
  <si>
    <t>354611</t>
  </si>
  <si>
    <t>ORD-2023988</t>
  </si>
  <si>
    <t>6492785234</t>
  </si>
  <si>
    <t>748093</t>
  </si>
  <si>
    <t>ORD-2024041</t>
  </si>
  <si>
    <t>9638346690</t>
  </si>
  <si>
    <t>190456</t>
  </si>
  <si>
    <t>7833788147</t>
  </si>
  <si>
    <t>168199</t>
  </si>
  <si>
    <t>ORD-2024019</t>
  </si>
  <si>
    <t>8632956614</t>
  </si>
  <si>
    <t>515614</t>
  </si>
  <si>
    <t>ORD-2024131</t>
  </si>
  <si>
    <t>9402347145</t>
  </si>
  <si>
    <t>468440</t>
  </si>
  <si>
    <t>ORD-2024052</t>
  </si>
  <si>
    <t>9447658390</t>
  </si>
  <si>
    <t>263874</t>
  </si>
  <si>
    <t>ORD-2024133</t>
  </si>
  <si>
    <t>6688698908</t>
  </si>
  <si>
    <t>613763</t>
  </si>
  <si>
    <t>ORD-2024127</t>
  </si>
  <si>
    <t>8896762182</t>
  </si>
  <si>
    <t>217480</t>
  </si>
  <si>
    <t>ORD-2024109</t>
  </si>
  <si>
    <t>715582218</t>
  </si>
  <si>
    <t>329711</t>
  </si>
  <si>
    <t>ORD-2024081</t>
  </si>
  <si>
    <t>9959770317</t>
  </si>
  <si>
    <t>312349</t>
  </si>
  <si>
    <t>ORD-2024001</t>
  </si>
  <si>
    <t>7429921192</t>
  </si>
  <si>
    <t>637056</t>
  </si>
  <si>
    <t>7054680131</t>
  </si>
  <si>
    <t>759541</t>
  </si>
  <si>
    <t>ORD-2024095</t>
  </si>
  <si>
    <t>6680115360</t>
  </si>
  <si>
    <t>232200</t>
  </si>
  <si>
    <t>ORD-2024141</t>
  </si>
  <si>
    <t>8324057411</t>
  </si>
  <si>
    <t>487772</t>
  </si>
  <si>
    <t>ORD-2024074</t>
  </si>
  <si>
    <t xml:space="preserve"> 8037037731</t>
  </si>
  <si>
    <t>191414</t>
  </si>
  <si>
    <t>ORD-2024122</t>
  </si>
  <si>
    <t>8810945255</t>
  </si>
  <si>
    <t>701379</t>
  </si>
  <si>
    <t>ORD-2024103</t>
  </si>
  <si>
    <t xml:space="preserve"> 9166948100</t>
  </si>
  <si>
    <t>367675</t>
  </si>
  <si>
    <t>ORD-2024077</t>
  </si>
  <si>
    <t>6281683625</t>
  </si>
  <si>
    <t>476820</t>
  </si>
  <si>
    <t>ORD-2024044</t>
  </si>
  <si>
    <t>9202917265</t>
  </si>
  <si>
    <t>508195</t>
  </si>
  <si>
    <t>ORD-2024058</t>
  </si>
  <si>
    <t>6799872569</t>
  </si>
  <si>
    <t>532449</t>
  </si>
  <si>
    <t>ORD-2024108</t>
  </si>
  <si>
    <t>6433161669</t>
  </si>
  <si>
    <t>225284</t>
  </si>
  <si>
    <t>ORD-2024013</t>
  </si>
  <si>
    <t xml:space="preserve"> 9787508057</t>
  </si>
  <si>
    <t>288243</t>
  </si>
  <si>
    <t>ORD-2024062</t>
  </si>
  <si>
    <t>7318815675</t>
  </si>
  <si>
    <t>173993</t>
  </si>
  <si>
    <t>ORD-2024115</t>
  </si>
  <si>
    <t>8517748565</t>
  </si>
  <si>
    <t>163780</t>
  </si>
  <si>
    <t>ORD-2024137</t>
  </si>
  <si>
    <t>7506506961</t>
  </si>
  <si>
    <t>288929</t>
  </si>
  <si>
    <t>ORD-2024134</t>
  </si>
  <si>
    <t>8287499589</t>
  </si>
  <si>
    <t>582088</t>
  </si>
  <si>
    <t>ORD-2023973</t>
  </si>
  <si>
    <t>9684604126</t>
  </si>
  <si>
    <t>509378</t>
  </si>
  <si>
    <t>ORD-2024079</t>
  </si>
  <si>
    <t>66237 24645</t>
  </si>
  <si>
    <t>305178</t>
  </si>
  <si>
    <t>ORD-2024107</t>
  </si>
  <si>
    <t>8588366079</t>
  </si>
  <si>
    <t>301373</t>
  </si>
  <si>
    <t>ORD-2024092</t>
  </si>
  <si>
    <t>8374727939</t>
  </si>
  <si>
    <t>368346</t>
  </si>
  <si>
    <t>ORD-2024091</t>
  </si>
  <si>
    <t>8040933627</t>
  </si>
  <si>
    <t>617904</t>
  </si>
  <si>
    <t>ORD-2024160</t>
  </si>
  <si>
    <t>6660575296</t>
  </si>
  <si>
    <t>234446</t>
  </si>
  <si>
    <t>ORD-2024161</t>
  </si>
  <si>
    <t>9449951437</t>
  </si>
  <si>
    <t>396696</t>
  </si>
  <si>
    <t>ORD-2024129</t>
  </si>
  <si>
    <t>9327104535</t>
  </si>
  <si>
    <t>177641</t>
  </si>
  <si>
    <t>ORD-2024159</t>
  </si>
  <si>
    <t>9458028457</t>
  </si>
  <si>
    <t>744438</t>
  </si>
  <si>
    <t>ORD-2024023</t>
  </si>
  <si>
    <t>6217894069</t>
  </si>
  <si>
    <t>505329</t>
  </si>
  <si>
    <t>ORD-2024157</t>
  </si>
  <si>
    <t>7039726754</t>
  </si>
  <si>
    <t>168955</t>
  </si>
  <si>
    <t>ORD-2024101</t>
  </si>
  <si>
    <t>6922543763</t>
  </si>
  <si>
    <t>314758</t>
  </si>
  <si>
    <t>ORD-2024126</t>
  </si>
  <si>
    <t>6142154409</t>
  </si>
  <si>
    <t>618440</t>
  </si>
  <si>
    <t>ORD-2024088</t>
  </si>
  <si>
    <t xml:space="preserve"> 8411708292</t>
  </si>
  <si>
    <t>572638</t>
  </si>
  <si>
    <t>ORD-2024128</t>
  </si>
  <si>
    <t>8846519034</t>
  </si>
  <si>
    <t>719910</t>
  </si>
  <si>
    <t>ORD-2024046</t>
  </si>
  <si>
    <t>9392318678</t>
  </si>
  <si>
    <t>715228</t>
  </si>
  <si>
    <t>ORD-2024144</t>
  </si>
  <si>
    <t>9849203175</t>
  </si>
  <si>
    <t>466507</t>
  </si>
  <si>
    <t>ORD-2024097</t>
  </si>
  <si>
    <t>7010154448</t>
  </si>
  <si>
    <t>288323</t>
  </si>
  <si>
    <t>ORD-2024063</t>
  </si>
  <si>
    <t>6551263700</t>
  </si>
  <si>
    <t>668406</t>
  </si>
  <si>
    <t>ORD-2024082</t>
  </si>
  <si>
    <t>8147537637</t>
  </si>
  <si>
    <t>630788</t>
  </si>
  <si>
    <t>ORD-2024130</t>
  </si>
  <si>
    <t>70466 06382</t>
  </si>
  <si>
    <t>225243</t>
  </si>
  <si>
    <t>ORD-2024150</t>
  </si>
  <si>
    <t>9938533584</t>
  </si>
  <si>
    <t>246053</t>
  </si>
  <si>
    <t>ORD-2024106</t>
  </si>
  <si>
    <t>7197400597</t>
  </si>
  <si>
    <t>418710</t>
  </si>
  <si>
    <t>ORD-2024125</t>
  </si>
  <si>
    <t>8616941351</t>
  </si>
  <si>
    <t>595514</t>
  </si>
  <si>
    <t>ORD-2024087</t>
  </si>
  <si>
    <t>8691573494</t>
  </si>
  <si>
    <t>606556</t>
  </si>
  <si>
    <t>9796338790</t>
  </si>
  <si>
    <t>443508</t>
  </si>
  <si>
    <t>ORD-2024104</t>
  </si>
  <si>
    <t>8434030579</t>
  </si>
  <si>
    <t>460930</t>
  </si>
  <si>
    <t>ORD-2024146</t>
  </si>
  <si>
    <t>9496895092</t>
  </si>
  <si>
    <t>419061</t>
  </si>
  <si>
    <t>ORD-2024110</t>
  </si>
  <si>
    <t>8888646508</t>
  </si>
  <si>
    <t>633502</t>
  </si>
  <si>
    <t>ORD-2024177</t>
  </si>
  <si>
    <t>8197537006</t>
  </si>
  <si>
    <t>666771</t>
  </si>
  <si>
    <t>ORD-2024080</t>
  </si>
  <si>
    <t>7994281783</t>
  </si>
  <si>
    <t>407578</t>
  </si>
  <si>
    <t>ORD-2024148</t>
  </si>
  <si>
    <t>9872447839</t>
  </si>
  <si>
    <t>263605</t>
  </si>
  <si>
    <t>ORD-2024184</t>
  </si>
  <si>
    <t xml:space="preserve"> 6005440277</t>
  </si>
  <si>
    <t>673551</t>
  </si>
  <si>
    <t>ORD-2024154</t>
  </si>
  <si>
    <t>8112980310</t>
  </si>
  <si>
    <t>713727</t>
  </si>
  <si>
    <t>ORD-2024171</t>
  </si>
  <si>
    <t>9667622676</t>
  </si>
  <si>
    <t>487511</t>
  </si>
  <si>
    <t>ORD-2024093</t>
  </si>
  <si>
    <t>9401504379</t>
  </si>
  <si>
    <t>345306</t>
  </si>
  <si>
    <t>ORD-2024188</t>
  </si>
  <si>
    <t>7867253081</t>
  </si>
  <si>
    <t>343253</t>
  </si>
  <si>
    <t>ORD-2024176</t>
  </si>
  <si>
    <t>7093613014</t>
  </si>
  <si>
    <t>454046</t>
  </si>
  <si>
    <t>ORD-2024181</t>
  </si>
  <si>
    <t>8731692759</t>
  </si>
  <si>
    <t>594390</t>
  </si>
  <si>
    <t>ORD-2024172</t>
  </si>
  <si>
    <t>6905101181</t>
  </si>
  <si>
    <t>225222</t>
  </si>
  <si>
    <t>ORD-2024195</t>
  </si>
  <si>
    <t>9496550242</t>
  </si>
  <si>
    <t>ORD-2024164</t>
  </si>
  <si>
    <t>6767448228</t>
  </si>
  <si>
    <t>580929</t>
  </si>
  <si>
    <t>ORD-2024180</t>
  </si>
  <si>
    <t>8153427893</t>
  </si>
  <si>
    <t>772255</t>
  </si>
  <si>
    <t>None</t>
  </si>
  <si>
    <t>other</t>
  </si>
  <si>
    <t>Dtdc</t>
  </si>
  <si>
    <t>Newuser</t>
  </si>
  <si>
    <t>Save10</t>
  </si>
  <si>
    <t>Festive20</t>
  </si>
  <si>
    <t>Flat500</t>
  </si>
  <si>
    <t>Bluedart</t>
  </si>
  <si>
    <t>Summer15</t>
  </si>
  <si>
    <t>Diwali25</t>
  </si>
  <si>
    <t>zubair_khan@gmail_com</t>
  </si>
  <si>
    <t>srivastava_archana@gmail_com</t>
  </si>
  <si>
    <t>mtiwari@gmail_com</t>
  </si>
  <si>
    <t>venkatesan_rajan@gmail_com</t>
  </si>
  <si>
    <t>anita_bhatt@outlook_com</t>
  </si>
  <si>
    <t>pbrar@gmail_com</t>
  </si>
  <si>
    <t>mohant@gmail_com</t>
  </si>
  <si>
    <t>vishal_chaudhary@yahoo_co_in</t>
  </si>
  <si>
    <t>arjun_nair@gmail_com</t>
  </si>
  <si>
    <t>jyoti_narayan@yahoo_com</t>
  </si>
  <si>
    <t>dubey_prakash@rediffmail_com</t>
  </si>
  <si>
    <t>roshni_modi@gmail_com</t>
  </si>
  <si>
    <t>abhatt@outlook_com</t>
  </si>
  <si>
    <t>chirag_desai@gmail_com</t>
  </si>
  <si>
    <t>bpatel@yahoo_com</t>
  </si>
  <si>
    <t>ramachandran_pillai@gmail_com</t>
  </si>
  <si>
    <t>neha_saxena@gmail_com</t>
  </si>
  <si>
    <t>ravi_shankar@gmail_com</t>
  </si>
  <si>
    <t>pagarwal@gmail_com</t>
  </si>
  <si>
    <t>pandey_ajay@outlook_com</t>
  </si>
  <si>
    <t>deshpande_preeti@gmail_com</t>
  </si>
  <si>
    <t>rpawar@hotmail_com</t>
  </si>
  <si>
    <t>vora_jayesh@rediffmail_com</t>
  </si>
  <si>
    <t>shinde_varsha@yahoo_co_in</t>
  </si>
  <si>
    <t>sanjaym@gmail_com</t>
  </si>
  <si>
    <t>hussaina@yahoo_co_in</t>
  </si>
  <si>
    <t>kavita_reddy@gmail_com</t>
  </si>
  <si>
    <t>koberoi@gmail_com</t>
  </si>
  <si>
    <t>kunal_oberoi@gmail_com</t>
  </si>
  <si>
    <t>arund@rediffmail_com</t>
  </si>
  <si>
    <t>vijay_pillai@gmail_com</t>
  </si>
  <si>
    <t>zkhan@gmail_com</t>
  </si>
  <si>
    <t>bhavanis@yahoo_com</t>
  </si>
  <si>
    <t>hali@yahoo_co_in</t>
  </si>
  <si>
    <t>amit_kumar@hotmail_com</t>
  </si>
  <si>
    <t>yeswanthr@yahoo_co_in</t>
  </si>
  <si>
    <t>harish_malhotra@gmail_com</t>
  </si>
  <si>
    <t>kannappan_ponnusamy@gmail_com</t>
  </si>
  <si>
    <t>chandra_sekar@gmail_com</t>
  </si>
  <si>
    <t>pdubey@rediffmail_com</t>
  </si>
  <si>
    <t>reddy_kavita@gmail_com</t>
  </si>
  <si>
    <t>meena_iyer@gmail_com</t>
  </si>
  <si>
    <t>jayalakshmik@gmail_com</t>
  </si>
  <si>
    <t>shankar_uma@gmail_com</t>
  </si>
  <si>
    <t>sharma_rahul@gmail_com</t>
  </si>
  <si>
    <t>girishm@gmail_com</t>
  </si>
  <si>
    <t>mohan_tiwari@gmail_com</t>
  </si>
  <si>
    <t>archanas@gmail_com</t>
  </si>
  <si>
    <t>suresh_gupta@gmail_com</t>
  </si>
  <si>
    <t>sanjay_mishra@gmail_com</t>
  </si>
  <si>
    <t>anands@gmail_com</t>
  </si>
  <si>
    <t>devi_parvati@gmail_com</t>
  </si>
  <si>
    <t>hinas@yahoo_com</t>
  </si>
  <si>
    <t>nisha_jain@gmail_com</t>
  </si>
  <si>
    <t>lalita_shahyahoo_com</t>
  </si>
  <si>
    <t>kumar_jayalakshmi@gmail_com</t>
  </si>
  <si>
    <t>rsharma@gmail_com</t>
  </si>
  <si>
    <t>jain_nisha@gmail_com</t>
  </si>
  <si>
    <t>menon_rekha@yahoo_co_in</t>
  </si>
  <si>
    <t>kruti_bhatt@gmail_com</t>
  </si>
  <si>
    <t>aarav_sharma@gmail_com</t>
  </si>
  <si>
    <t>devi_lalitha@gmail_com</t>
  </si>
  <si>
    <t>kunalo@gmail_com</t>
  </si>
  <si>
    <t>manojt@yahoo_com</t>
  </si>
  <si>
    <t>shankar_ravi@gmail_com</t>
  </si>
  <si>
    <t>archana_srivastava@gmail_com</t>
  </si>
  <si>
    <t>farhank@gmail_com</t>
  </si>
  <si>
    <t>msundaram@gmail_com</t>
  </si>
  <si>
    <t>thiruvengadamnoutlook_com</t>
  </si>
  <si>
    <t>manoj_tomar@yahoo_com</t>
  </si>
  <si>
    <t>paramjit_brargmail_com</t>
  </si>
  <si>
    <t>kannappanp@gmail_com</t>
  </si>
  <si>
    <t>venugopal_krishnan@gmail_com</t>
  </si>
  <si>
    <t>ajay_pandey@outlook_com</t>
  </si>
  <si>
    <t>janakir@gmail_com</t>
  </si>
  <si>
    <t>more_girish@gmail_com</t>
  </si>
  <si>
    <t>krao@gmail_com</t>
  </si>
  <si>
    <t>chopra_usha@yahoo_co_in</t>
  </si>
  <si>
    <t>tarun_bansal@outlook_com</t>
  </si>
  <si>
    <t>sushma_yadav@gmail_com</t>
  </si>
  <si>
    <t>jayalakshmi_kumar@gmail_com</t>
  </si>
  <si>
    <t>sunil_jadhav@gmail_com</t>
  </si>
  <si>
    <t>venkatesanr@gmail_com</t>
  </si>
  <si>
    <t>bshankar@yahoo_com</t>
  </si>
  <si>
    <t>shankar_bhavani@yahoo_com</t>
  </si>
  <si>
    <t>hussain_ali@yahoo_co_in</t>
  </si>
  <si>
    <t>seemak@gmail_com</t>
  </si>
  <si>
    <t>sunita_verma@gmail_com</t>
  </si>
  <si>
    <t>fathima_begum@gmail_com</t>
  </si>
  <si>
    <t>gupta_suresh@gmail_com</t>
  </si>
  <si>
    <t>kiran_rao@gmail_com</t>
  </si>
  <si>
    <t>umas@gmail_com</t>
  </si>
  <si>
    <t>harpreets@gmail_com</t>
  </si>
  <si>
    <t>janaki_ramanathan@gmail_com</t>
  </si>
  <si>
    <t>rohit_singh@outlook_com</t>
  </si>
  <si>
    <t>vikram_mehta@gmail_com</t>
  </si>
  <si>
    <t>pawar_rajeev@hotmail_com</t>
  </si>
  <si>
    <t>dinesh_thakur@gmail_com</t>
  </si>
  <si>
    <t>mishra_sanjay@gmail_com</t>
  </si>
  <si>
    <t>sjadhav@gmail_com</t>
  </si>
  <si>
    <t>foram_trivedi@gmail_com</t>
  </si>
  <si>
    <t>varsha_shinde@yahoo_co_in</t>
  </si>
  <si>
    <t>anair@gmail_com</t>
  </si>
  <si>
    <t>pillai_gita@hotmail_com</t>
  </si>
  <si>
    <t>vikramm@gmail_com</t>
  </si>
  <si>
    <t>modi_roshni@gmail_com</t>
  </si>
  <si>
    <t>igandhi@gmail_com</t>
  </si>
  <si>
    <t>gita_pillai@hotmail_com</t>
  </si>
  <si>
    <t>gopal_menon@gmail_com</t>
  </si>
  <si>
    <t>obeysekara_fernando@gmail_com</t>
  </si>
  <si>
    <t>rmodi@gmail_com</t>
  </si>
  <si>
    <t>indira_gandhi@gmail_com</t>
  </si>
  <si>
    <t>bhavani_shankar@yahoo_com</t>
  </si>
  <si>
    <t>eswaran_murugan@rediffmail_com</t>
  </si>
  <si>
    <t>chandras@gmail_com</t>
  </si>
  <si>
    <t>mgandhi@gmail_com</t>
  </si>
  <si>
    <t>vijayp@gmail_com</t>
  </si>
  <si>
    <t>ponnusamy_kannappan@gmail_com</t>
  </si>
  <si>
    <t>geetha_devigmail_com</t>
  </si>
  <si>
    <t>bansal_tarun@outlook_com</t>
  </si>
  <si>
    <t>brar_paramjit@gmail_com</t>
  </si>
  <si>
    <t>oberoi_kunal@gmail_com</t>
  </si>
  <si>
    <t>paramjit_brar@gmail_com</t>
  </si>
  <si>
    <t>soni_parag@gmail_com</t>
  </si>
  <si>
    <t>nair_arjun@gmail_com</t>
  </si>
  <si>
    <t>jnarayan@yahoo_com</t>
  </si>
  <si>
    <t>sundaram_meenakshi@gmail_com</t>
  </si>
  <si>
    <t>gandhi_mitesh@gmail_com</t>
  </si>
  <si>
    <t>seema_kapoor@gmail_com</t>
  </si>
  <si>
    <t>naveenb@gmail_com__</t>
  </si>
  <si>
    <t>anitab@outlook_com</t>
  </si>
  <si>
    <t>marunachalam@gmail_com</t>
  </si>
  <si>
    <t>parvatid@gmail_com</t>
  </si>
  <si>
    <t>divya_krishnan@gmail_com</t>
  </si>
  <si>
    <t>chandnig@gmail_com__</t>
  </si>
  <si>
    <t>sandhu_balwinder@gmail_com</t>
  </si>
  <si>
    <t>jyotin@yahoo_com</t>
  </si>
  <si>
    <t>arunachalam_muthukrishnan@gmail_com</t>
  </si>
  <si>
    <t>parvati_devi@gmail_com</t>
  </si>
  <si>
    <t>muthukrishnana@gmail_com</t>
  </si>
  <si>
    <t>kiranr@gmail_com</t>
  </si>
  <si>
    <t>simranb@yahoo_com</t>
  </si>
  <si>
    <t>thiruvengadam_natarajan@outlook_com</t>
  </si>
  <si>
    <t>vpillai@gmail_com</t>
  </si>
  <si>
    <t>gurpreet_kaur@outlook_com__</t>
  </si>
  <si>
    <t>priya_patel@yahoo_co_in</t>
  </si>
  <si>
    <t>deepakn@yahoo_com</t>
  </si>
  <si>
    <t>rsingh@outlook_com</t>
  </si>
  <si>
    <t>psoni@gmail_com</t>
  </si>
  <si>
    <t>arund@rediffmail_com__</t>
  </si>
  <si>
    <t>smishra@gmail_com</t>
  </si>
  <si>
    <t>usha_chopra@yahoo_co_in</t>
  </si>
  <si>
    <t>bsandhu@gmail_com</t>
  </si>
  <si>
    <t>venkatesh_nagalakshmi@yahoo_com</t>
  </si>
  <si>
    <t>chandra_sekar@gmail_com__</t>
  </si>
  <si>
    <t>simran_bajwa@yahoo_com</t>
  </si>
  <si>
    <t>vrajan@gmail_com</t>
  </si>
  <si>
    <t>verma_sunita@gmail_com</t>
  </si>
  <si>
    <t>ftrivedi@gmail_com</t>
  </si>
  <si>
    <t>ghosh_sangita@gmail_com</t>
  </si>
  <si>
    <t>rpillai@gmail_com</t>
  </si>
  <si>
    <t>saurabhk@gmail_com</t>
  </si>
  <si>
    <t>nagalakshmi_venkatesh@yahoo_com</t>
  </si>
  <si>
    <t>hina_shah@yahoo_com</t>
  </si>
  <si>
    <t>gpillai@hotmail_com</t>
  </si>
  <si>
    <t>pooja_agarwal@gmail_com</t>
  </si>
  <si>
    <t>bhavesh_patel@yahoo_com</t>
  </si>
  <si>
    <t>sawant_abhijeet@outlook_com</t>
  </si>
  <si>
    <t>nishaj@gmail_com</t>
  </si>
  <si>
    <t>saraswathir@gmail_com</t>
  </si>
  <si>
    <t>vishalc@yahoo_co_in</t>
  </si>
  <si>
    <t>hshah@yahoo_com</t>
  </si>
  <si>
    <t>rmenon@yahoo_co_in</t>
  </si>
  <si>
    <t>suresh_gupta@gmail_com__</t>
  </si>
  <si>
    <t>geethad@gmail_com</t>
  </si>
  <si>
    <t>ritu_chauhan@gmail_com</t>
  </si>
  <si>
    <t>gkaur@outlook_com</t>
  </si>
  <si>
    <t>natarajan_thiruvengadam@outlook_com</t>
  </si>
  <si>
    <t>sureshg@gmail_com</t>
  </si>
  <si>
    <t>priyap@yahoo_co_in</t>
  </si>
  <si>
    <t>rshankar@gmail_com</t>
  </si>
  <si>
    <t>jayeshv@rediffmail_com</t>
  </si>
  <si>
    <t>kaur_gurpreet@outlook_com</t>
  </si>
  <si>
    <t>yeswanth_reddy@yahoo_co_in</t>
  </si>
  <si>
    <t>krishnan_venugopal@gmail_com</t>
  </si>
  <si>
    <t>asawant@outlook_com</t>
  </si>
  <si>
    <t>trivedi_foram@gmail_com</t>
  </si>
  <si>
    <t>dinesht@gmail_com</t>
  </si>
  <si>
    <t>naveen_bajaj@gmail_com</t>
  </si>
  <si>
    <t>spatil@gmail_com</t>
  </si>
  <si>
    <t>obeysekaraf@gmail_com</t>
  </si>
  <si>
    <t>thiruvengadamn@outlook_com</t>
  </si>
  <si>
    <t>murugan_eswaran@rediffmail_com</t>
  </si>
  <si>
    <t>geetha_devi@gmail_com</t>
  </si>
  <si>
    <t>bhatt_anita@outlook_com__</t>
  </si>
  <si>
    <t>tomar_manoj@yahoo_com</t>
  </si>
  <si>
    <t>eswaranm@rediffmail_com</t>
  </si>
  <si>
    <t>farhan_khan@gmail_com</t>
  </si>
  <si>
    <t>nbajaj@gmail_com</t>
  </si>
  <si>
    <t>harpreet_singh@gmail_com</t>
  </si>
  <si>
    <t>bhavani_shankar@yahoo_com__</t>
  </si>
  <si>
    <t>nagalakshmiv@yahoo_com</t>
  </si>
  <si>
    <t>menon_gopal@gmail_com</t>
  </si>
  <si>
    <t>mkadam@gmail_com</t>
  </si>
  <si>
    <t>rameshb@gmail_com</t>
  </si>
  <si>
    <t>skapoor@gmail_com</t>
  </si>
  <si>
    <t>sushmay@gmail_com</t>
  </si>
  <si>
    <t>asharma@gmail_com</t>
  </si>
  <si>
    <t>das_arun@rediffmail_com</t>
  </si>
  <si>
    <t>sunitav@gmail_com</t>
  </si>
  <si>
    <t>ofernando@gmail_com</t>
  </si>
  <si>
    <t>lalitas@yahoo_com</t>
  </si>
  <si>
    <t>njoshi@yahoo_co_in</t>
  </si>
  <si>
    <t>emurugan@rediffmail_com__</t>
  </si>
  <si>
    <t>apandey@outlook_com</t>
  </si>
  <si>
    <t>begum_fathima@gmail_com</t>
  </si>
  <si>
    <t>nidhij@yahoo_co_in</t>
  </si>
  <si>
    <t>mtomar@yahoo_com</t>
  </si>
  <si>
    <t>rbose@gmail_com</t>
  </si>
  <si>
    <t>meenai@gmail_com</t>
  </si>
  <si>
    <t>saraswathi_rao@gmail_com</t>
  </si>
  <si>
    <t>gkauroutlook_com</t>
  </si>
  <si>
    <t>lalita_shah@yahoo_com</t>
  </si>
  <si>
    <t>prakash_dubey@rediffmail_com</t>
  </si>
  <si>
    <t>jayesh_vora@rediffmail_com</t>
  </si>
  <si>
    <t>abhijeet_sawant@outlook_com</t>
  </si>
  <si>
    <t>uchopra@yahoo_co_in</t>
  </si>
  <si>
    <t>nidhi_joshi@yahoo_co_in</t>
  </si>
  <si>
    <t>patel_priya@yahoo_co_in</t>
  </si>
  <si>
    <t>lpillai@yahoo_co_in</t>
  </si>
  <si>
    <t>janaki_ramanathangmail_com</t>
  </si>
  <si>
    <t>chandnig@gmail_com</t>
  </si>
  <si>
    <t>khan_zubair@gmail_com</t>
  </si>
  <si>
    <t>bhatt_kruti@gmail_com</t>
  </si>
  <si>
    <t>aswaminathan@gmail_com</t>
  </si>
  <si>
    <t>sverma@gmail_com</t>
  </si>
  <si>
    <t>gandhi_indira@gmail_com</t>
  </si>
  <si>
    <t>gurpreet_kaur@outlook_com</t>
  </si>
  <si>
    <t>uma_shankar@gmail_com</t>
  </si>
  <si>
    <t>gmore@gmail_com</t>
  </si>
  <si>
    <t>kapoor_seema@gmail_com</t>
  </si>
  <si>
    <t>smita_patil@gmail_com</t>
  </si>
  <si>
    <t>pillai_ramachandrangmail_com</t>
  </si>
  <si>
    <t>bajaj_naveen@gmail_com</t>
  </si>
  <si>
    <t>paramjitb@gmail_com</t>
  </si>
  <si>
    <t>bose_ramesh@gmail_com</t>
  </si>
  <si>
    <t>smitap@gmail_com</t>
  </si>
  <si>
    <t>girish_more@gmail_com</t>
  </si>
  <si>
    <t>nehas@gmail_com</t>
  </si>
  <si>
    <t>asrivastava@gmail_com</t>
  </si>
  <si>
    <t>cgupta@gmail_com</t>
  </si>
  <si>
    <t>mehta_vikram@gmail_com</t>
  </si>
  <si>
    <t>kreddy@gmail_com</t>
  </si>
  <si>
    <t>gupta_chandni@gmail_com</t>
  </si>
  <si>
    <t>gmore@gmail_com__</t>
  </si>
  <si>
    <t>patel_bhavesh@yahoo_com</t>
  </si>
  <si>
    <t>reddy_yeswanth@yahoo_co_in</t>
  </si>
  <si>
    <t>sangita_ghosh@gmail_com</t>
  </si>
  <si>
    <t>singh_harpreet@gmail_com</t>
  </si>
  <si>
    <t>rohits@outlook_com</t>
  </si>
  <si>
    <t>dthakur@gmail_com</t>
  </si>
  <si>
    <t>anand_swaminathan@gmail_com</t>
  </si>
  <si>
    <t>manishak@gmail_com</t>
  </si>
  <si>
    <t>narayan_jyoti@yahoo_com</t>
  </si>
  <si>
    <t>deepak_nair@yahoo_com</t>
  </si>
  <si>
    <t>sbajwa@yahoo_com</t>
  </si>
  <si>
    <t>dprasad@gmail_com</t>
  </si>
  <si>
    <t>sunilj@gmail_com</t>
  </si>
  <si>
    <t>saurabh_kulkarni@gmail_com</t>
  </si>
  <si>
    <t>chauhan_ritu@gmail_com</t>
  </si>
  <si>
    <t>gitap@hotmail_com</t>
  </si>
  <si>
    <t>hsingh@gmail_com</t>
  </si>
  <si>
    <t>krutib@gmail_com</t>
  </si>
  <si>
    <t>nair_deepak@yahoo_com</t>
  </si>
  <si>
    <t>rao_saraswathi@gmail_com</t>
  </si>
  <si>
    <t>ldevi@gmail_com</t>
  </si>
  <si>
    <t>gdevi@gmail_com</t>
  </si>
  <si>
    <t>tbansal@outlook_com</t>
  </si>
  <si>
    <t>emurugan@rediffmail_com</t>
  </si>
  <si>
    <t>muthukrishnan_arunachalam@gmail_com</t>
  </si>
  <si>
    <t>ushac@yahoo_co_in</t>
  </si>
  <si>
    <t>desai_chirag@gmail_com</t>
  </si>
  <si>
    <t>lalitha_devi@gmail_com</t>
  </si>
  <si>
    <t>prakashd@rediffmail_com</t>
  </si>
  <si>
    <t>nair_deepakyahoo_com</t>
  </si>
  <si>
    <t>sekar_chandra@gmail_com</t>
  </si>
  <si>
    <t>preeti_deshpande@gmail_com</t>
  </si>
  <si>
    <t>sangitag@gmail_com</t>
  </si>
  <si>
    <t>prakashdrediffmail_com</t>
  </si>
  <si>
    <t>rahuls@gmail_com</t>
  </si>
  <si>
    <t>ppatel@yahoo_co_in</t>
  </si>
  <si>
    <t>indirag@gmail_com</t>
  </si>
  <si>
    <t>venugopalk@gmail_com</t>
  </si>
  <si>
    <t>joshi_nidhi@yahoo_co_in</t>
  </si>
  <si>
    <t>ramanathan_janaki@gmail_com</t>
  </si>
  <si>
    <t>krishnan_divya@gmail_com</t>
  </si>
  <si>
    <t>vmehta@gmail_com</t>
  </si>
  <si>
    <t>manisha_kadam@gmail_com</t>
  </si>
  <si>
    <t>aaravs@gmail_com</t>
  </si>
  <si>
    <t>umasgmail_com</t>
  </si>
  <si>
    <t>pillai_vijay@gmail_com</t>
  </si>
  <si>
    <t>sharma_aarav@gmail_com</t>
  </si>
  <si>
    <t>fernando_obeysekara@gmail_com</t>
  </si>
  <si>
    <t>jramanathan@gmail_com</t>
  </si>
  <si>
    <t>msundaram@gmail_com__</t>
  </si>
  <si>
    <t>kavitar@gmail_com</t>
  </si>
  <si>
    <t>iyer_meena@gmail_com</t>
  </si>
  <si>
    <t>durga_prasad@gmail_com</t>
  </si>
  <si>
    <t>fathima_begum@gmail_com__</t>
  </si>
  <si>
    <t>malhotra_harish@gmail_com</t>
  </si>
  <si>
    <t>hmalhotra@gmail_com</t>
  </si>
  <si>
    <t>lshah@yahoo_com</t>
  </si>
  <si>
    <t>shah_hina@yahoo_com</t>
  </si>
  <si>
    <t>kponnusamy@gmail_com</t>
  </si>
  <si>
    <t>pallavi_gaikwad@gmail_com</t>
  </si>
  <si>
    <t>ali_hussain@yahoo_co_in</t>
  </si>
  <si>
    <t>yadav_sushma@gmail_com</t>
  </si>
  <si>
    <t>fbegum@gmail_com</t>
  </si>
  <si>
    <t>zubairk@gmail_com</t>
  </si>
  <si>
    <t>singh_rohit@outlook_com</t>
  </si>
  <si>
    <t>jadhav_sunil@gmail_com</t>
  </si>
  <si>
    <t>rekha_menon@yahoo_co_in__</t>
  </si>
  <si>
    <t>rajeev_pawar@hotmail_com</t>
  </si>
  <si>
    <t>harishm@gmail_com</t>
  </si>
  <si>
    <t>pallavig@gmail_com</t>
  </si>
  <si>
    <t>syadav@gmail_com</t>
  </si>
  <si>
    <t>pillai_ramachandran@gmail_com</t>
  </si>
  <si>
    <t>fathimab@gmail_com</t>
  </si>
  <si>
    <t>ajayp@outlook_com__</t>
  </si>
  <si>
    <t>skulkarni@gmail_com</t>
  </si>
  <si>
    <t>fkhan@gmail_com</t>
  </si>
  <si>
    <t>adas@rediffmail_com</t>
  </si>
  <si>
    <t>gaikwad_pallavi@gmail_com</t>
  </si>
  <si>
    <t>dnair@yahoo_com</t>
  </si>
  <si>
    <t>jayeshv@rediffmail_com__</t>
  </si>
  <si>
    <t>poojaa@gmail_com</t>
  </si>
  <si>
    <t>yreddy@yahoo_co_in</t>
  </si>
  <si>
    <t>durga_prasad@gmail_com__</t>
  </si>
  <si>
    <t>bhaveshp@yahoo_com</t>
  </si>
  <si>
    <t>marunachalamgmail_com</t>
  </si>
  <si>
    <t>zubair_khangmail_com</t>
  </si>
  <si>
    <t>miteshg@gmail_com</t>
  </si>
  <si>
    <t>pillai_lakshmi@yahoo_co_in</t>
  </si>
  <si>
    <t>ajayp@outlook_com</t>
  </si>
  <si>
    <t>foramt@gmail_com</t>
  </si>
  <si>
    <t>abhijeets@outlook_com</t>
  </si>
  <si>
    <t>usha_choprayahoo_co_in</t>
  </si>
  <si>
    <t>arun_das@rediffmail_com</t>
  </si>
  <si>
    <t>mitesh_gandhi@gmail_com</t>
  </si>
  <si>
    <t>tarunb@outlook_com</t>
  </si>
  <si>
    <t>vrajangmail_com</t>
  </si>
  <si>
    <t>thakur_dinesh@gmail_com</t>
  </si>
  <si>
    <t>vkrishnan@gmail_com</t>
  </si>
  <si>
    <t>patil_smita@gmail_com</t>
  </si>
  <si>
    <t>kadam_manisha@gmail_com</t>
  </si>
  <si>
    <t>preetid@gmail_com</t>
  </si>
  <si>
    <t>saraswathirgmail_com</t>
  </si>
  <si>
    <t>akumar@hotmail_com</t>
  </si>
  <si>
    <t>sgupta@gmail_com</t>
  </si>
  <si>
    <t>pooja_agarwal@gmail_com__</t>
  </si>
  <si>
    <t>vchaudhary@yahoo_co_in</t>
  </si>
  <si>
    <t>devi_geetha@gmail_com</t>
  </si>
  <si>
    <t>gurpreetk@outlook_com</t>
  </si>
  <si>
    <t>pgaikwad@gmail_com</t>
  </si>
  <si>
    <t>shah_lalita@yahoo_com</t>
  </si>
  <si>
    <t>tiwari_mohan@gmail_com</t>
  </si>
  <si>
    <t>pdevi@gmail_com</t>
  </si>
  <si>
    <t>naveenb@gmail_com</t>
  </si>
  <si>
    <t>chandni_gupta@gmail_com</t>
  </si>
  <si>
    <t>agarwal_pooja@gmail_com</t>
  </si>
  <si>
    <t>parag_soni@gmail_com</t>
  </si>
  <si>
    <t>rajeevp@hotmail_com</t>
  </si>
  <si>
    <t>rekham@yahoo_co_in</t>
  </si>
  <si>
    <t>chiragd@gmail_com</t>
  </si>
  <si>
    <t>gmenon@gmail_com</t>
  </si>
  <si>
    <t>ravis@gmail_com</t>
  </si>
  <si>
    <t>ushankar@gmail_com</t>
  </si>
  <si>
    <t>rekha_menon@yahoo_co_in</t>
  </si>
  <si>
    <t>ravisgmail_com</t>
  </si>
  <si>
    <t>lalithad@gmail_com</t>
  </si>
  <si>
    <t>ramachandranp@gmail_com</t>
  </si>
  <si>
    <t>nsaxena@gmail_com</t>
  </si>
  <si>
    <t>yreddyyahoo_co_in</t>
  </si>
  <si>
    <t>nvenkatesh@yahoo_com</t>
  </si>
  <si>
    <t>miteshggmail_com</t>
  </si>
  <si>
    <t>miyer@gmail_com</t>
  </si>
  <si>
    <t>saurabh.kulkarni@@gmail.com</t>
  </si>
  <si>
    <t>9541458685</t>
  </si>
  <si>
    <t>6488510272</t>
  </si>
  <si>
    <t>6905696591</t>
  </si>
  <si>
    <t>9027206345</t>
  </si>
  <si>
    <t>9261764750</t>
  </si>
  <si>
    <t>7533126610</t>
  </si>
  <si>
    <t>rao_kiran@gmail_com</t>
  </si>
  <si>
    <t>7900889911</t>
  </si>
  <si>
    <t>8614974597</t>
  </si>
  <si>
    <t>ramesh_bose@gmail_com</t>
  </si>
  <si>
    <t>amitk@hotmail_com</t>
  </si>
  <si>
    <t>6312975572</t>
  </si>
  <si>
    <t>9756275280</t>
  </si>
  <si>
    <t>7060398107</t>
  </si>
  <si>
    <t>6532448343</t>
  </si>
  <si>
    <t>8177073460</t>
  </si>
  <si>
    <t>6613955745</t>
  </si>
  <si>
    <t>parags@gmail_com</t>
  </si>
  <si>
    <t>6065772112</t>
  </si>
  <si>
    <t>Mobile no</t>
  </si>
  <si>
    <t>Email</t>
  </si>
  <si>
    <t>Sales</t>
  </si>
  <si>
    <t>Sum of Sales</t>
  </si>
  <si>
    <t>Row Labels</t>
  </si>
  <si>
    <t>Grand Total</t>
  </si>
  <si>
    <t>2023</t>
  </si>
  <si>
    <t>2024</t>
  </si>
  <si>
    <t>Jan</t>
  </si>
  <si>
    <t>Mar</t>
  </si>
  <si>
    <t>Aug</t>
  </si>
  <si>
    <t>Sep</t>
  </si>
  <si>
    <t>Oct</t>
  </si>
  <si>
    <t>Count of Customer_Name</t>
  </si>
  <si>
    <t>Count of Order_ID</t>
  </si>
  <si>
    <t>Sum of Quantity</t>
  </si>
  <si>
    <t>Sum of Discount_Amt</t>
  </si>
  <si>
    <t>Sum of new total amt</t>
  </si>
  <si>
    <t>E-COMMERCE SALES DASHBOARD REPORT</t>
  </si>
  <si>
    <t>1. Sales Performance</t>
  </si>
  <si>
    <t>2.Category Sales</t>
  </si>
  <si>
    <t>3.Sales Channel</t>
  </si>
  <si>
    <t>4.Region Comparison</t>
  </si>
  <si>
    <t>5.Top 5 Brands</t>
  </si>
  <si>
    <t>Apple,Samsung,Sony,Dell, LG Were the top revenue-generating brands.</t>
  </si>
  <si>
    <t>6.Payment method</t>
  </si>
  <si>
    <t>Cusomer Preferred Digital Payment method over Traditional Payment methods.</t>
  </si>
  <si>
    <t>7.Monthwise Sales</t>
  </si>
  <si>
    <t>July Recorded the Highest Sales,While September showed the Lowest Sales.</t>
  </si>
  <si>
    <t>The business generated total sales of ₹10.79Cr from 963 orders and sold 3,420 units during the selected periods.</t>
  </si>
  <si>
    <t>Electronics Contributed the Highest Share of total sales among all Category.</t>
  </si>
  <si>
    <t>Online Sales Channel Generated The Majority Of Sales Revenue.</t>
  </si>
  <si>
    <t>South Region recorded the highest sales while Central Region Generated the Lowest Sales.</t>
  </si>
  <si>
    <t>Total count</t>
  </si>
  <si>
    <t>Order Date</t>
  </si>
  <si>
    <t>Shipping Date</t>
  </si>
  <si>
    <t>Delivery Date</t>
  </si>
  <si>
    <t>Original Sales</t>
  </si>
  <si>
    <t>Total Sales</t>
  </si>
  <si>
    <t>Feb</t>
  </si>
  <si>
    <t>Apr</t>
  </si>
  <si>
    <t>May</t>
  </si>
  <si>
    <t>Jun</t>
  </si>
  <si>
    <t>Jul</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</si>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</sst>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8"/>
      <name val="Calibri"/>
      <family val="2"/>
      <scheme val="minor"/>
    </font>
    <font>
      <b/>
      <sz val="14"/>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9">
    <xf numFmtId="0" fontId="0" fillId="0" borderId="0" xfId="0"/>
    <xf numFmtId="14" fontId="0" fillId="0" borderId="0" xfId="0" applyNumberFormat="1"/>
    <xf numFmtId="0" fontId="0" fillId="0" borderId="1" xfId="0" applyBorder="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0" fontId="2" fillId="2" borderId="0" xfId="0" applyFont="1" applyFill="1"/>
    <xf numFmtId="0" fontId="3" fillId="0" borderId="0" xfId="0" applyFont="1"/>
  </cellXfs>
  <cellStyles count="1">
    <cellStyle name="Normal" xfId="0" builtinId="0"/>
  </cellStyles>
  <dxfs count="24">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s>
  <tableStyles count="1" defaultTableStyle="TableStyleMedium2" defaultPivotStyle="PivotStyleLight16">
    <tableStyle name="Slicer Style 1" pivot="0" table="0" count="0" xr9:uid="{5FC84687-6CA0-4832-9A64-219ADE390015}"/>
  </tableStyles>
  <colors>
    <mruColors>
      <color rgb="FFFF00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dashboard.xlsx]Month wise sales!Month wise sales</c:name>
    <c:fmtId val="5"/>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a:solidFill>
                  <a:schemeClr val="tx1"/>
                </a:solidFill>
              </a:rPr>
              <a:t>Monthwise Sales</a:t>
            </a:r>
          </a:p>
          <a:p>
            <a:pPr>
              <a:defRPr>
                <a:solidFill>
                  <a:schemeClr val="tx1"/>
                </a:solidFill>
              </a:defRPr>
            </a:pPr>
            <a:endParaRPr lang="en-US">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sales'!$E$3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'Month wise sales'!$D$4:$D$16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sales'!$E$4:$E$16</c:f>
              <c:numCache>
                <c:formatCode>General</c:formatCode>
                <c:ptCount val="12"/>
                <c:pt idx="0">
                  <c:v>10298992.629399585</c:v>
                </c:pt>
                <c:pt idx="1">
                  <c:v>11143708.944099378</c:v>
                </c:pt>
                <c:pt idx="2">
                  <c:v>11291453.540372672</c:v>
                </c:pt>
                <c:pt idx="3">
                  <c:v>11107004.161490684</c:v>
                </c:pt>
                <c:pt idx="4">
                  <c:v>9255504.1614906825</c:v>
                </c:pt>
                <c:pt idx="5">
                  <c:v>10515882.008281574</c:v>
                </c:pt>
                <c:pt idx="6">
                  <c:v>6847649.233954451</c:v>
                </c:pt>
                <c:pt idx="7">
                  <c:v>5898620</c:v>
                </c:pt>
                <c:pt idx="8">
                  <c:v>7374140</c:v>
                </c:pt>
                <c:pt idx="9">
                  <c:v>7807125.6935817804</c:v>
                </c:pt>
                <c:pt idx="10">
                  <c:v>5590691.0973084886</c:v>
                </c:pt>
                <c:pt idx="11">
                  <c:v>6495549.233954451</c:v>
                </c:pt>
              </c:numCache>
            </c:numRef>
          </c:val>
          <c:smooth val="0"/>
          <c:extLst>
            <c:ext xmlns:c16="http://schemas.microsoft.com/office/drawing/2014/chart" uri="{C3380CC4-5D6E-409C-BE32-E72D297353CC}">
              <c16:uniqueId val="{00000000-5A3D-4A15-87C8-B80B265498A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58635343"/>
        <c:axId val="1558637263"/>
      </c:lineChart>
      <c:catAx>
        <c:axId val="155863534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bg1"/>
                </a:solidFill>
                <a:effectLst>
                  <a:outerShdw blurRad="50800" dist="50800" dir="5400000" algn="ctr" rotWithShape="0">
                    <a:schemeClr val="tx1"/>
                  </a:outerShdw>
                </a:effectLst>
                <a:latin typeface="+mn-lt"/>
                <a:ea typeface="+mn-ea"/>
                <a:cs typeface="+mn-cs"/>
              </a:defRPr>
            </a:pPr>
            <a:endParaRPr lang="en-US"/>
          </a:p>
        </c:txPr>
        <c:crossAx val="1558637263"/>
        <c:crosses val="autoZero"/>
        <c:auto val="1"/>
        <c:lblAlgn val="ctr"/>
        <c:lblOffset val="100"/>
        <c:noMultiLvlLbl val="0"/>
      </c:catAx>
      <c:valAx>
        <c:axId val="1558637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863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rgbClr val="7030A0"/>
        </a:gs>
        <a:gs pos="5000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dashboard.xlsx]Category sales!Category wise sales</c:name>
    <c:fmtId val="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Category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'Category sales'!$E$3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BC5-47B9-8814-BE658DC122D6}"/>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BC5-47B9-8814-BE658DC122D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BC5-47B9-8814-BE658DC122D6}"/>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BC5-47B9-8814-BE658DC122D6}"/>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BC5-47B9-8814-BE658DC122D6}"/>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BC5-47B9-8814-BE658DC122D6}"/>
              </c:ext>
            </c:extLst>
          </c:dPt>
          <c:cat>
            <c:strRef>
              <c:f>'Category sales'!$D$4:$D$10</c:f>
              <c:strCache>
                <c:ptCount val="6"/>
                <c:pt idx="0">
                  <c:v>Appliances</c:v>
                </c:pt>
                <c:pt idx="1">
                  <c:v>Electronics</c:v>
                </c:pt>
                <c:pt idx="2">
                  <c:v>Fashion</c:v>
                </c:pt>
                <c:pt idx="3">
                  <c:v>Furniture</c:v>
                </c:pt>
                <c:pt idx="4">
                  <c:v>Grocery</c:v>
                </c:pt>
                <c:pt idx="5">
                  <c:v>Stationery</c:v>
                </c:pt>
              </c:strCache>
            </c:strRef>
          </c:cat>
          <c:val>
            <c:numRef>
              <c:f>'Category sales'!$E$4:$E$10</c:f>
              <c:numCache>
                <c:formatCode>General</c:formatCode>
                <c:ptCount val="6"/>
                <c:pt idx="0">
                  <c:v>18429353.105590064</c:v>
                </c:pt>
                <c:pt idx="1">
                  <c:v>70886288.322981358</c:v>
                </c:pt>
                <c:pt idx="2">
                  <c:v>5458683.8716356102</c:v>
                </c:pt>
                <c:pt idx="3">
                  <c:v>8225687.7018633531</c:v>
                </c:pt>
                <c:pt idx="4">
                  <c:v>412804.16149068321</c:v>
                </c:pt>
                <c:pt idx="5">
                  <c:v>213503.5403726708</c:v>
                </c:pt>
              </c:numCache>
            </c:numRef>
          </c:val>
          <c:extLst>
            <c:ext xmlns:c16="http://schemas.microsoft.com/office/drawing/2014/chart" uri="{C3380CC4-5D6E-409C-BE32-E72D297353CC}">
              <c16:uniqueId val="{0000000C-3BC5-47B9-8814-BE658DC122D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8000">
          <a:srgbClr val="7030A0"/>
        </a:gs>
        <a:gs pos="38000">
          <a:schemeClr val="accent1">
            <a:lumMod val="45000"/>
            <a:lumOff val="55000"/>
          </a:schemeClr>
        </a:gs>
        <a:gs pos="0">
          <a:schemeClr val="accent1">
            <a:lumMod val="45000"/>
            <a:lumOff val="55000"/>
          </a:schemeClr>
        </a:gs>
        <a:gs pos="75000">
          <a:schemeClr val="accent1">
            <a:lumMod val="30000"/>
            <a:lumOff val="70000"/>
          </a:schemeClr>
        </a:gs>
      </a:gsLst>
      <a:lin ang="5400000" scaled="1"/>
    </a:gradFill>
    <a:ln w="1905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dashboard.xlsx]Saleschan(Sales)!Saleschannel</c:name>
    <c:fmtId val="5"/>
  </c:pivotSource>
  <c:chart>
    <c:title>
      <c:tx>
        <c:rich>
          <a:bodyPr rot="0" spcFirstLastPara="1" vertOverflow="ellipsis" vert="horz" wrap="square" anchor="ctr" anchorCtr="1"/>
          <a:lstStyle/>
          <a:p>
            <a:pPr>
              <a:defRPr sz="1400" b="1" i="0" u="none" strike="noStrike" kern="1200" spc="0" baseline="0">
                <a:solidFill>
                  <a:schemeClr val="tx1"/>
                </a:solidFill>
                <a:effectLst>
                  <a:outerShdw blurRad="50800" dist="50800" dir="5400000" algn="ctr" rotWithShape="0">
                    <a:schemeClr val="bg1">
                      <a:alpha val="0"/>
                    </a:schemeClr>
                  </a:outerShdw>
                </a:effectLst>
                <a:latin typeface="+mn-lt"/>
                <a:ea typeface="+mn-ea"/>
                <a:cs typeface="+mn-cs"/>
              </a:defRPr>
            </a:pPr>
            <a:r>
              <a:rPr lang="en-IN" b="1">
                <a:solidFill>
                  <a:schemeClr val="tx1"/>
                </a:solidFill>
                <a:effectLst>
                  <a:outerShdw blurRad="50800" dist="50800" dir="5400000" algn="ctr" rotWithShape="0">
                    <a:schemeClr val="bg1">
                      <a:alpha val="0"/>
                    </a:schemeClr>
                  </a:outerShdw>
                </a:effectLst>
              </a:rPr>
              <a:t>Sales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effectLst>
                <a:outerShdw blurRad="50800" dist="50800" dir="5400000" algn="ctr" rotWithShape="0">
                  <a:schemeClr val="bg1">
                    <a:alpha val="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s>
    <c:plotArea>
      <c:layout/>
      <c:doughnutChart>
        <c:varyColors val="1"/>
        <c:ser>
          <c:idx val="0"/>
          <c:order val="0"/>
          <c:tx>
            <c:strRef>
              <c:f>'Saleschan(Sales)'!$B$3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D6F-481F-B206-5B0F4A01426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D6F-481F-B206-5B0F4A014266}"/>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D6F-481F-B206-5B0F4A014266}"/>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7D6F-481F-B206-5B0F4A014266}"/>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7D6F-481F-B206-5B0F4A014266}"/>
              </c:ext>
            </c:extLst>
          </c:dPt>
          <c:cat>
            <c:strRef>
              <c:f>'Saleschan(Sales)'!$A$4:$A$9</c:f>
              <c:strCache>
                <c:ptCount val="5"/>
                <c:pt idx="0">
                  <c:v>Mobile App</c:v>
                </c:pt>
                <c:pt idx="1">
                  <c:v>Online</c:v>
                </c:pt>
                <c:pt idx="2">
                  <c:v>Partner</c:v>
                </c:pt>
                <c:pt idx="3">
                  <c:v>Phone</c:v>
                </c:pt>
                <c:pt idx="4">
                  <c:v>Store</c:v>
                </c:pt>
              </c:strCache>
            </c:strRef>
          </c:cat>
          <c:val>
            <c:numRef>
              <c:f>'Saleschan(Sales)'!$B$4:$B$9</c:f>
              <c:numCache>
                <c:formatCode>General</c:formatCode>
                <c:ptCount val="5"/>
                <c:pt idx="0">
                  <c:v>23551653.10559006</c:v>
                </c:pt>
                <c:pt idx="1">
                  <c:v>24213524.782608695</c:v>
                </c:pt>
                <c:pt idx="2">
                  <c:v>21622199.089026917</c:v>
                </c:pt>
                <c:pt idx="3">
                  <c:v>19122325.403726708</c:v>
                </c:pt>
                <c:pt idx="4">
                  <c:v>15116618.322981367</c:v>
                </c:pt>
              </c:numCache>
            </c:numRef>
          </c:val>
          <c:extLst>
            <c:ext xmlns:c16="http://schemas.microsoft.com/office/drawing/2014/chart" uri="{C3380CC4-5D6E-409C-BE32-E72D297353CC}">
              <c16:uniqueId val="{0000000F-89E0-450B-9B73-A10D5084E44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rgbClr val="7030A0"/>
        </a:gs>
        <a:gs pos="5000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dashboard.xlsx]Payment method!Payment</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method'!$B$3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'Payment method'!$A$4:$A$11</c:f>
              <c:strCache>
                <c:ptCount val="7"/>
                <c:pt idx="0">
                  <c:v>Cash On Delivery</c:v>
                </c:pt>
                <c:pt idx="1">
                  <c:v>Credit Card</c:v>
                </c:pt>
                <c:pt idx="2">
                  <c:v>Debit Card</c:v>
                </c:pt>
                <c:pt idx="3">
                  <c:v>Emi</c:v>
                </c:pt>
                <c:pt idx="4">
                  <c:v>Net Banking</c:v>
                </c:pt>
                <c:pt idx="5">
                  <c:v>Upi</c:v>
                </c:pt>
                <c:pt idx="6">
                  <c:v>Wallet</c:v>
                </c:pt>
              </c:strCache>
            </c:strRef>
          </c:cat>
          <c:val>
            <c:numRef>
              <c:f>'Payment method'!$B$4:$B$11</c:f>
              <c:numCache>
                <c:formatCode>General</c:formatCode>
                <c:ptCount val="7"/>
                <c:pt idx="0">
                  <c:v>122</c:v>
                </c:pt>
                <c:pt idx="1">
                  <c:v>147</c:v>
                </c:pt>
                <c:pt idx="2">
                  <c:v>156</c:v>
                </c:pt>
                <c:pt idx="3">
                  <c:v>140</c:v>
                </c:pt>
                <c:pt idx="4">
                  <c:v>151</c:v>
                </c:pt>
                <c:pt idx="5">
                  <c:v>151</c:v>
                </c:pt>
                <c:pt idx="6">
                  <c:v>133</c:v>
                </c:pt>
              </c:numCache>
            </c:numRef>
          </c:val>
          <c:extLst>
            <c:ext xmlns:c16="http://schemas.microsoft.com/office/drawing/2014/chart" uri="{C3380CC4-5D6E-409C-BE32-E72D297353CC}">
              <c16:uniqueId val="{00000000-DC81-4222-AF58-D1B4EACB1420}"/>
            </c:ext>
          </c:extLst>
        </c:ser>
        <c:dLbls>
          <c:showLegendKey val="0"/>
          <c:showVal val="0"/>
          <c:showCatName val="0"/>
          <c:showSerName val="0"/>
          <c:showPercent val="0"/>
          <c:showBubbleSize val="0"/>
        </c:dLbls>
        <c:gapWidth val="115"/>
        <c:overlap val="-20"/>
        <c:axId val="1557884031"/>
        <c:axId val="1557877791"/>
      </c:barChart>
      <c:catAx>
        <c:axId val="15578840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7877791"/>
        <c:crosses val="autoZero"/>
        <c:auto val="1"/>
        <c:lblAlgn val="ctr"/>
        <c:lblOffset val="100"/>
        <c:noMultiLvlLbl val="0"/>
      </c:catAx>
      <c:valAx>
        <c:axId val="15578777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88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rgbClr val="7030A0"/>
        </a:gs>
        <a:gs pos="50000">
          <a:schemeClr val="accent1">
            <a:lumMod val="45000"/>
            <a:lumOff val="55000"/>
          </a:schemeClr>
        </a:gs>
        <a:gs pos="0">
          <a:schemeClr val="accent1">
            <a:lumMod val="45000"/>
            <a:lumOff val="55000"/>
          </a:schemeClr>
        </a:gs>
        <a:gs pos="100000">
          <a:schemeClr val="accent1">
            <a:lumMod val="30000"/>
            <a:lumOff val="70000"/>
          </a:schemeClr>
        </a:gs>
      </a:gsLst>
      <a:lin ang="5400000" scaled="1"/>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dashboard.xlsx]Regionwise!region wise sales</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67609272954265"/>
          <c:y val="0.22212706422136322"/>
          <c:w val="0.71071038183466728"/>
          <c:h val="0.4660196167181046"/>
        </c:manualLayout>
      </c:layout>
      <c:barChart>
        <c:barDir val="col"/>
        <c:grouping val="clustered"/>
        <c:varyColors val="0"/>
        <c:ser>
          <c:idx val="0"/>
          <c:order val="0"/>
          <c:tx>
            <c:strRef>
              <c:f>Regionwise!$B$3</c:f>
              <c:strCache>
                <c:ptCount val="1"/>
                <c:pt idx="0">
                  <c:v>Sum of new total amt</c:v>
                </c:pt>
              </c:strCache>
            </c:strRef>
          </c:tx>
          <c:spPr>
            <a:solidFill>
              <a:srgbClr val="7030A0"/>
            </a:solidFill>
            <a:ln>
              <a:noFill/>
            </a:ln>
            <a:effectLst/>
          </c:spPr>
          <c:invertIfNegative val="0"/>
          <c:cat>
            <c:strRef>
              <c:f>Regionwise!$A$4:$A$9</c:f>
              <c:strCache>
                <c:ptCount val="5"/>
                <c:pt idx="0">
                  <c:v>Central</c:v>
                </c:pt>
                <c:pt idx="1">
                  <c:v>East</c:v>
                </c:pt>
                <c:pt idx="2">
                  <c:v>North</c:v>
                </c:pt>
                <c:pt idx="3">
                  <c:v>South</c:v>
                </c:pt>
                <c:pt idx="4">
                  <c:v>West</c:v>
                </c:pt>
              </c:strCache>
            </c:strRef>
          </c:cat>
          <c:val>
            <c:numRef>
              <c:f>Regionwise!$B$4:$B$9</c:f>
              <c:numCache>
                <c:formatCode>General</c:formatCode>
                <c:ptCount val="5"/>
                <c:pt idx="0">
                  <c:v>6887695.9999999991</c:v>
                </c:pt>
                <c:pt idx="1">
                  <c:v>22416405.75</c:v>
                </c:pt>
                <c:pt idx="2">
                  <c:v>23429363.769999996</c:v>
                </c:pt>
                <c:pt idx="3">
                  <c:v>35153104.409999996</c:v>
                </c:pt>
                <c:pt idx="4">
                  <c:v>20075707.420000006</c:v>
                </c:pt>
              </c:numCache>
            </c:numRef>
          </c:val>
          <c:extLst>
            <c:ext xmlns:c16="http://schemas.microsoft.com/office/drawing/2014/chart" uri="{C3380CC4-5D6E-409C-BE32-E72D297353CC}">
              <c16:uniqueId val="{00000000-177A-4EA8-8DFC-5E9551917319}"/>
            </c:ext>
          </c:extLst>
        </c:ser>
        <c:ser>
          <c:idx val="1"/>
          <c:order val="1"/>
          <c:tx>
            <c:strRef>
              <c:f>Regionwise!$C$3</c:f>
              <c:strCache>
                <c:ptCount val="1"/>
                <c:pt idx="0">
                  <c:v>Sum of Sales</c:v>
                </c:pt>
              </c:strCache>
            </c:strRef>
          </c:tx>
          <c:spPr>
            <a:solidFill>
              <a:srgbClr val="0070C0"/>
            </a:solidFill>
            <a:ln>
              <a:noFill/>
            </a:ln>
            <a:effectLst/>
          </c:spPr>
          <c:invertIfNegative val="0"/>
          <c:cat>
            <c:strRef>
              <c:f>Regionwise!$A$4:$A$9</c:f>
              <c:strCache>
                <c:ptCount val="5"/>
                <c:pt idx="0">
                  <c:v>Central</c:v>
                </c:pt>
                <c:pt idx="1">
                  <c:v>East</c:v>
                </c:pt>
                <c:pt idx="2">
                  <c:v>North</c:v>
                </c:pt>
                <c:pt idx="3">
                  <c:v>South</c:v>
                </c:pt>
                <c:pt idx="4">
                  <c:v>West</c:v>
                </c:pt>
              </c:strCache>
            </c:strRef>
          </c:cat>
          <c:val>
            <c:numRef>
              <c:f>Regionwise!$C$4:$C$9</c:f>
              <c:numCache>
                <c:formatCode>General</c:formatCode>
                <c:ptCount val="5"/>
                <c:pt idx="0">
                  <c:v>6701564.0165631464</c:v>
                </c:pt>
                <c:pt idx="1">
                  <c:v>21118017.701863356</c:v>
                </c:pt>
                <c:pt idx="2">
                  <c:v>22514736.935817804</c:v>
                </c:pt>
                <c:pt idx="3">
                  <c:v>33997513.726708069</c:v>
                </c:pt>
                <c:pt idx="4">
                  <c:v>19294488.322981365</c:v>
                </c:pt>
              </c:numCache>
            </c:numRef>
          </c:val>
          <c:extLst>
            <c:ext xmlns:c16="http://schemas.microsoft.com/office/drawing/2014/chart" uri="{C3380CC4-5D6E-409C-BE32-E72D297353CC}">
              <c16:uniqueId val="{00000001-177A-4EA8-8DFC-5E9551917319}"/>
            </c:ext>
          </c:extLst>
        </c:ser>
        <c:dLbls>
          <c:showLegendKey val="0"/>
          <c:showVal val="0"/>
          <c:showCatName val="0"/>
          <c:showSerName val="0"/>
          <c:showPercent val="0"/>
          <c:showBubbleSize val="0"/>
        </c:dLbls>
        <c:gapWidth val="219"/>
        <c:overlap val="-27"/>
        <c:axId val="1141703983"/>
        <c:axId val="1141705903"/>
      </c:barChart>
      <c:catAx>
        <c:axId val="114170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1705903"/>
        <c:crosses val="autoZero"/>
        <c:auto val="1"/>
        <c:lblAlgn val="ctr"/>
        <c:lblOffset val="100"/>
        <c:noMultiLvlLbl val="0"/>
      </c:catAx>
      <c:valAx>
        <c:axId val="1141705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170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7000">
          <a:schemeClr val="accent1">
            <a:lumMod val="5000"/>
            <a:lumOff val="95000"/>
          </a:schemeClr>
        </a:gs>
        <a:gs pos="88000">
          <a:schemeClr val="accent1">
            <a:lumMod val="45000"/>
            <a:lumOff val="55000"/>
          </a:schemeClr>
        </a:gs>
        <a:gs pos="0">
          <a:srgbClr val="7030A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dashboard.xlsx]Regionwise!Brand</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816020684189914"/>
          <c:y val="0.23023079560623935"/>
          <c:w val="0.32987463239227921"/>
          <c:h val="0.60783508339363912"/>
        </c:manualLayout>
      </c:layout>
      <c:barChart>
        <c:barDir val="bar"/>
        <c:grouping val="clustered"/>
        <c:varyColors val="0"/>
        <c:ser>
          <c:idx val="0"/>
          <c:order val="0"/>
          <c:tx>
            <c:strRef>
              <c:f>Regionwise!$F$3</c:f>
              <c:strCache>
                <c:ptCount val="1"/>
                <c:pt idx="0">
                  <c:v>Total</c:v>
                </c:pt>
              </c:strCache>
            </c:strRef>
          </c:tx>
          <c:spPr>
            <a:solidFill>
              <a:schemeClr val="accent1"/>
            </a:solidFill>
            <a:ln>
              <a:noFill/>
            </a:ln>
            <a:effectLst/>
          </c:spPr>
          <c:invertIfNegative val="0"/>
          <c:cat>
            <c:strRef>
              <c:f>Regionwise!$E$4:$E$9</c:f>
              <c:strCache>
                <c:ptCount val="5"/>
                <c:pt idx="0">
                  <c:v>Apple</c:v>
                </c:pt>
                <c:pt idx="1">
                  <c:v>Dell</c:v>
                </c:pt>
                <c:pt idx="2">
                  <c:v>Lg</c:v>
                </c:pt>
                <c:pt idx="3">
                  <c:v>Samsung</c:v>
                </c:pt>
                <c:pt idx="4">
                  <c:v>Sony</c:v>
                </c:pt>
              </c:strCache>
            </c:strRef>
          </c:cat>
          <c:val>
            <c:numRef>
              <c:f>Regionwise!$F$4:$F$9</c:f>
              <c:numCache>
                <c:formatCode>0</c:formatCode>
                <c:ptCount val="5"/>
                <c:pt idx="0">
                  <c:v>15368920</c:v>
                </c:pt>
                <c:pt idx="1">
                  <c:v>9587010</c:v>
                </c:pt>
                <c:pt idx="2">
                  <c:v>6565227.0807453413</c:v>
                </c:pt>
                <c:pt idx="3">
                  <c:v>15270569.233954452</c:v>
                </c:pt>
                <c:pt idx="4">
                  <c:v>6634987.8467908902</c:v>
                </c:pt>
              </c:numCache>
            </c:numRef>
          </c:val>
          <c:extLst>
            <c:ext xmlns:c16="http://schemas.microsoft.com/office/drawing/2014/chart" uri="{C3380CC4-5D6E-409C-BE32-E72D297353CC}">
              <c16:uniqueId val="{00000000-3AC6-47AD-B8C6-30C026FE59F3}"/>
            </c:ext>
          </c:extLst>
        </c:ser>
        <c:dLbls>
          <c:showLegendKey val="0"/>
          <c:showVal val="0"/>
          <c:showCatName val="0"/>
          <c:showSerName val="0"/>
          <c:showPercent val="0"/>
          <c:showBubbleSize val="0"/>
        </c:dLbls>
        <c:gapWidth val="182"/>
        <c:axId val="1755163807"/>
        <c:axId val="1755160447"/>
      </c:barChart>
      <c:catAx>
        <c:axId val="175516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5160447"/>
        <c:crosses val="autoZero"/>
        <c:auto val="1"/>
        <c:lblAlgn val="ctr"/>
        <c:lblOffset val="100"/>
        <c:noMultiLvlLbl val="0"/>
      </c:catAx>
      <c:valAx>
        <c:axId val="17551604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516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6000">
          <a:schemeClr val="accent1">
            <a:lumMod val="5000"/>
            <a:lumOff val="95000"/>
          </a:schemeClr>
        </a:gs>
        <a:gs pos="88000">
          <a:schemeClr val="accent1">
            <a:lumMod val="45000"/>
            <a:lumOff val="55000"/>
          </a:schemeClr>
        </a:gs>
        <a:gs pos="0">
          <a:srgbClr val="7030A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304800</xdr:colOff>
      <xdr:row>46</xdr:row>
      <xdr:rowOff>139700</xdr:rowOff>
    </xdr:to>
    <xdr:pic>
      <xdr:nvPicPr>
        <xdr:cNvPr id="3" name="Picture 2">
          <a:extLst>
            <a:ext uri="{FF2B5EF4-FFF2-40B4-BE49-F238E27FC236}">
              <a16:creationId xmlns:a16="http://schemas.microsoft.com/office/drawing/2014/main" id="{58DF235D-3E9C-43AE-5D48-F3D14A961D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496800" cy="8610600"/>
        </a:xfrm>
        <a:prstGeom prst="rect">
          <a:avLst/>
        </a:prstGeom>
        <a:ln w="190500" cap="sq">
          <a:solidFill>
            <a:srgbClr val="C8C6BD"/>
          </a:solidFill>
          <a:prstDash val="solid"/>
          <a:miter lim="800000"/>
        </a:ln>
        <a:effectLst>
          <a:outerShdw blurRad="254000" algn="bl" rotWithShape="0">
            <a:srgbClr val="000000">
              <a:alpha val="43000"/>
            </a:srgb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twoCellAnchor>
    <xdr:from>
      <xdr:col>0</xdr:col>
      <xdr:colOff>196681</xdr:colOff>
      <xdr:row>5</xdr:row>
      <xdr:rowOff>64348</xdr:rowOff>
    </xdr:from>
    <xdr:to>
      <xdr:col>2</xdr:col>
      <xdr:colOff>604398</xdr:colOff>
      <xdr:row>10</xdr:row>
      <xdr:rowOff>61205</xdr:rowOff>
    </xdr:to>
    <xdr:sp macro="" textlink="KPIs!C3">
      <xdr:nvSpPr>
        <xdr:cNvPr id="4" name="Rectangle: Rounded Corners 3">
          <a:extLst>
            <a:ext uri="{FF2B5EF4-FFF2-40B4-BE49-F238E27FC236}">
              <a16:creationId xmlns:a16="http://schemas.microsoft.com/office/drawing/2014/main" id="{9BB5DD07-C742-8750-B2A1-08CB60CD0BB5}"/>
            </a:ext>
          </a:extLst>
        </xdr:cNvPr>
        <xdr:cNvSpPr/>
      </xdr:nvSpPr>
      <xdr:spPr>
        <a:xfrm>
          <a:off x="196681" y="982420"/>
          <a:ext cx="1631813" cy="914930"/>
        </a:xfrm>
        <a:prstGeom prst="roundRect">
          <a:avLst/>
        </a:prstGeom>
        <a:gradFill>
          <a:gsLst>
            <a:gs pos="100000">
              <a:srgbClr val="7030A0"/>
            </a:gs>
            <a:gs pos="99000">
              <a:schemeClr val="accent1">
                <a:lumMod val="45000"/>
                <a:lumOff val="55000"/>
              </a:schemeClr>
            </a:gs>
            <a:gs pos="0">
              <a:schemeClr val="accent1">
                <a:lumMod val="45000"/>
                <a:lumOff val="55000"/>
              </a:schemeClr>
            </a:gs>
            <a:gs pos="0">
              <a:srgbClr val="7030A0"/>
            </a:gs>
          </a:gsLst>
          <a:lin ang="5400000" scaled="1"/>
        </a:gradFill>
        <a:ln>
          <a:solidFill>
            <a:srgbClr val="002060"/>
          </a:solidFill>
        </a:ln>
        <a:effectLst>
          <a:outerShdw blurRad="50800" dist="38100" dir="16200000"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a:t>
          </a:r>
          <a:r>
            <a:rPr lang="en-US" sz="1400" b="1"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a:t>
          </a:r>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Total Sales</a:t>
          </a:r>
        </a:p>
        <a:p>
          <a:pPr algn="l"/>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a:t>
          </a:r>
          <a:fld id="{513CD7D2-622C-4ED1-A385-84739BAA2E1D}" type="TxLink">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l"/>
            <a:t>107962277.4</a:t>
          </a:fld>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130059</xdr:colOff>
      <xdr:row>5</xdr:row>
      <xdr:rowOff>93394</xdr:rowOff>
    </xdr:from>
    <xdr:to>
      <xdr:col>15</xdr:col>
      <xdr:colOff>497289</xdr:colOff>
      <xdr:row>10</xdr:row>
      <xdr:rowOff>114760</xdr:rowOff>
    </xdr:to>
    <xdr:sp macro="" textlink="KPIs!B3">
      <xdr:nvSpPr>
        <xdr:cNvPr id="5" name="Rectangle: Rounded Corners 4">
          <a:extLst>
            <a:ext uri="{FF2B5EF4-FFF2-40B4-BE49-F238E27FC236}">
              <a16:creationId xmlns:a16="http://schemas.microsoft.com/office/drawing/2014/main" id="{8B671A8E-8AFE-4D88-901B-AAD8976F8617}"/>
            </a:ext>
          </a:extLst>
        </xdr:cNvPr>
        <xdr:cNvSpPr/>
      </xdr:nvSpPr>
      <xdr:spPr>
        <a:xfrm>
          <a:off x="8086686" y="1011466"/>
          <a:ext cx="1591326" cy="939439"/>
        </a:xfrm>
        <a:prstGeom prst="roundRect">
          <a:avLst/>
        </a:prstGeom>
        <a:gradFill>
          <a:gsLst>
            <a:gs pos="100000">
              <a:srgbClr val="7030A0"/>
            </a:gs>
            <a:gs pos="99000">
              <a:schemeClr val="accent1">
                <a:lumMod val="45000"/>
                <a:lumOff val="55000"/>
              </a:schemeClr>
            </a:gs>
            <a:gs pos="0">
              <a:schemeClr val="accent1">
                <a:lumMod val="45000"/>
                <a:lumOff val="55000"/>
              </a:schemeClr>
            </a:gs>
            <a:gs pos="0">
              <a:srgbClr val="7030A0"/>
            </a:gs>
          </a:gsLst>
          <a:lin ang="5400000" scaled="1"/>
        </a:gradFill>
        <a:ln>
          <a:solidFill>
            <a:srgbClr val="002060"/>
          </a:solidFill>
        </a:ln>
        <a:effectLst>
          <a:outerShdw blurRad="50800" dist="38100" dir="18900000" algn="b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Discount Amt</a:t>
          </a:r>
        </a:p>
        <a:p>
          <a:pPr marL="0" indent="0" algn="l"/>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a:t>
          </a:r>
          <a:fld id="{B0DD6164-1041-4C05-AFAB-EA56E27796F1}" type="TxLink">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l"/>
            <a:t>7731562.5</a:t>
          </a:fld>
          <a:endParaRPr lang="en-IN"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10</xdr:col>
      <xdr:colOff>49168</xdr:colOff>
      <xdr:row>5</xdr:row>
      <xdr:rowOff>85934</xdr:rowOff>
    </xdr:from>
    <xdr:to>
      <xdr:col>12</xdr:col>
      <xdr:colOff>459035</xdr:colOff>
      <xdr:row>10</xdr:row>
      <xdr:rowOff>84156</xdr:rowOff>
    </xdr:to>
    <xdr:sp macro="" textlink="KPIs!E3">
      <xdr:nvSpPr>
        <xdr:cNvPr id="6" name="Rectangle: Rounded Corners 5">
          <a:extLst>
            <a:ext uri="{FF2B5EF4-FFF2-40B4-BE49-F238E27FC236}">
              <a16:creationId xmlns:a16="http://schemas.microsoft.com/office/drawing/2014/main" id="{86BEA94B-0F1F-4F0E-BB9A-E01324FBAF59}"/>
            </a:ext>
          </a:extLst>
        </xdr:cNvPr>
        <xdr:cNvSpPr/>
      </xdr:nvSpPr>
      <xdr:spPr>
        <a:xfrm>
          <a:off x="6169650" y="1004006"/>
          <a:ext cx="1633963" cy="916295"/>
        </a:xfrm>
        <a:prstGeom prst="roundRect">
          <a:avLst/>
        </a:prstGeom>
        <a:gradFill>
          <a:gsLst>
            <a:gs pos="100000">
              <a:srgbClr val="7030A0"/>
            </a:gs>
            <a:gs pos="99000">
              <a:schemeClr val="accent1">
                <a:lumMod val="45000"/>
                <a:lumOff val="55000"/>
              </a:schemeClr>
            </a:gs>
            <a:gs pos="0">
              <a:schemeClr val="accent1">
                <a:lumMod val="45000"/>
                <a:lumOff val="55000"/>
              </a:schemeClr>
            </a:gs>
            <a:gs pos="0">
              <a:srgbClr val="7030A0"/>
            </a:gs>
          </a:gsLst>
          <a:lin ang="5400000" scaled="1"/>
        </a:gradFill>
        <a:ln>
          <a:solidFill>
            <a:srgbClr val="002060"/>
          </a:solidFill>
        </a:ln>
        <a:effectLst>
          <a:outerShdw blurRad="50800" dist="38100" dir="18900000" algn="b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Total Qty</a:t>
          </a:r>
        </a:p>
        <a:p>
          <a:pPr marL="0" indent="0" algn="l"/>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a:t>
          </a:r>
          <a:fld id="{504F46CC-348E-4ABF-B4F6-2762EE6F1D84}" type="TxLink">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l"/>
            <a:t>3420</a:t>
          </a:fld>
          <a:endPar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6</xdr:col>
      <xdr:colOff>431727</xdr:colOff>
      <xdr:row>5</xdr:row>
      <xdr:rowOff>85936</xdr:rowOff>
    </xdr:from>
    <xdr:to>
      <xdr:col>9</xdr:col>
      <xdr:colOff>306023</xdr:colOff>
      <xdr:row>10</xdr:row>
      <xdr:rowOff>99457</xdr:rowOff>
    </xdr:to>
    <xdr:sp macro="" textlink="KPIs!D3">
      <xdr:nvSpPr>
        <xdr:cNvPr id="7" name="Rectangle: Rounded Corners 6">
          <a:extLst>
            <a:ext uri="{FF2B5EF4-FFF2-40B4-BE49-F238E27FC236}">
              <a16:creationId xmlns:a16="http://schemas.microsoft.com/office/drawing/2014/main" id="{4A9102EA-BB14-4599-A353-916CFC1369E2}"/>
            </a:ext>
          </a:extLst>
        </xdr:cNvPr>
        <xdr:cNvSpPr/>
      </xdr:nvSpPr>
      <xdr:spPr>
        <a:xfrm>
          <a:off x="4104016" y="1004008"/>
          <a:ext cx="1710441" cy="931594"/>
        </a:xfrm>
        <a:prstGeom prst="roundRect">
          <a:avLst/>
        </a:prstGeom>
        <a:gradFill>
          <a:gsLst>
            <a:gs pos="100000">
              <a:srgbClr val="7030A0"/>
            </a:gs>
            <a:gs pos="99000">
              <a:schemeClr val="accent1">
                <a:lumMod val="45000"/>
                <a:lumOff val="55000"/>
              </a:schemeClr>
            </a:gs>
            <a:gs pos="0">
              <a:schemeClr val="accent1">
                <a:lumMod val="45000"/>
                <a:lumOff val="55000"/>
              </a:schemeClr>
            </a:gs>
            <a:gs pos="0">
              <a:srgbClr val="7030A0"/>
            </a:gs>
          </a:gsLst>
          <a:lin ang="5400000" scaled="1"/>
        </a:gradFill>
        <a:ln>
          <a:solidFill>
            <a:srgbClr val="002060"/>
          </a:solidFill>
        </a:ln>
        <a:effectLst>
          <a:outerShdw blurRad="50800" dist="38100" dir="18900000" algn="b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Count of Orders</a:t>
          </a:r>
        </a:p>
        <a:p>
          <a:pPr marL="0" indent="0" algn="l"/>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a:t>
          </a:r>
          <a:fld id="{FF4DE7AF-870D-4164-B304-33E0E9524442}" type="TxLink">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l"/>
            <a:t>1000</a:t>
          </a:fld>
          <a:endParaRPr lang="en-IN"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3</xdr:col>
      <xdr:colOff>220052</xdr:colOff>
      <xdr:row>5</xdr:row>
      <xdr:rowOff>86065</xdr:rowOff>
    </xdr:from>
    <xdr:to>
      <xdr:col>6</xdr:col>
      <xdr:colOff>84155</xdr:colOff>
      <xdr:row>10</xdr:row>
      <xdr:rowOff>76508</xdr:rowOff>
    </xdr:to>
    <xdr:sp macro="" textlink="KPIs!A3">
      <xdr:nvSpPr>
        <xdr:cNvPr id="8" name="Rectangle: Rounded Corners 7">
          <a:extLst>
            <a:ext uri="{FF2B5EF4-FFF2-40B4-BE49-F238E27FC236}">
              <a16:creationId xmlns:a16="http://schemas.microsoft.com/office/drawing/2014/main" id="{A57716C7-7F51-47CD-B4E0-C9EFCF7F3375}"/>
            </a:ext>
          </a:extLst>
        </xdr:cNvPr>
        <xdr:cNvSpPr/>
      </xdr:nvSpPr>
      <xdr:spPr>
        <a:xfrm>
          <a:off x="2056197" y="1004137"/>
          <a:ext cx="1700247" cy="908516"/>
        </a:xfrm>
        <a:prstGeom prst="roundRect">
          <a:avLst/>
        </a:prstGeom>
        <a:gradFill>
          <a:gsLst>
            <a:gs pos="100000">
              <a:srgbClr val="7030A0"/>
            </a:gs>
            <a:gs pos="99000">
              <a:schemeClr val="accent1">
                <a:lumMod val="45000"/>
                <a:lumOff val="55000"/>
              </a:schemeClr>
            </a:gs>
            <a:gs pos="0">
              <a:schemeClr val="accent1">
                <a:lumMod val="45000"/>
                <a:lumOff val="55000"/>
              </a:schemeClr>
            </a:gs>
            <a:gs pos="0">
              <a:srgbClr val="7030A0"/>
            </a:gs>
          </a:gsLst>
          <a:lin ang="5400000" scaled="1"/>
        </a:gradFill>
        <a:ln>
          <a:solidFill>
            <a:srgbClr val="002060"/>
          </a:solidFill>
        </a:ln>
        <a:effectLst>
          <a:outerShdw blurRad="50800" dist="38100" dir="18900000" algn="b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Original Sales</a:t>
          </a:r>
        </a:p>
        <a:p>
          <a:pPr algn="l"/>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a:t>
          </a:r>
          <a:fld id="{9B8CFE6F-BB21-4F0F-931C-E414D0ABC58C}" type="TxLink">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l"/>
            <a:t>103626320.7</a:t>
          </a:fld>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382529</xdr:colOff>
      <xdr:row>1</xdr:row>
      <xdr:rowOff>22952</xdr:rowOff>
    </xdr:from>
    <xdr:to>
      <xdr:col>13</xdr:col>
      <xdr:colOff>168312</xdr:colOff>
      <xdr:row>4</xdr:row>
      <xdr:rowOff>15301</xdr:rowOff>
    </xdr:to>
    <xdr:sp macro="" textlink="">
      <xdr:nvSpPr>
        <xdr:cNvPr id="9" name="TextBox 8">
          <a:extLst>
            <a:ext uri="{FF2B5EF4-FFF2-40B4-BE49-F238E27FC236}">
              <a16:creationId xmlns:a16="http://schemas.microsoft.com/office/drawing/2014/main" id="{1EC3964A-EC04-1078-C438-704F4386D9B3}"/>
            </a:ext>
          </a:extLst>
        </xdr:cNvPr>
        <xdr:cNvSpPr txBox="1"/>
      </xdr:nvSpPr>
      <xdr:spPr>
        <a:xfrm>
          <a:off x="4054818" y="206566"/>
          <a:ext cx="4070121" cy="543193"/>
        </a:xfrm>
        <a:prstGeom prst="rect">
          <a:avLst/>
        </a:prstGeom>
        <a:gradFill>
          <a:gsLst>
            <a:gs pos="99000">
              <a:srgbClr val="7030A0"/>
            </a:gs>
            <a:gs pos="100000">
              <a:schemeClr val="dk1">
                <a:lumMod val="105000"/>
                <a:satMod val="109000"/>
                <a:tint val="81000"/>
              </a:schemeClr>
            </a:gs>
          </a:gsLst>
        </a:gradFill>
        <a:ln>
          <a:solidFill>
            <a:srgbClr val="7030A0"/>
          </a:solidFill>
        </a:ln>
        <a:effectLst>
          <a:outerShdw blurRad="50800" dist="38100" algn="l" rotWithShape="0">
            <a:prstClr val="black">
              <a:alpha val="40000"/>
            </a:prstClr>
          </a:outerShdw>
          <a:reflection blurRad="6350" stA="50000" endA="300" endPos="38500" dist="50800" dir="5400000" sy="-100000" algn="bl" rotWithShape="0"/>
        </a:effectLst>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IN" sz="2400" b="1" cap="none" spc="50">
              <a:ln w="0"/>
              <a:solidFill>
                <a:schemeClr val="bg2"/>
              </a:solidFill>
              <a:effectLst>
                <a:innerShdw blurRad="63500" dist="50800" dir="13500000">
                  <a:srgbClr val="000000">
                    <a:alpha val="50000"/>
                  </a:srgbClr>
                </a:innerShdw>
              </a:effectLst>
            </a:rPr>
            <a:t>E-Commerce Sales</a:t>
          </a:r>
        </a:p>
      </xdr:txBody>
    </xdr:sp>
    <xdr:clientData/>
  </xdr:twoCellAnchor>
  <xdr:twoCellAnchor>
    <xdr:from>
      <xdr:col>0</xdr:col>
      <xdr:colOff>193140</xdr:colOff>
      <xdr:row>11</xdr:row>
      <xdr:rowOff>82379</xdr:rowOff>
    </xdr:from>
    <xdr:to>
      <xdr:col>5</xdr:col>
      <xdr:colOff>382530</xdr:colOff>
      <xdr:row>22</xdr:row>
      <xdr:rowOff>15301</xdr:rowOff>
    </xdr:to>
    <xdr:graphicFrame macro="">
      <xdr:nvGraphicFramePr>
        <xdr:cNvPr id="11" name="Chart 10">
          <a:extLst>
            <a:ext uri="{FF2B5EF4-FFF2-40B4-BE49-F238E27FC236}">
              <a16:creationId xmlns:a16="http://schemas.microsoft.com/office/drawing/2014/main" id="{7F5571D9-7929-44F7-91CF-8F631F139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595144</xdr:colOff>
      <xdr:row>11</xdr:row>
      <xdr:rowOff>87122</xdr:rowOff>
    </xdr:from>
    <xdr:to>
      <xdr:col>11</xdr:col>
      <xdr:colOff>68856</xdr:colOff>
      <xdr:row>21</xdr:row>
      <xdr:rowOff>153012</xdr:rowOff>
    </xdr:to>
    <xdr:graphicFrame macro="">
      <xdr:nvGraphicFramePr>
        <xdr:cNvPr id="12" name="Chart 11">
          <a:extLst>
            <a:ext uri="{FF2B5EF4-FFF2-40B4-BE49-F238E27FC236}">
              <a16:creationId xmlns:a16="http://schemas.microsoft.com/office/drawing/2014/main" id="{881FCBDA-4B5B-490E-A1AC-6B951AE5C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217915</xdr:colOff>
      <xdr:row>11</xdr:row>
      <xdr:rowOff>88376</xdr:rowOff>
    </xdr:from>
    <xdr:to>
      <xdr:col>16</xdr:col>
      <xdr:colOff>229517</xdr:colOff>
      <xdr:row>22</xdr:row>
      <xdr:rowOff>15301</xdr:rowOff>
    </xdr:to>
    <xdr:graphicFrame macro="">
      <xdr:nvGraphicFramePr>
        <xdr:cNvPr id="13" name="Chart 12">
          <a:extLst>
            <a:ext uri="{FF2B5EF4-FFF2-40B4-BE49-F238E27FC236}">
              <a16:creationId xmlns:a16="http://schemas.microsoft.com/office/drawing/2014/main" id="{B393D197-841B-4A9C-BBDA-689FE862A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193210</xdr:colOff>
      <xdr:row>23</xdr:row>
      <xdr:rowOff>61858</xdr:rowOff>
    </xdr:from>
    <xdr:to>
      <xdr:col>5</xdr:col>
      <xdr:colOff>336627</xdr:colOff>
      <xdr:row>34</xdr:row>
      <xdr:rowOff>22950</xdr:rowOff>
    </xdr:to>
    <xdr:graphicFrame macro="">
      <xdr:nvGraphicFramePr>
        <xdr:cNvPr id="14" name="Chart 13">
          <a:extLst>
            <a:ext uri="{FF2B5EF4-FFF2-40B4-BE49-F238E27FC236}">
              <a16:creationId xmlns:a16="http://schemas.microsoft.com/office/drawing/2014/main" id="{3D807F59-F2AB-4F11-801E-FA88AECEB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443076</xdr:colOff>
      <xdr:row>9</xdr:row>
      <xdr:rowOff>185876</xdr:rowOff>
    </xdr:from>
    <xdr:to>
      <xdr:col>19</xdr:col>
      <xdr:colOff>443076</xdr:colOff>
      <xdr:row>16</xdr:row>
      <xdr:rowOff>88970</xdr:rowOff>
    </xdr:to>
    <mc:AlternateContent xmlns:mc="http://schemas.openxmlformats.org/markup-compatibility/2006" xmlns:a14="http://schemas.microsoft.com/office/drawing/2010/main">
      <mc:Choice Requires="a14">
        <xdr:graphicFrame macro="">
          <xdr:nvGraphicFramePr>
            <xdr:cNvPr id="15" name="Order_Status">
              <a:extLst>
                <a:ext uri="{FF2B5EF4-FFF2-40B4-BE49-F238E27FC236}">
                  <a16:creationId xmlns:a16="http://schemas.microsoft.com/office/drawing/2014/main" id="{93782896-0011-4237-A471-7031BB3C0056}"/>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0188382" y="1818733"/>
              <a:ext cx="1827245" cy="1173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11848</xdr:colOff>
      <xdr:row>23</xdr:row>
      <xdr:rowOff>77089</xdr:rowOff>
    </xdr:from>
    <xdr:to>
      <xdr:col>11</xdr:col>
      <xdr:colOff>38253</xdr:colOff>
      <xdr:row>34</xdr:row>
      <xdr:rowOff>30602</xdr:rowOff>
    </xdr:to>
    <xdr:graphicFrame macro="">
      <xdr:nvGraphicFramePr>
        <xdr:cNvPr id="2" name="Chart 1">
          <a:extLst>
            <a:ext uri="{FF2B5EF4-FFF2-40B4-BE49-F238E27FC236}">
              <a16:creationId xmlns:a16="http://schemas.microsoft.com/office/drawing/2014/main" id="{B937A566-E1DA-446A-952E-DC526AC17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252470</xdr:colOff>
      <xdr:row>23</xdr:row>
      <xdr:rowOff>91807</xdr:rowOff>
    </xdr:from>
    <xdr:to>
      <xdr:col>16</xdr:col>
      <xdr:colOff>229518</xdr:colOff>
      <xdr:row>34</xdr:row>
      <xdr:rowOff>7650</xdr:rowOff>
    </xdr:to>
    <xdr:graphicFrame macro="">
      <xdr:nvGraphicFramePr>
        <xdr:cNvPr id="17" name="Chart 16">
          <a:extLst>
            <a:ext uri="{FF2B5EF4-FFF2-40B4-BE49-F238E27FC236}">
              <a16:creationId xmlns:a16="http://schemas.microsoft.com/office/drawing/2014/main" id="{0B35166F-7269-4E72-A233-C162D1CE4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448603</xdr:colOff>
      <xdr:row>25</xdr:row>
      <xdr:rowOff>9221</xdr:rowOff>
    </xdr:from>
    <xdr:to>
      <xdr:col>19</xdr:col>
      <xdr:colOff>441774</xdr:colOff>
      <xdr:row>33</xdr:row>
      <xdr:rowOff>143114</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45FE3384-11D9-429F-B8B5-215B1E3BEA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93909" y="4544935"/>
              <a:ext cx="1820416" cy="1585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430148</xdr:colOff>
      <xdr:row>16</xdr:row>
      <xdr:rowOff>173982</xdr:rowOff>
    </xdr:from>
    <xdr:to>
      <xdr:col>19</xdr:col>
      <xdr:colOff>428544</xdr:colOff>
      <xdr:row>24</xdr:row>
      <xdr:rowOff>103492</xdr:rowOff>
    </xdr:to>
    <mc:AlternateContent xmlns:mc="http://schemas.openxmlformats.org/markup-compatibility/2006" xmlns:a14="http://schemas.microsoft.com/office/drawing/2010/main">
      <mc:Choice Requires="a14">
        <xdr:graphicFrame macro="">
          <xdr:nvGraphicFramePr>
            <xdr:cNvPr id="19" name="Customer_Segment">
              <a:extLst>
                <a:ext uri="{FF2B5EF4-FFF2-40B4-BE49-F238E27FC236}">
                  <a16:creationId xmlns:a16="http://schemas.microsoft.com/office/drawing/2014/main" id="{CF4EA2E3-FE82-4858-9EF9-CAE9DC47B465}"/>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0175454" y="3076839"/>
              <a:ext cx="1825641" cy="1380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434937</xdr:colOff>
      <xdr:row>4</xdr:row>
      <xdr:rowOff>129487</xdr:rowOff>
    </xdr:from>
    <xdr:to>
      <xdr:col>19</xdr:col>
      <xdr:colOff>427592</xdr:colOff>
      <xdr:row>9</xdr:row>
      <xdr:rowOff>87713</xdr:rowOff>
    </xdr:to>
    <mc:AlternateContent xmlns:mc="http://schemas.openxmlformats.org/markup-compatibility/2006" xmlns:a14="http://schemas.microsoft.com/office/drawing/2010/main">
      <mc:Choice Requires="a14">
        <xdr:graphicFrame macro="">
          <xdr:nvGraphicFramePr>
            <xdr:cNvPr id="10" name="Years (Shipping_Date) 1">
              <a:extLst>
                <a:ext uri="{FF2B5EF4-FFF2-40B4-BE49-F238E27FC236}">
                  <a16:creationId xmlns:a16="http://schemas.microsoft.com/office/drawing/2014/main" id="{D37A4589-FC40-420D-A190-1E10E14DBE58}"/>
                </a:ext>
              </a:extLst>
            </xdr:cNvPr>
            <xdr:cNvGraphicFramePr/>
          </xdr:nvGraphicFramePr>
          <xdr:xfrm>
            <a:off x="0" y="0"/>
            <a:ext cx="0" cy="0"/>
          </xdr:xfrm>
          <a:graphic>
            <a:graphicData uri="http://schemas.microsoft.com/office/drawing/2010/slicer">
              <sle:slicer xmlns:sle="http://schemas.microsoft.com/office/drawing/2010/slicer" name="Years (Shipping_Date) 1"/>
            </a:graphicData>
          </a:graphic>
        </xdr:graphicFrame>
      </mc:Choice>
      <mc:Fallback xmlns="">
        <xdr:sp macro="" textlink="">
          <xdr:nvSpPr>
            <xdr:cNvPr id="0" name=""/>
            <xdr:cNvSpPr>
              <a:spLocks noTextEdit="1"/>
            </xdr:cNvSpPr>
          </xdr:nvSpPr>
          <xdr:spPr>
            <a:xfrm>
              <a:off x="10207889" y="855201"/>
              <a:ext cx="1825084" cy="865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482600</xdr:colOff>
      <xdr:row>2</xdr:row>
      <xdr:rowOff>82550</xdr:rowOff>
    </xdr:from>
    <xdr:to>
      <xdr:col>9</xdr:col>
      <xdr:colOff>482600</xdr:colOff>
      <xdr:row>16</xdr:row>
      <xdr:rowOff>28575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AAC08AF8-8D61-A655-0A95-CD19AF06D0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41900" y="450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6216.814088194442" createdVersion="8" refreshedVersion="8" minRefreshableVersion="3" recordCount="1000" xr:uid="{BC247219-786B-408D-87EB-094A37E14CB1}">
  <cacheSource type="worksheet">
    <worksheetSource name="Sales_Transactions_Raw"/>
  </cacheSource>
  <cacheFields count="41">
    <cacheField name="Order_ID" numFmtId="0">
      <sharedItems count="963">
        <s v="ORD-2023006"/>
        <s v="ORD-2023198"/>
        <s v="ORD-2023014"/>
        <s v="ORD-2023124"/>
        <s v="ORD-2023090"/>
        <s v="ORD-2023019"/>
        <s v="ORD-2023073"/>
        <s v="ORD-2023048"/>
        <s v="ORD-2023008"/>
        <s v="ORD-2023181"/>
        <s v="ORD-2023170"/>
        <s v="ORD-2023045"/>
        <s v="ORD-2023074"/>
        <s v="ORD-2023197"/>
        <s v="ORD-2023177"/>
        <s v="ORD-2023087"/>
        <s v="ORD-2023046"/>
        <s v="ORD-2023184"/>
        <s v="ORD-2023065"/>
        <s v="ORD-2023182"/>
        <s v="ORD-2023164"/>
        <s v="ORD-2023034"/>
        <s v="ORD-2023125"/>
        <s v="ORD-2023129"/>
        <s v="ORD-2023064"/>
        <s v="ORD-2023069"/>
        <s v="ORD-2023036"/>
        <s v="ORD-2023117"/>
        <s v="ORD-2023108"/>
        <s v="ORD-2023210"/>
        <s v="ORD-2023140"/>
        <s v="ORD-2023039"/>
        <s v="ORD-2023138"/>
        <s v="ORD-2023141"/>
        <s v="ORD-2023163"/>
        <s v="ORD-2023158"/>
        <s v="ORD-2023226"/>
        <s v="ORD-2023176"/>
        <s v="ORD-2023156"/>
        <s v="ORD-2023204"/>
        <s v="ORD-2023047"/>
        <s v="ORD-2023162"/>
        <s v="ORD-2023150"/>
        <s v="ORD-2023118"/>
        <s v="ORD-2023145"/>
        <s v="ORD-2023126"/>
        <s v="ORD-2023233"/>
        <s v="ORD-2023174"/>
        <s v="ORD-2023202"/>
        <s v="ORD-2023109"/>
        <s v="ORD-2023227"/>
        <s v="ORD-2023086"/>
        <s v="ORD-2023191"/>
        <s v="ORD-2023196"/>
        <s v="ORD-2023249"/>
        <s v="ORD-2023070"/>
        <s v="ORD-2023160"/>
        <s v="ORD-2023096"/>
        <s v="ORD-2023223"/>
        <s v="ORD-2023189"/>
        <s v="ORD-2023250"/>
        <s v="ORD-2023091"/>
        <s v="ORD-2023133"/>
        <s v="ORD-2023241"/>
        <s v="ORD-2023246"/>
        <s v="ORD-2023135"/>
        <s v="ORD-2023136"/>
        <s v="ORD-2023101"/>
        <s v="ORD-2023252"/>
        <s v="ORD-2023084"/>
        <s v="ORD-2023242"/>
        <s v="ORD-2023218"/>
        <s v="ORD-2023206"/>
        <s v="ORD-2023168"/>
        <s v="ORD-2023259"/>
        <s v="ORD-2023272"/>
        <s v="ORD-2023103"/>
        <s v="ORD-2023113"/>
        <s v="ORD-2023146"/>
        <s v="ORD-2023277"/>
        <s v="ORD-2023216"/>
        <s v="ORD-2023128"/>
        <s v="ORD-2023152"/>
        <s v="ORD-2023187"/>
        <s v="ORD-2023178"/>
        <s v="ORD-2023236"/>
        <s v="ORD-2023188"/>
        <s v="ORD-2023207"/>
        <s v="ORD-2023098"/>
        <s v="ORD-2023199"/>
        <s v="ORD-2023172"/>
        <s v="ORD-2023144"/>
        <s v="ORD-2023110"/>
        <s v="ORD-2023179"/>
        <s v="ORD-2023279"/>
        <s v="ORD-2023267"/>
        <s v="ORD-2023225"/>
        <s v="ORD-2023245"/>
        <s v="ORD-2023151"/>
        <s v="ORD-2023167"/>
        <s v="ORD-2023292"/>
        <s v="ORD-2023254"/>
        <s v="ORD-2023265"/>
        <s v="ORD-2023214"/>
        <s v="ORD-2023306"/>
        <s v="ORD-2023123"/>
        <s v="ORD-2023215"/>
        <s v="ORD-2023282"/>
        <s v="ORD-2023298"/>
        <s v="ORD-2023290"/>
        <s v="ORD-2023251"/>
        <s v="ORD-2023266"/>
        <s v="ORD-2023217"/>
        <s v="ORD-2023293"/>
        <s v="ORD-2023257"/>
        <s v="ORD-2023320"/>
        <s v="ORD-2023287"/>
        <s v="ORD-2023240"/>
        <s v="ORD-2023157"/>
        <s v="ORD-2023186"/>
        <s v="ORD-2023185"/>
        <s v="ORD-2023323"/>
        <s v="ORD-2023220"/>
        <s v="ORD-2023318"/>
        <s v="ORD-2023326"/>
        <s v="ORD-2023308"/>
        <s v="ORD-2023325"/>
        <s v="ORD-2023301"/>
        <s v="ORD-2023260"/>
        <s v="ORD-2023330"/>
        <s v="ORD-2023212"/>
        <s v="ORD-2023312"/>
        <s v="ORD-2023222"/>
        <s v="ORD-2023180"/>
        <s v="ORD-2023190"/>
        <s v="ORD-2023316"/>
        <s v="ORD-2023209"/>
        <s v="ORD-2023149"/>
        <s v="ORD-2023238"/>
        <s v="ORD-2023263"/>
        <s v="ORD-2023183"/>
        <s v="ORD-2023276"/>
        <s v="ORD-2023324"/>
        <s v="ORD-2023253"/>
        <s v="ORD-2023339"/>
        <s v="ORD-2023234"/>
        <s v="ORD-2023247"/>
        <s v="ORD-2023317"/>
        <s v="ORD-2023205"/>
        <s v="ORD-2023244"/>
        <s v="ORD-2023327"/>
        <s v="ORD-2023343"/>
        <s v="ORD-2023243"/>
        <s v="ORD-2023311"/>
        <s v="ORD-2023201"/>
        <s v="ORD-2023256"/>
        <s v="ORD-2023328"/>
        <s v="ORD-2023353"/>
        <s v="ORD-2023314"/>
        <s v="ORD-2023335"/>
        <s v="ORD-2023271"/>
        <s v="ORD-2023303"/>
        <s v="ORD-2023273"/>
        <s v="ORD-2023333"/>
        <s v="ORD-2023278"/>
        <s v="ORD-2023352"/>
        <s v="ORD-2023350"/>
        <s v="ORD-2023367"/>
        <s v="ORD-2023295"/>
        <s v="ORD-2023365"/>
        <s v="ORD-2023337"/>
        <s v="ORD-2023269"/>
        <s v="ORD-2023203"/>
        <s v="ORD-2023304"/>
        <s v="ORD-2023208"/>
        <s v="ORD-2023366"/>
        <s v="ORD-2023371"/>
        <s v="ORD-2023285"/>
        <s v="ORD-2023283"/>
        <s v="ORD-2023294"/>
        <s v="ORD-2023300"/>
        <s v="ORD-2023315"/>
        <s v="ORD-2023348"/>
        <s v="ORD-2023386"/>
        <s v="ORD-2023281"/>
        <s v="ORD-2023331"/>
        <s v="ORD-2023211"/>
        <s v="ORD-2023235"/>
        <s v="ORD-2023344"/>
        <s v="ORD-2023376"/>
        <s v="ORD-2023280"/>
        <s v="ORD-2023397"/>
        <s v="ORD-2023288"/>
        <s v="ORD-2023399"/>
        <s v="ORD-2023358"/>
        <s v="ORD-2023369"/>
        <s v="ORD-2023310"/>
        <s v="ORD-2023374"/>
        <s v="ORD-2023299"/>
        <s v="ORD-2023387"/>
        <s v="ORD-2023296"/>
        <s v="ORD-2023406"/>
        <s v="ORD-2023351"/>
        <s v="ORD-2023261"/>
        <s v="ORD-2023400"/>
        <s v="ORD-2023255"/>
        <s v="ORD-2023378"/>
        <s v="ORD-2023403"/>
        <s v="ORD-2023362"/>
        <s v="ORD-2023313"/>
        <s v="ORD-2023416"/>
        <s v="ORD-2023307"/>
        <s v="ORD-2023332"/>
        <s v="ORD-2023394"/>
        <s v="ORD-2023305"/>
        <s v="ORD-2023228"/>
        <s v="ORD-2023321"/>
        <s v="ORD-2023411"/>
        <s v="ORD-2023322"/>
        <s v="ORD-2023334"/>
        <s v="ORD-2023237"/>
        <s v="ORD-2023423"/>
        <s v="ORD-2023408"/>
        <s v="ORD-2023231"/>
        <s v="ORD-2023388"/>
        <s v="ORD-2023345"/>
        <s v="ORD-2023414"/>
        <s v="ORD-2023425"/>
        <s v="ORD-2023379"/>
        <s v="ORD-2023381"/>
        <s v="ORD-2023373"/>
        <s v="ORD-2023346"/>
        <s v="ORD-2023428"/>
        <s v="ORD-2023342"/>
        <s v="ORD-2023433"/>
        <s v="ORD-2023437"/>
        <s v="ORD-2023361"/>
        <s v="ORD-2023359"/>
        <s v="ORD-2023368"/>
        <s v="ORD-2023262"/>
        <s v="ORD-2023377"/>
        <s v="ORD-2023443"/>
        <s v="ORD-2023392"/>
        <s v="ORD-2023396"/>
        <s v="ORD-2023450"/>
        <s v="ORD-2023354"/>
        <s v="ORD-2023441"/>
        <s v="ORD-2023401"/>
        <s v="ORD-2023419"/>
        <s v="ORD-2023355"/>
        <s v="ORD-2023417"/>
        <s v="ORD-2023405"/>
        <s v="ORD-2023349"/>
        <s v="ORD-2023270"/>
        <s v="ORD-2023415"/>
        <s v="ORD-2023448"/>
        <s v="ORD-2023421"/>
        <s v="ORD-2023432"/>
        <s v="ORD-2023319"/>
        <s v="ORD-2023380"/>
        <s v="ORD-2023412"/>
        <s v="ORD-2023455"/>
        <s v="ORD-2023460"/>
        <s v="ORD-2023347"/>
        <s v="ORD-2023472"/>
        <s v="ORD-2023454"/>
        <s v="ORD-2023341"/>
        <s v="ORD-2023430"/>
        <s v="ORD-2023422"/>
        <s v="ORD-2023340"/>
        <s v="ORD-2023463"/>
        <s v="ORD-2023457"/>
        <s v="ORD-2023431"/>
        <s v="ORD-2023471"/>
        <s v="ORD-2023402"/>
        <s v="ORD-2023284"/>
        <s v="ORD-2023360"/>
        <s v="ORD-2023436"/>
        <s v="ORD-2023291"/>
        <s v="ORD-2023409"/>
        <s v="ORD-2023398"/>
        <s v="ORD-2023485"/>
        <s v="ORD-2023442"/>
        <s v="ORD-2023395"/>
        <s v="ORD-2023389"/>
        <s v="ORD-2023451"/>
        <s v="ORD-2023390"/>
        <s v="ORD-2023407"/>
        <s v="ORD-2023490"/>
        <s v="ORD-2023363"/>
        <s v="ORD-2023404"/>
        <s v="ORD-2023424"/>
        <s v="ORD-2023464"/>
        <s v="ORD-2023429"/>
        <s v="ORD-2023489"/>
        <s v="ORD-2023502"/>
        <s v="ORD-2023474"/>
        <s v="ORD-2023329"/>
        <s v="ORD-2023338"/>
        <s v="ORD-2023473"/>
        <s v="ORD-2023484"/>
        <s v="ORD-2023459"/>
        <s v="ORD-2023447"/>
        <s v="ORD-2023487"/>
        <s v="ORD-2023370"/>
        <s v="ORD-2023512"/>
        <s v="ORD-2023483"/>
        <s v="ORD-2023504"/>
        <s v="ORD-2023500"/>
        <s v="ORD-2023499"/>
        <s v="ORD-2023470"/>
        <s v="ORD-2023509"/>
        <s v="ORD-2023458"/>
        <s v="ORD-2023410"/>
        <s v="ORD-2023434"/>
        <s v="ORD-2023356"/>
        <s v="ORD-2023501"/>
        <s v="ORD-2023465"/>
        <s v="ORD-2023488"/>
        <s v="ORD-2023336"/>
        <s v="ORD-2023507"/>
        <s v="ORD-2023517"/>
        <s v="ORD-2023438"/>
        <s v="ORD-2023466"/>
        <s v="ORD-2023382"/>
        <s v="ORD-2023383"/>
        <s v="ORD-2023529"/>
        <s v="ORD-2023513"/>
        <s v="ORD-2023486"/>
        <s v="ORD-2023482"/>
        <s v="ORD-2023537"/>
        <s v="ORD-2023477"/>
        <s v="ORD-2023492"/>
        <s v="ORD-2023475"/>
        <s v="ORD-2023539"/>
        <s v="ORD-2023494"/>
        <s v="ORD-2023372"/>
        <s v="ORD-2023478"/>
        <s v="ORD-2023498"/>
        <s v="ORD-2023364"/>
        <s v="ORD-2023456"/>
        <s v="ORD-2023535"/>
        <s v="ORD-2023427"/>
        <s v="ORD-2023541"/>
        <s v="ORD-2023479"/>
        <s v="ORD-2023375"/>
        <s v="ORD-2023515"/>
        <s v="ORD-2023524"/>
        <s v="ORD-2023503"/>
        <s v="ORD-2023426"/>
        <s v="ORD-2023469"/>
        <s v="ORD-2023533"/>
        <s v="ORD-2023476"/>
        <s v="ORD-2023453"/>
        <s v="ORD-2023393"/>
        <s v="ORD-2023518"/>
        <s v="ORD-2023496"/>
        <s v="ORD-2023538"/>
        <s v="ORD-2023461"/>
        <s v="ORD-2023519"/>
        <s v="ORD-2023554"/>
        <s v="ORD-2023467"/>
        <s v="ORD-2023540"/>
        <s v="ORD-2023548"/>
        <s v="ORD-2023511"/>
        <s v="ORD-2023532"/>
        <s v="ORD-2023561"/>
        <s v="ORD-2023566"/>
        <s v="ORD-2023572"/>
        <s v="ORD-2023579"/>
        <s v="ORD-2023560"/>
        <s v="ORD-2023449"/>
        <s v="ORD-2023446"/>
        <s v="ORD-2023556"/>
        <s v="ORD-2023578"/>
        <s v="ORD-2023570"/>
        <s v="ORD-2023588"/>
        <s v="ORD-2023580"/>
        <s v="ORD-2023552"/>
        <s v="ORD-2023550"/>
        <s v="ORD-2023505"/>
        <s v="ORD-2023549"/>
        <s v="ORD-2023452"/>
        <s v="ORD-2023574"/>
        <s v="ORD-2023510"/>
        <s v="ORD-2023558"/>
        <s v="ORD-2023571"/>
        <s v="ORD-2023495"/>
        <s v="ORD-2023568"/>
        <s v="ORD-2023536"/>
        <s v="ORD-2023525"/>
        <s v="ORD-2023569"/>
        <s v="ORD-2023531"/>
        <s v="ORD-2023577"/>
        <s v="ORD-2023564"/>
        <s v="ORD-2023581"/>
        <s v="ORD-2023545"/>
        <s v="ORD-2023557"/>
        <s v="ORD-2023435"/>
        <s v="ORD-2023562"/>
        <s v="ORD-2023555"/>
        <s v="ORD-2023596"/>
        <s v="ORD-2023601"/>
        <s v="ORD-2023521"/>
        <s v="ORD-2023439"/>
        <s v="ORD-2023420"/>
        <s v="ORD-2023523"/>
        <s v="ORD-2023445"/>
        <s v="ORD-2023607"/>
        <s v="ORD-2023534"/>
        <s v="ORD-2023623"/>
        <s v="ORD-2023590"/>
        <s v="ORD-2023621"/>
        <s v="ORD-2023493"/>
        <s v="ORD-2023611"/>
        <s v="ORD-2023481"/>
        <s v="ORD-2023497"/>
        <s v="ORD-2023587"/>
        <s v="ORD-2023614"/>
        <s v="ORD-2023625"/>
        <s v="ORD-2023583"/>
        <s v="ORD-2023547"/>
        <s v="ORD-2023520"/>
        <s v="ORD-2023506"/>
        <s v="ORD-2023605"/>
        <s v="ORD-2023630"/>
        <s v="ORD-2023633"/>
        <s v="ORD-2023606"/>
        <s v="ORD-2023544"/>
        <s v="ORD-2023616"/>
        <s v="ORD-2023526"/>
        <s v="ORD-2023592"/>
        <s v="ORD-2023620"/>
        <s v="ORD-2023514"/>
        <s v="ORD-2023480"/>
        <s v="ORD-2023603"/>
        <s v="ORD-2023615"/>
        <s v="ORD-2023468"/>
        <s v="ORD-2023628"/>
        <s v="ORD-2023635"/>
        <s v="ORD-2023575"/>
        <s v="ORD-2023516"/>
        <s v="ORD-2023617"/>
        <s v="ORD-2023586"/>
        <s v="ORD-2023641"/>
        <s v="ORD-2023654"/>
        <s v="ORD-2023491"/>
        <s v="ORD-2023626"/>
        <s v="ORD-2023542"/>
        <s v="ORD-2023594"/>
        <s v="ORD-2023546"/>
        <s v="ORD-2023584"/>
        <s v="ORD-2023598"/>
        <s v="ORD-2023543"/>
        <s v="ORD-2023660"/>
        <s v="ORD-2023667"/>
        <s v="ORD-2023593"/>
        <s v="ORD-2023622"/>
        <s v="ORD-2023662"/>
        <s v="ORD-2023582"/>
        <s v="ORD-2023631"/>
        <s v="ORD-2023643"/>
        <s v="ORD-2023527"/>
        <s v="ORD-2023528"/>
        <s v="ORD-2023565"/>
        <s v="ORD-2023646"/>
        <s v="ORD-2023664"/>
        <s v="ORD-2023657"/>
        <s v="ORD-2023563"/>
        <s v="ORD-2023659"/>
        <s v="ORD-2023591"/>
        <s v="ORD-2023650"/>
        <s v="ORD-2023559"/>
        <s v="ORD-2023508"/>
        <s v="ORD-2023637"/>
        <s v="ORD-2023627"/>
        <s v="ORD-2023668"/>
        <s v="ORD-2023658"/>
        <s v="ORD-2023676"/>
        <s v="ORD-2023686"/>
        <s v="ORD-2023567"/>
        <s v="ORD-2023696"/>
        <s v="ORD-2023678"/>
        <s v="ORD-2023610"/>
        <s v="ORD-2023629"/>
        <s v="ORD-2023638"/>
        <s v="ORD-2023665"/>
        <s v="ORD-2023692"/>
        <s v="ORD-2023698"/>
        <s v="ORD-2023634"/>
        <s v="ORD-2023613"/>
        <s v="ORD-2023701"/>
        <s v="ORD-2023612"/>
        <s v="ORD-2023651"/>
        <s v="ORD-2023708"/>
        <s v="ORD-2023711"/>
        <s v="ORD-2023573"/>
        <s v="ORD-2023675"/>
        <s v="ORD-2023684"/>
        <s v="ORD-2023522"/>
        <s v="ORD-2023530"/>
        <s v="ORD-2023671"/>
        <s v="ORD-2023661"/>
        <s v="ORD-2023716"/>
        <s v="ORD-2023679"/>
        <s v="ORD-2023691"/>
        <s v="ORD-2023717"/>
        <s v="ORD-2023648"/>
        <s v="ORD-2023702"/>
        <s v="ORD-2023723"/>
        <s v="ORD-2023618"/>
        <s v="ORD-2023551"/>
        <s v="ORD-2023727"/>
        <s v="ORD-2023666"/>
        <s v="ORD-2023602"/>
        <s v="ORD-2023714"/>
        <s v="ORD-2023608"/>
        <s v="ORD-2023632"/>
        <s v="ORD-2023690"/>
        <s v="ORD-2023725"/>
        <s v="ORD-2023722"/>
        <s v="ORD-2023652"/>
        <s v="ORD-2023672"/>
        <s v="ORD-2023729"/>
        <s v="ORD-2023576"/>
        <s v="ORD-2023731"/>
        <s v="ORD-2023609"/>
        <s v="ORD-2023685"/>
        <s v="ORD-2023647"/>
        <s v="ORD-2023720"/>
        <s v="ORD-2023746"/>
        <s v="ORD-2023704"/>
        <s v="ORD-2023718"/>
        <s v="ORD-2023585"/>
        <s v="ORD-2023687"/>
        <s v="ORD-2023683"/>
        <s v="ORD-2023724"/>
        <s v="ORD-2023597"/>
        <s v="ORD-2023751"/>
        <s v="ORD-2023742"/>
        <s v="ORD-2023655"/>
        <s v="ORD-2023649"/>
        <s v="ORD-2023752"/>
        <s v="ORD-2023744"/>
        <s v="ORD-2023619"/>
        <s v="ORD-2023756"/>
        <s v="ORD-2023663"/>
        <s v="ORD-2023748"/>
        <s v="ORD-2023604"/>
        <s v="ORD-2023705"/>
        <s v="ORD-2023682"/>
        <s v="ORD-2023695"/>
        <s v="ORD-2023754"/>
        <s v="ORD-2023747"/>
        <s v="ORD-2023599"/>
        <s v="ORD-2023743"/>
        <s v="ORD-2023709"/>
        <s v="ORD-2023677"/>
        <s v="ORD-2023674"/>
        <s v="ORD-2023669"/>
        <s v="ORD-2023589"/>
        <s v="ORD-2023694"/>
        <s v="ORD-2023642"/>
        <s v="ORD-2023739"/>
        <s v="ORD-2023781"/>
        <s v="ORD-2023639"/>
        <s v="ORD-2023735"/>
        <s v="ORD-2023734"/>
        <s v="ORD-2023688"/>
        <s v="ORD-2023653"/>
        <s v="ORD-2023786"/>
        <s v="ORD-2023728"/>
        <s v="ORD-2023767"/>
        <s v="ORD-2023794"/>
        <s v="ORD-2023762"/>
        <s v="ORD-2023771"/>
        <s v="ORD-2023778"/>
        <s v="ORD-2023707"/>
        <s v="ORD-2023755"/>
        <s v="ORD-2023640"/>
        <s v="ORD-2023740"/>
        <s v="ORD-2023759"/>
        <s v="ORD-2023773"/>
        <s v="ORD-2023712"/>
        <s v="ORD-2023782"/>
        <s v="ORD-2023726"/>
        <s v="ORD-2023713"/>
        <s v="ORD-2023780"/>
        <s v="ORD-2023758"/>
        <s v="ORD-2023733"/>
        <s v="ORD-2023697"/>
        <s v="ORD-2023761"/>
        <s v="ORD-2023710"/>
        <s v="ORD-2023689"/>
        <s v="ORD-2023737"/>
        <s v="ORD-2023770"/>
        <s v="ORD-2023812"/>
        <s v="ORD-2023719"/>
        <s v="ORD-2023699"/>
        <s v="ORD-2023811"/>
        <s v="ORD-2023766"/>
        <s v="ORD-2023765"/>
        <s v="ORD-2023795"/>
        <s v="ORD-2023792"/>
        <s v="ORD-2023822"/>
        <s v="ORD-2023809"/>
        <s v="ORD-2023741"/>
        <s v="ORD-2023681"/>
        <s v="ORD-2023721"/>
        <s v="ORD-2023784"/>
        <s v="ORD-2023670"/>
        <s v="ORD-2023700"/>
        <s v="ORD-2023825"/>
        <s v="ORD-2023806"/>
        <s v="ORD-2023738"/>
        <s v="ORD-2023789"/>
        <s v="ORD-2023810"/>
        <s v="ORD-2023807"/>
        <s v="ORD-2023816"/>
        <s v="ORD-2023774"/>
        <s v="ORD-2023819"/>
        <s v="ORD-2023693"/>
        <s v="ORD-2023736"/>
        <s v="ORD-2023836"/>
        <s v="ORD-2023833"/>
        <s v="ORD-2023841"/>
        <s v="ORD-2023808"/>
        <s v="ORD-2023656"/>
        <s v="ORD-2023760"/>
        <s v="ORD-2023779"/>
        <s v="ORD-2023757"/>
        <s v="ORD-2023763"/>
        <s v="ORD-2023832"/>
        <s v="ORD-2023845"/>
        <s v="ORD-2023821"/>
        <s v="ORD-2023847"/>
        <s v="ORD-2023732"/>
        <s v="ORD-2023803"/>
        <s v="ORD-2023769"/>
        <s v="ORD-2023854"/>
        <s v="ORD-2023775"/>
        <s v="ORD-2023749"/>
        <s v="ORD-2023827"/>
        <s v="ORD-2023834"/>
        <s v="ORD-2023776"/>
        <s v="ORD-2023863"/>
        <s v="ORD-2023730"/>
        <s v="ORD-2023855"/>
        <s v="ORD-2023840"/>
        <s v="ORD-2023788"/>
        <s v="ORD-2023831"/>
        <s v="ORD-2023783"/>
        <s v="ORD-2023804"/>
        <s v="ORD-2023826"/>
        <s v="ORD-2023859"/>
        <s v="ORD-2023790"/>
        <s v="ORD-2023857"/>
        <s v="ORD-2023824"/>
        <s v="ORD-2023791"/>
        <s v="ORD-2023851"/>
        <s v="ORD-2023882"/>
        <s v="ORD-2023872"/>
        <s v="ORD-2023764"/>
        <s v="ORD-2023813"/>
        <s v="ORD-2023856"/>
        <s v="ORD-2023842"/>
        <s v="ORD-2023860"/>
        <s v="ORD-2023884"/>
        <s v="ORD-2023844"/>
        <s v="ORD-2023886"/>
        <s v="ORD-2023820"/>
        <s v="ORD-2023838"/>
        <s v="ORD-2023866"/>
        <s v="ORD-2023895"/>
        <s v="ORD-2023772"/>
        <s v="ORD-2023875"/>
        <s v="ORD-2023891"/>
        <s v="ORD-2023901"/>
        <s v="ORD-2023873"/>
        <s v="ORD-2023745"/>
        <s v="ORD-2023829"/>
        <s v="ORD-2023846"/>
        <s v="ORD-2023876"/>
        <s v="ORD-2023867"/>
        <s v="ORD-2023750"/>
        <s v="ORD-2023768"/>
        <s v="ORD-2023888"/>
        <s v="ORD-2023814"/>
        <s v="ORD-2023911"/>
        <s v="ORD-2023879"/>
        <s v="ORD-2023843"/>
        <s v="ORD-2023899"/>
        <s v="ORD-2023787"/>
        <s v="ORD-2023871"/>
        <s v="ORD-2023785"/>
        <s v="ORD-2023910"/>
        <s v="ORD-2023907"/>
        <s v="ORD-2023839"/>
        <s v="ORD-2023853"/>
        <s v="ORD-2023861"/>
        <s v="ORD-2023913"/>
        <s v="ORD-2023835"/>
        <s v="ORD-2023870"/>
        <s v="ORD-2023817"/>
        <s v="ORD-2023900"/>
        <s v="ORD-2023815"/>
        <s v="ORD-2023890"/>
        <s v="ORD-2023904"/>
        <s v="ORD-2023893"/>
        <s v="ORD-2023906"/>
        <s v="ORD-2023865"/>
        <s v="ORD-2023920"/>
        <s v="ORD-2023894"/>
        <s v="ORD-2023868"/>
        <s v="ORD-2023917"/>
        <s v="ORD-2023912"/>
        <s v="ORD-2023925"/>
        <s v="ORD-2023942"/>
        <s v="ORD-2023801"/>
        <s v="ORD-2023777"/>
        <s v="ORD-2023828"/>
        <s v="ORD-2023934"/>
        <s v="ORD-2023929"/>
        <s v="ORD-2023923"/>
        <s v="ORD-2023802"/>
        <s v="ORD-2023823"/>
        <s v="ORD-2023874"/>
        <s v="ORD-2023944"/>
        <s v="ORD-2023889"/>
        <s v="ORD-2023931"/>
        <s v="ORD-2023797"/>
        <s v="ORD-2023909"/>
        <s v="ORD-2023862"/>
        <s v="ORD-2023798"/>
        <s v="ORD-2023915"/>
        <s v="ORD-2023957"/>
        <s v="ORD-2023955"/>
        <s v="ORD-2023878"/>
        <s v="ORD-2023945"/>
        <s v="ORD-2023943"/>
        <s v="ORD-2023965"/>
        <s v="ORD-2023918"/>
        <s v="ORD-2023956"/>
        <s v="ORD-2023880"/>
        <s v="ORD-2023848"/>
        <s v="ORD-2023916"/>
        <s v="ORD-2023937"/>
        <s v="ORD-2023969"/>
        <s v="ORD-2023940"/>
        <s v="ORD-2023850"/>
        <s v="ORD-2023949"/>
        <s v="ORD-2023922"/>
        <s v="ORD-2023898"/>
        <s v="ORD-2023979"/>
        <s v="ORD-2023818"/>
        <s v="ORD-2023935"/>
        <s v="ORD-2023976"/>
        <s v="ORD-2023896"/>
        <s v="ORD-2023954"/>
        <s v="ORD-2023972"/>
        <s v="ORD-2023939"/>
        <s v="ORD-2023974"/>
        <s v="ORD-2023793"/>
        <s v="ORD-2023932"/>
        <s v="ORD-2023989"/>
        <s v="ORD-2023849"/>
        <s v="ORD-2023968"/>
        <s v="ORD-2023905"/>
        <s v="ORD-2023908"/>
        <s v="ORD-2023938"/>
        <s v="ORD-2023903"/>
        <s v="ORD-2023919"/>
        <s v="ORD-2023971"/>
        <s v="ORD-2023951"/>
        <s v="ORD-2023991"/>
        <s v="ORD-2023930"/>
        <s v="ORD-2023978"/>
        <s v="ORD-2023986"/>
        <s v="ORD-2024000"/>
        <s v="ORD-2023864"/>
        <s v="ORD-2023997"/>
        <s v="ORD-2023926"/>
        <s v="ORD-2023999"/>
        <s v="ORD-2024003"/>
        <s v="ORD-2023983"/>
        <s v="ORD-2024010"/>
        <s v="ORD-2023928"/>
        <s v="ORD-2024005"/>
        <s v="ORD-2023998"/>
        <s v="ORD-2024015"/>
        <s v="ORD-2023887"/>
        <s v="ORD-2023963"/>
        <s v="ORD-2024011"/>
        <s v="ORD-2023948"/>
        <s v="ORD-2023964"/>
        <s v="ORD-2023914"/>
        <s v="ORD-2023837"/>
        <s v="ORD-2023953"/>
        <s v="ORD-2024018"/>
        <s v="ORD-2023970"/>
        <s v="ORD-2023958"/>
        <s v="ORD-2023990"/>
        <s v="ORD-2024002"/>
        <s v="ORD-2023869"/>
        <s v="ORD-2023960"/>
        <s v="ORD-2023881"/>
        <s v="ORD-2024035"/>
        <s v="ORD-2024029"/>
        <s v="ORD-2023959"/>
        <s v="ORD-2024036"/>
        <s v="ORD-2023977"/>
        <s v="ORD-2023962"/>
        <s v="ORD-2023885"/>
        <s v="ORD-2024008"/>
        <s v="ORD-2024025"/>
        <s v="ORD-2024016"/>
        <s v="ORD-2024022"/>
        <s v="ORD-2023992"/>
        <s v="ORD-2024043"/>
        <s v="ORD-2023897"/>
        <s v="ORD-2024040"/>
        <s v="ORD-2023981"/>
        <s v="ORD-2023933"/>
        <s v="ORD-2024047"/>
        <s v="ORD-2023921"/>
        <s v="ORD-2023858"/>
        <s v="ORD-2023967"/>
        <s v="ORD-2024045"/>
        <s v="ORD-2024049"/>
        <s v="ORD-2023947"/>
        <s v="ORD-2023966"/>
        <s v="ORD-2023975"/>
        <s v="ORD-2024048"/>
        <s v="ORD-2023961"/>
        <s v="ORD-2024027"/>
        <s v="ORD-2024012"/>
        <s v="ORD-2023902"/>
        <s v="ORD-2023985"/>
        <s v="ORD-2024028"/>
        <s v="ORD-2023994"/>
        <s v="ORD-2024014"/>
        <s v="ORD-2024034"/>
        <s v="ORD-2024065"/>
        <s v="ORD-2023996"/>
        <s v="ORD-2023984"/>
        <s v="ORD-2023980"/>
        <s v="ORD-2024006"/>
        <s v="ORD-2023936"/>
        <s v="ORD-2023987"/>
        <s v="ORD-2024053"/>
        <s v="ORD-2024060"/>
        <s v="ORD-2024072"/>
        <s v="ORD-2024007"/>
        <s v="ORD-2024061"/>
        <s v="ORD-2024021"/>
        <s v="ORD-2023993"/>
        <s v="ORD-2024050"/>
        <s v="ORD-2023982"/>
        <s v="ORD-2024078"/>
        <s v="ORD-2024020"/>
        <s v="ORD-2023924"/>
        <s v="ORD-2024070"/>
        <s v="ORD-2024004"/>
        <s v="ORD-2024017"/>
        <s v="ORD-2024064"/>
        <s v="ORD-2024055"/>
        <s v="ORD-2023950"/>
        <s v="ORD-2023952"/>
        <s v="ORD-2024075"/>
        <s v="ORD-2024071"/>
        <s v="ORD-2024098"/>
        <s v="ORD-2024042"/>
        <s v="ORD-2024039"/>
        <s v="ORD-2024037"/>
        <s v="ORD-2024068"/>
        <s v="ORD-2024073"/>
        <s v="ORD-2024094"/>
        <s v="ORD-2024096"/>
        <s v="ORD-2024089"/>
        <s v="ORD-2024076"/>
        <s v="ORD-2023927"/>
        <s v="ORD-2023995"/>
        <s v="ORD-2024057"/>
        <s v="ORD-2024113"/>
        <s v="ORD-2024051"/>
        <s v="ORD-2024102"/>
        <s v="ORD-2024083"/>
        <s v="ORD-2024099"/>
        <s v="ORD-2024056"/>
        <s v="ORD-2024120"/>
        <s v="ORD-2024111"/>
        <s v="ORD-2024084"/>
        <s v="ORD-2024069"/>
        <s v="ORD-2024030"/>
        <s v="ORD-2024033"/>
        <s v="ORD-2024009"/>
        <s v="ORD-2024032"/>
        <s v="ORD-2023988"/>
        <s v="ORD-2024041"/>
        <s v="ORD-2024019"/>
        <s v="ORD-2024131"/>
        <s v="ORD-2024052"/>
        <s v="ORD-2024133"/>
        <s v="ORD-2024127"/>
        <s v="ORD-2024109"/>
        <s v="ORD-2024081"/>
        <s v="ORD-2024001"/>
        <s v="ORD-2024095"/>
        <s v="ORD-2024141"/>
        <s v="ORD-2024074"/>
        <s v="ORD-2024122"/>
        <s v="ORD-2024103"/>
        <s v="ORD-2024077"/>
        <s v="ORD-2024044"/>
        <s v="ORD-2024058"/>
        <s v="ORD-2024108"/>
        <s v="ORD-2024013"/>
        <s v="ORD-2024062"/>
        <s v="ORD-2024115"/>
        <s v="ORD-2024137"/>
        <s v="ORD-2024134"/>
        <s v="ORD-2023973"/>
        <s v="ORD-2024079"/>
        <s v="ORD-2024107"/>
        <s v="ORD-2024092"/>
        <s v="ORD-2024091"/>
        <s v="ORD-2024160"/>
        <s v="ORD-2024161"/>
        <s v="ORD-2024129"/>
        <s v="ORD-2024159"/>
        <s v="ORD-2024023"/>
        <s v="ORD-2024157"/>
        <s v="ORD-2024101"/>
        <s v="ORD-2024126"/>
        <s v="ORD-2024088"/>
        <s v="ORD-2024128"/>
        <s v="ORD-2024046"/>
        <s v="ORD-2024144"/>
        <s v="ORD-2024097"/>
        <s v="ORD-2024063"/>
        <s v="ORD-2024082"/>
        <s v="ORD-2024130"/>
        <s v="ORD-2024150"/>
        <s v="ORD-2024106"/>
        <s v="ORD-2024125"/>
        <s v="ORD-2024087"/>
        <s v="ORD-2024104"/>
        <s v="ORD-2024146"/>
        <s v="ORD-2024110"/>
        <s v="ORD-2024177"/>
        <s v="ORD-2024080"/>
        <s v="ORD-2024148"/>
        <s v="ORD-2024184"/>
        <s v="ORD-2024154"/>
        <s v="ORD-2024171"/>
        <s v="ORD-2024093"/>
        <s v="ORD-2024188"/>
        <s v="ORD-2024176"/>
        <s v="ORD-2024181"/>
        <s v="ORD-2024172"/>
        <s v="ORD-2024195"/>
        <s v="ORD-2024164"/>
        <s v="ORD-2024180"/>
      </sharedItems>
    </cacheField>
    <cacheField name="Customer_Name" numFmtId="0">
      <sharedItems/>
    </cacheField>
    <cacheField name="Customer_Segment" numFmtId="0">
      <sharedItems count="4">
        <s v="Retail"/>
        <s v="Wholesale"/>
        <s v="VIP"/>
        <s v="Corporate"/>
      </sharedItems>
    </cacheField>
    <cacheField name="Product_Name" numFmtId="0">
      <sharedItems/>
    </cacheField>
    <cacheField name="Brand" numFmtId="0">
      <sharedItems count="43">
        <s v="Hp"/>
        <s v="Sony"/>
        <s v="Samsung"/>
        <s v="Nikon"/>
        <s v="Lenovo"/>
        <s v="Bajaj"/>
        <s v="Fastrack"/>
        <s v="Canon"/>
        <s v="Boat"/>
        <s v="Classmate"/>
        <s v="Levi'S"/>
        <s v="Nilkamal"/>
        <s v="Lavie"/>
        <s v="Apple"/>
        <s v="Godrej"/>
        <s v="Kurl-On"/>
        <s v="Centuary"/>
        <s v="Tata"/>
        <s v="Adidas"/>
        <s v="Voltas"/>
        <s v="Pepperfry"/>
        <s v="Nike"/>
        <s v="Milton"/>
        <s v="Dell"/>
        <s v="Durian"/>
        <s v="Realme"/>
        <s v="Titan"/>
        <s v="Jbl"/>
        <s v="Wildcraft"/>
        <s v="Prestige"/>
        <s v="Daikin"/>
        <s v="Puma"/>
        <s v="Oneplus"/>
        <s v="Lg"/>
        <s v="Camlin"/>
        <s v="Whirlpool"/>
        <s v="Parker"/>
        <s v="Peter England"/>
        <s v="Amul"/>
        <s v="Epson"/>
        <s v="Nestlé"/>
        <s v="Logitech"/>
        <s v="Van Heusen"/>
      </sharedItems>
    </cacheField>
    <cacheField name="Category" numFmtId="0">
      <sharedItems count="6">
        <s v="Electronics"/>
        <s v="Appliances"/>
        <s v="Fashion"/>
        <s v="Stationery"/>
        <s v="Furniture"/>
        <s v="Grocery"/>
      </sharedItems>
    </cacheField>
    <cacheField name="Sub_Category" numFmtId="0">
      <sharedItems/>
    </cacheField>
    <cacheField name="Unit_Price" numFmtId="0">
      <sharedItems containsSemiMixedTypes="0" containsString="0" containsNumber="1" minValue="110" maxValue="133000"/>
    </cacheField>
    <cacheField name="Quantity" numFmtId="0">
      <sharedItems containsSemiMixedTypes="0" containsString="0" containsNumber="1" containsInteger="1" minValue="1" maxValue="20"/>
    </cacheField>
    <cacheField name="Sales" numFmtId="0">
      <sharedItems containsSemiMixedTypes="0" containsString="0" containsNumber="1" minValue="110" maxValue="2644800"/>
    </cacheField>
    <cacheField name="Discount_Pct" numFmtId="0">
      <sharedItems containsSemiMixedTypes="0" containsString="0" containsNumber="1" containsInteger="1" minValue="0" maxValue="25"/>
    </cacheField>
    <cacheField name="Discount_Amt" numFmtId="0">
      <sharedItems containsSemiMixedTypes="0" containsString="0" containsNumber="1" minValue="0" maxValue="184050" count="676">
        <n v="4084.5"/>
        <n v="17595"/>
        <n v="0"/>
        <n v="19648"/>
        <n v="56421"/>
        <n v="22100"/>
        <n v="486"/>
        <n v="8134.5"/>
        <n v="24"/>
        <n v="1788"/>
        <n v="1152"/>
        <n v="30262.5"/>
        <n v="1902"/>
        <n v="429"/>
        <n v="2617.5"/>
        <n v="1853"/>
        <n v="5171"/>
        <n v="4293"/>
        <n v="2107.5"/>
        <n v="18342"/>
        <n v="3768"/>
        <n v="1177"/>
        <n v="4286"/>
        <n v="513"/>
        <n v="372.5"/>
        <n v="39768"/>
        <n v="5983"/>
        <n v="2752"/>
        <n v="5622"/>
        <n v="3616"/>
        <n v="7728"/>
        <n v="33220"/>
        <n v="990"/>
        <n v="1842"/>
        <n v="69382.5"/>
        <n v="283.5"/>
        <n v="2181"/>
        <n v="736"/>
        <n v="19488"/>
        <n v="3517.5"/>
        <n v="8516"/>
        <n v="32475"/>
        <n v="4660"/>
        <n v="12747"/>
        <n v="320"/>
        <n v="62"/>
        <n v="408"/>
        <n v="18376"/>
        <n v="7579"/>
        <n v="110"/>
        <n v="17668"/>
        <n v="1155"/>
        <n v="18144"/>
        <n v="12024"/>
        <n v="78"/>
        <n v="934.5"/>
        <n v="3852"/>
        <n v="35240"/>
        <n v="35068"/>
        <n v="19296"/>
        <n v="1280"/>
        <n v="3150"/>
        <n v="68805"/>
        <n v="1346"/>
        <n v="37428"/>
        <n v="180"/>
        <n v="3205"/>
        <n v="10476"/>
        <n v="9222"/>
        <n v="8814"/>
        <n v="3113"/>
        <n v="224"/>
        <n v="29116"/>
        <n v="624.5"/>
        <n v="9819"/>
        <n v="21904"/>
        <n v="20610"/>
        <n v="3025.5"/>
        <n v="29140"/>
        <n v="87"/>
        <n v="11166"/>
        <n v="3090"/>
        <n v="16350"/>
        <n v="14230"/>
        <n v="11440"/>
        <n v="4268"/>
        <n v="21658"/>
        <n v="250"/>
        <n v="5300"/>
        <n v="3020"/>
        <n v="13330"/>
        <n v="1107"/>
        <n v="30"/>
        <n v="1590"/>
        <n v="40239.5"/>
        <n v="4824"/>
        <n v="1446"/>
        <n v="19280"/>
        <n v="385"/>
        <n v="66847.5"/>
        <n v="20548.5"/>
        <n v="6344"/>
        <n v="354"/>
        <n v="8482.5"/>
        <n v="15"/>
        <n v="2350.5"/>
        <n v="283"/>
        <n v="1336"/>
        <n v="7696.5"/>
        <n v="9366"/>
        <n v="312"/>
        <n v="2114"/>
        <n v="1104"/>
        <n v="3630"/>
        <n v="21156"/>
        <n v="86610"/>
        <n v="9660"/>
        <n v="18513"/>
        <n v="2124"/>
        <n v="1815"/>
        <n v="196"/>
        <n v="3371"/>
        <n v="5706"/>
        <n v="36144"/>
        <n v="624"/>
        <n v="117"/>
        <n v="2704"/>
        <n v="93"/>
        <n v="65335"/>
        <n v="3468"/>
        <n v="6144"/>
        <n v="3820"/>
        <n v="124194"/>
        <n v="1366.5"/>
        <n v="648.5"/>
        <n v="1809"/>
        <n v="741"/>
        <n v="386"/>
        <n v="3970"/>
        <n v="1527"/>
        <n v="4490"/>
        <n v="19340"/>
        <n v="115.5"/>
        <n v="9164"/>
        <n v="28"/>
        <n v="184050"/>
        <n v="22"/>
        <n v="968"/>
        <n v="9170"/>
        <n v="60"/>
        <n v="6490.5"/>
        <n v="5712"/>
        <n v="12768"/>
        <n v="10876"/>
        <n v="8916"/>
        <n v="474"/>
        <n v="30425"/>
        <n v="19"/>
        <n v="32476.5"/>
        <n v="2180"/>
        <n v="3360"/>
        <n v="83"/>
        <n v="11385"/>
        <n v="3957.5"/>
        <n v="4146"/>
        <n v="13137"/>
        <n v="6432"/>
        <n v="300"/>
        <n v="16865"/>
        <n v="4882.5"/>
        <n v="2452"/>
        <n v="429.5"/>
        <n v="723"/>
        <n v="2685"/>
        <n v="169"/>
        <n v="16014"/>
        <n v="6216"/>
        <n v="9560"/>
        <n v="13518"/>
        <n v="672"/>
        <n v="470"/>
        <n v="141"/>
        <n v="1080"/>
        <n v="42576"/>
        <n v="510"/>
        <n v="6872"/>
        <n v="30.5"/>
        <n v="248"/>
        <n v="715.5"/>
        <n v="138"/>
        <n v="25686.5"/>
        <n v="8775"/>
        <n v="1687"/>
        <n v="7470"/>
        <n v="915"/>
        <n v="14505"/>
        <n v="514.5"/>
        <n v="156"/>
        <n v="925"/>
        <n v="3730.5"/>
        <n v="5256"/>
        <n v="15928"/>
        <n v="9712"/>
        <n v="948"/>
        <n v="35490"/>
        <n v="27"/>
        <n v="6126"/>
        <n v="6001.5"/>
        <n v="1797.5"/>
        <n v="1227.5"/>
        <n v="9060"/>
        <n v="1188"/>
        <n v="6982.5"/>
        <n v="3792"/>
        <n v="80130"/>
        <n v="2934"/>
        <n v="6084"/>
        <n v="20058"/>
        <n v="7308"/>
        <n v="8.5"/>
        <n v="252"/>
        <n v="160"/>
        <n v="522"/>
        <n v="5010.5"/>
        <n v="54"/>
        <n v="1652"/>
        <n v="1421"/>
        <n v="11556"/>
        <n v="152"/>
        <n v="584"/>
        <n v="8490"/>
        <n v="538.5"/>
        <n v="3788"/>
        <n v="5247"/>
        <n v="1224"/>
        <n v="30360"/>
        <n v="9420"/>
        <n v="11010"/>
        <n v="4514"/>
        <n v="54075"/>
        <n v="1043"/>
        <n v="15845"/>
        <n v="34237.5"/>
        <n v="235.5"/>
        <n v="1111"/>
        <n v="771"/>
        <n v="1101"/>
        <n v="22186"/>
        <n v="3092.5"/>
        <n v="35520"/>
        <n v="302"/>
        <n v="16.5"/>
        <n v="70568"/>
        <n v="10200"/>
        <n v="1886"/>
        <n v="4015"/>
        <n v="23139"/>
        <n v="5326"/>
        <n v="122040"/>
        <n v="5628"/>
        <n v="105"/>
        <n v="2412"/>
        <n v="4365"/>
        <n v="23224"/>
        <n v="38"/>
        <n v="4940"/>
        <n v="813"/>
        <n v="36"/>
        <n v="11566"/>
        <n v="2052"/>
        <n v="9866"/>
        <n v="281"/>
        <n v="4137"/>
        <n v="51165"/>
        <n v="1000"/>
        <n v="11529"/>
        <n v="8998.5"/>
        <n v="1029"/>
        <n v="3167"/>
        <n v="32"/>
        <n v="28.5"/>
        <n v="17580"/>
        <n v="217.5"/>
        <n v="1350.5"/>
        <n v="24475"/>
        <n v="8785"/>
        <n v="14396"/>
        <n v="450"/>
        <n v="12200"/>
        <n v="8778"/>
        <n v="9978"/>
        <n v="117.5"/>
        <n v="147"/>
        <n v="20114"/>
        <n v="270"/>
        <n v="25298"/>
        <n v="5640"/>
        <n v="164"/>
        <n v="41984"/>
        <n v="144"/>
        <n v="468"/>
        <n v="4012.5"/>
        <n v="14.5"/>
        <n v="8736"/>
        <n v="2926"/>
        <n v="258"/>
        <n v="2460"/>
        <n v="10330"/>
        <n v="21020"/>
        <n v="1196"/>
        <n v="84"/>
        <n v="8881.5"/>
        <n v="3105"/>
        <n v="269"/>
        <n v="12084"/>
        <n v="5760"/>
        <n v="1125"/>
        <n v="10449"/>
        <n v="2028"/>
        <n v="19427.5"/>
        <n v="272"/>
        <n v="4284"/>
        <n v="12754.5"/>
        <n v="2508"/>
        <n v="9634"/>
        <n v="7110"/>
        <n v="29082"/>
        <n v="2119.5"/>
        <n v="38682"/>
        <n v="5085"/>
        <n v="14262"/>
        <n v="6417"/>
        <n v="20928"/>
        <n v="4180.5"/>
        <n v="219"/>
        <n v="75132"/>
        <n v="552"/>
        <n v="4840"/>
        <n v="21928.5"/>
        <n v="74832"/>
        <n v="60536"/>
        <n v="6669"/>
        <n v="1343.5"/>
        <n v="17002"/>
        <n v="8904"/>
        <n v="4576"/>
        <n v="1906"/>
        <n v="4720"/>
        <n v="11085"/>
        <n v="6276"/>
        <n v="1798"/>
        <n v="8580"/>
        <n v="1035"/>
        <n v="2088"/>
        <n v="364.5"/>
        <n v="143"/>
        <n v="30345"/>
        <n v="7509"/>
        <n v="1413"/>
        <n v="5942.5"/>
        <n v="2982"/>
        <n v="590"/>
        <n v="107"/>
        <n v="23854"/>
        <n v="21834"/>
        <n v="56679"/>
        <n v="58490"/>
        <n v="18982.5"/>
        <n v="23499"/>
        <n v="1489.5"/>
        <n v="10672"/>
        <n v="540"/>
        <n v="285"/>
        <n v="964"/>
        <n v="1420.5"/>
        <n v="7750"/>
        <n v="15400"/>
        <n v="22685"/>
        <n v="1445"/>
        <n v="6003"/>
        <n v="2850"/>
        <n v="2092.5"/>
        <n v="525"/>
        <n v="5311.5"/>
        <n v="12669"/>
        <n v="288"/>
        <n v="27585"/>
        <n v="38106"/>
        <n v="4804.5"/>
        <n v="6.5"/>
        <n v="72"/>
        <n v="20252"/>
        <n v="33436"/>
        <n v="105940"/>
        <n v="18"/>
        <n v="678"/>
        <n v="370"/>
        <n v="2101.5"/>
        <n v="5877"/>
        <n v="1850"/>
        <n v="12674"/>
        <n v="479"/>
        <n v="15602"/>
        <n v="621"/>
        <n v="23244"/>
        <n v="12908"/>
        <n v="787.5"/>
        <n v="125955"/>
        <n v="21900"/>
        <n v="205"/>
        <n v="2744"/>
        <n v="1824"/>
        <n v="260"/>
        <n v="1738.5"/>
        <n v="854"/>
        <n v="2774.5"/>
        <n v="910"/>
        <n v="7535"/>
        <n v="907"/>
        <n v="1742"/>
        <n v="664.5"/>
        <n v="10670"/>
        <n v="858"/>
        <n v="5136"/>
        <n v="2993"/>
        <n v="983.5"/>
        <n v="193"/>
        <n v="46200"/>
        <n v="67365"/>
        <n v="481.5"/>
        <n v="940"/>
        <n v="16695"/>
        <n v="7332"/>
        <n v="39248"/>
        <n v="834"/>
        <n v="3255"/>
        <n v="4077"/>
        <n v="1132.5"/>
        <n v="40135.5"/>
        <n v="27870"/>
        <n v="482"/>
        <n v="3363.5"/>
        <n v="47.5"/>
        <n v="19422"/>
        <n v="7868"/>
        <n v="4292.5"/>
        <n v="420.5"/>
        <n v="5983.5"/>
        <n v="4707"/>
        <n v="1722"/>
        <n v="1085"/>
        <n v="17828"/>
        <n v="1044"/>
        <n v="56"/>
        <n v="10617.5"/>
        <n v="1519"/>
        <n v="19950"/>
        <n v="70206"/>
        <n v="2968"/>
        <n v="3511.5"/>
        <n v="324"/>
        <n v="2901"/>
        <n v="309"/>
        <n v="4645"/>
        <n v="17"/>
        <n v="7075"/>
        <n v="1428"/>
        <n v="16866"/>
        <n v="20400"/>
        <n v="12060"/>
        <n v="4688"/>
        <n v="2302.5"/>
        <n v="646.5"/>
        <n v="1740"/>
        <n v="21945"/>
        <n v="57516"/>
        <n v="5626"/>
        <n v="18215"/>
        <n v="2357.5"/>
        <n v="55750"/>
        <n v="1020"/>
        <n v="2698"/>
        <n v="6885"/>
        <n v="1916"/>
        <n v="2535"/>
        <n v="6632"/>
        <n v="30402"/>
        <n v="3467.5"/>
        <n v="3397"/>
        <n v="706"/>
        <n v="411"/>
        <n v="6096"/>
        <n v="12152.5"/>
        <n v="25620"/>
        <n v="130"/>
        <n v="96"/>
        <n v="44920"/>
        <n v="3920"/>
        <n v="12978"/>
        <n v="16356"/>
        <n v="1926"/>
        <n v="20722.5"/>
        <n v="27020"/>
        <n v="15360"/>
        <n v="507.5"/>
        <n v="2125"/>
        <n v="34618.5"/>
        <n v="12867.5"/>
        <n v="16074"/>
        <n v="14712.5"/>
        <n v="1290"/>
        <n v="13356"/>
        <n v="71295"/>
        <n v="11907"/>
        <n v="5595"/>
        <n v="6921"/>
        <n v="886"/>
        <n v="3147"/>
        <n v="2218"/>
        <n v="4144"/>
        <n v="5782"/>
        <n v="8271"/>
        <n v="1548"/>
        <n v="21005"/>
        <n v="11998"/>
        <n v="130.5"/>
        <n v="1153"/>
        <n v="11662.5"/>
        <n v="382"/>
        <n v="8120"/>
        <n v="10000"/>
        <n v="4341"/>
        <n v="10087"/>
        <n v="3271"/>
        <n v="39438"/>
        <n v="378"/>
        <n v="9211.5"/>
        <n v="4747.5"/>
        <n v="1168"/>
        <n v="5254.5"/>
        <n v="820"/>
        <n v="5852"/>
        <n v="867"/>
        <n v="8454"/>
        <n v="1122"/>
        <n v="914"/>
        <n v="42.5"/>
        <n v="422"/>
        <n v="30093"/>
        <n v="4692"/>
        <n v="550"/>
        <n v="1450.5"/>
        <n v="11887.5"/>
        <n v="28455"/>
        <n v="247"/>
        <n v="13"/>
        <n v="126"/>
        <n v="438"/>
        <n v="636"/>
        <n v="18228"/>
        <n v="6983"/>
        <n v="53838"/>
        <n v="124640"/>
        <n v="13479"/>
        <n v="2490"/>
        <n v="8880"/>
        <n v="12484.5"/>
        <n v="5142"/>
        <n v="1048"/>
        <n v="172"/>
        <n v="12"/>
        <n v="27243"/>
        <n v="91.5"/>
        <n v="12104"/>
        <n v="898"/>
        <n v="206"/>
        <n v="5544"/>
        <n v="85888"/>
        <n v="16806"/>
        <n v="66"/>
        <n v="531"/>
        <n v="29"/>
        <n v="28290"/>
        <n v="134838"/>
        <n v="2160.5"/>
        <n v="3471"/>
        <n v="1072.5"/>
        <n v="2179.5"/>
        <n v="8739"/>
        <n v="22196"/>
        <n v="25590"/>
        <n v="34"/>
        <n v="777.5"/>
        <n v="16753.5"/>
        <n v="91196"/>
        <n v="11936"/>
        <n v="45837.5"/>
        <n v="9"/>
        <n v="6975"/>
        <n v="80580"/>
        <n v="2853"/>
        <n v="50484"/>
        <n v="17307"/>
        <n v="1600"/>
        <n v="428"/>
        <n v="26352"/>
        <n v="11904"/>
        <n v="2369.5"/>
        <n v="132"/>
        <n v="13512"/>
        <n v="1429.5"/>
        <n v="2948.5"/>
        <n v="20692.5"/>
        <n v="44970"/>
        <n v="27.5"/>
        <n v="1310.5"/>
        <n v="580"/>
        <n v="20685"/>
        <n v="43"/>
        <n v="2797.5"/>
        <n v="376"/>
        <n v="11049"/>
        <n v="588"/>
        <n v="376.5"/>
        <n v="2174"/>
        <n v="444"/>
        <n v="892"/>
        <n v="391.5"/>
        <n v="78.5"/>
        <n v="92988"/>
        <n v="850"/>
        <n v="216"/>
        <n v="1390.5"/>
        <n v="967"/>
        <n v="4184"/>
        <n v="12672"/>
        <n v="1102.5"/>
        <n v="2895.5"/>
        <n v="6138"/>
        <n v="2075"/>
        <n v="6061.5"/>
        <n v="8707.5"/>
        <n v="6390"/>
        <n v="453"/>
        <n v="3871.5"/>
        <n v="4675"/>
        <n v="47692.5"/>
        <n v="147520"/>
        <n v="1038"/>
        <n v="356"/>
        <n v="10296"/>
        <n v="6330"/>
        <n v="1577"/>
        <n v="168"/>
        <n v="13404"/>
        <n v="14892"/>
        <n v="405"/>
        <n v="46612.5"/>
        <n v="4665"/>
        <n v="6575"/>
        <n v="2770"/>
        <n v="12054"/>
        <n v="189"/>
        <n v="417"/>
        <n v="19464"/>
        <n v="75"/>
        <n v="8386.5"/>
        <n v="16450"/>
        <n v="1414.5"/>
        <n v="2448"/>
        <n v="1040"/>
        <n v="748"/>
        <n v="8595"/>
        <n v="7353"/>
        <n v="544"/>
        <n v="1880"/>
      </sharedItems>
    </cacheField>
    <cacheField name="Subtotal" numFmtId="0">
      <sharedItems containsSemiMixedTypes="0" containsString="0" containsNumber="1" minValue="82.5" maxValue="2644800"/>
    </cacheField>
    <cacheField name="Tax_Pct" numFmtId="0">
      <sharedItems containsSemiMixedTypes="0" containsString="0" containsNumber="1" containsInteger="1" minValue="5" maxValue="18"/>
    </cacheField>
    <cacheField name="Tax_Amt" numFmtId="0">
      <sharedItems containsSemiMixedTypes="0" containsString="0" containsNumber="1" minValue="4.12" maxValue="476064"/>
    </cacheField>
    <cacheField name="Shipping_Charge" numFmtId="0">
      <sharedItems containsSemiMixedTypes="0" containsString="0" containsNumber="1" containsInteger="1" minValue="0" maxValue="149"/>
    </cacheField>
    <cacheField name="new total amt" numFmtId="0">
      <sharedItems containsSemiMixedTypes="0" containsString="0" containsNumber="1" minValue="86.62" maxValue="3120864"/>
    </cacheField>
    <cacheField name="Payment_Method" numFmtId="0">
      <sharedItems count="7">
        <s v="Debit Card"/>
        <s v="Emi"/>
        <s v="Credit Card"/>
        <s v="Upi"/>
        <s v="Wallet"/>
        <s v="Net Banking"/>
        <s v="Cash On Delivery"/>
      </sharedItems>
    </cacheField>
    <cacheField name="Shipping_Method" numFmtId="0">
      <sharedItems/>
    </cacheField>
    <cacheField name="Order_Status" numFmtId="0">
      <sharedItems count="6">
        <s v="Delivered"/>
        <s v="Shipped"/>
        <s v="Processing"/>
        <s v="Pending"/>
        <s v="Returned"/>
        <s v="Cancelled"/>
      </sharedItems>
    </cacheField>
    <cacheField name="Sales_Channel" numFmtId="0">
      <sharedItems count="5">
        <s v="Partner"/>
        <s v="Online"/>
        <s v="Phone"/>
        <s v="Mobile App"/>
        <s v="Store"/>
      </sharedItems>
    </cacheField>
    <cacheField name="Sales_Rep" numFmtId="0">
      <sharedItems/>
    </cacheField>
    <cacheField name="Sales_Rep_Region" numFmtId="0">
      <sharedItems/>
    </cacheField>
    <cacheField name="City" numFmtId="0">
      <sharedItems/>
    </cacheField>
    <cacheField name="State" numFmtId="0">
      <sharedItems/>
    </cacheField>
    <cacheField name="Region" numFmtId="0">
      <sharedItems count="5">
        <s v="North"/>
        <s v="East"/>
        <s v="South"/>
        <s v="Central"/>
        <s v="West"/>
      </sharedItems>
    </cacheField>
    <cacheField name="Pincode" numFmtId="0">
      <sharedItems containsBlank="1"/>
    </cacheField>
    <cacheField name="Coupon_Code" numFmtId="0">
      <sharedItems/>
    </cacheField>
    <cacheField name="Customer_Rating" numFmtId="0">
      <sharedItems containsSemiMixedTypes="0" containsString="0" containsNumber="1" containsInteger="1" minValue="1" maxValue="5"/>
    </cacheField>
    <cacheField name="Return_Flag" numFmtId="0">
      <sharedItems/>
    </cacheField>
    <cacheField name="Return_Reason" numFmtId="0">
      <sharedItems/>
    </cacheField>
    <cacheField name="Warehouse_ID" numFmtId="0">
      <sharedItems/>
    </cacheField>
    <cacheField name="Delivery_Partner" numFmtId="0">
      <sharedItems/>
    </cacheField>
    <cacheField name="Order_Date" numFmtId="14">
      <sharedItems containsSemiMixedTypes="0" containsNonDate="0" containsDate="1" containsString="0" minDate="2023-01-01T00:00:00" maxDate="2024-12-06T00:00:00"/>
    </cacheField>
    <cacheField name="Shipping_Date" numFmtId="14">
      <sharedItems containsSemiMixedTypes="0" containsNonDate="0" containsDate="1" containsString="0" minDate="2023-01-03T00:00:00" maxDate="2024-12-07T00:00:00" count="454">
        <d v="2023-05-29T00:00:00"/>
        <d v="2023-04-18T00:00:00"/>
        <d v="2024-03-13T00:00:00"/>
        <d v="2024-03-11T00:00:00"/>
        <d v="2024-04-06T00:00:00"/>
        <d v="2023-03-17T00:00:00"/>
        <d v="2023-06-12T00:00:00"/>
        <d v="2023-12-14T00:00:00"/>
        <d v="2023-07-24T00:00:00"/>
        <d v="2023-01-27T00:00:00"/>
        <d v="2023-10-22T00:00:00"/>
        <d v="2024-01-27T00:00:00"/>
        <d v="2023-05-11T00:00:00"/>
        <d v="2023-09-10T00:00:00"/>
        <d v="2023-01-18T00:00:00"/>
        <d v="2023-02-05T00:00:00"/>
        <d v="2024-05-19T00:00:00"/>
        <d v="2023-06-11T00:00:00"/>
        <d v="2024-03-06T00:00:00"/>
        <d v="2024-02-01T00:00:00"/>
        <d v="2023-05-27T00:00:00"/>
        <d v="2023-12-03T00:00:00"/>
        <d v="2023-07-31T00:00:00"/>
        <d v="2024-03-31T00:00:00"/>
        <d v="2023-02-25T00:00:00"/>
        <d v="2023-03-28T00:00:00"/>
        <d v="2023-04-05T00:00:00"/>
        <d v="2023-04-08T00:00:00"/>
        <d v="2024-02-08T00:00:00"/>
        <d v="2023-03-24T00:00:00"/>
        <d v="2023-04-24T00:00:00"/>
        <d v="2023-07-09T00:00:00"/>
        <d v="2024-02-06T00:00:00"/>
        <d v="2023-03-21T00:00:00"/>
        <d v="2023-10-30T00:00:00"/>
        <d v="2024-04-15T00:00:00"/>
        <d v="2024-06-13T00:00:00"/>
        <d v="2024-06-17T00:00:00"/>
        <d v="2023-05-22T00:00:00"/>
        <d v="2023-05-25T00:00:00"/>
        <d v="2023-08-15T00:00:00"/>
        <d v="2023-12-25T00:00:00"/>
        <d v="2023-02-08T00:00:00"/>
        <d v="2024-06-28T00:00:00"/>
        <d v="2023-05-31T00:00:00"/>
        <d v="2023-10-14T00:00:00"/>
        <d v="2023-07-10T00:00:00"/>
        <d v="2024-05-10T00:00:00"/>
        <d v="2024-04-11T00:00:00"/>
        <d v="2024-04-18T00:00:00"/>
        <d v="2023-10-25T00:00:00"/>
        <d v="2024-02-27T00:00:00"/>
        <d v="2024-03-16T00:00:00"/>
        <d v="2023-06-22T00:00:00"/>
        <d v="2023-02-03T00:00:00"/>
        <d v="2023-10-24T00:00:00"/>
        <d v="2024-03-27T00:00:00"/>
        <d v="2023-08-18T00:00:00"/>
        <d v="2024-01-07T00:00:00"/>
        <d v="2023-02-09T00:00:00"/>
        <d v="2023-05-02T00:00:00"/>
        <d v="2023-06-20T00:00:00"/>
        <d v="2023-07-12T00:00:00"/>
        <d v="2023-09-25T00:00:00"/>
        <d v="2023-11-10T00:00:00"/>
        <d v="2023-02-02T00:00:00"/>
        <d v="2023-07-14T00:00:00"/>
        <d v="2023-03-18T00:00:00"/>
        <d v="2023-05-14T00:00:00"/>
        <d v="2023-01-13T00:00:00"/>
        <d v="2024-03-18T00:00:00"/>
        <d v="2023-11-13T00:00:00"/>
        <d v="2023-02-24T00:00:00"/>
        <d v="2024-03-09T00:00:00"/>
        <d v="2023-07-28T00:00:00"/>
        <d v="2023-09-20T00:00:00"/>
        <d v="2024-02-13T00:00:00"/>
        <d v="2024-03-25T00:00:00"/>
        <d v="2023-07-08T00:00:00"/>
        <d v="2023-03-14T00:00:00"/>
        <d v="2023-06-02T00:00:00"/>
        <d v="2023-07-23T00:00:00"/>
        <d v="2023-07-18T00:00:00"/>
        <d v="2024-09-01T00:00:00"/>
        <d v="2023-09-21T00:00:00"/>
        <d v="2023-01-06T00:00:00"/>
        <d v="2024-03-30T00:00:00"/>
        <d v="2023-08-13T00:00:00"/>
        <d v="2024-04-27T00:00:00"/>
        <d v="2023-03-15T00:00:00"/>
        <d v="2024-03-23T00:00:00"/>
        <d v="2023-11-05T00:00:00"/>
        <d v="2023-01-23T00:00:00"/>
        <d v="2023-10-06T00:00:00"/>
        <d v="2023-02-15T00:00:00"/>
        <d v="2024-01-26T00:00:00"/>
        <d v="2023-02-21T00:00:00"/>
        <d v="2024-05-28T00:00:00"/>
        <d v="2023-11-25T00:00:00"/>
        <d v="2023-08-05T00:00:00"/>
        <d v="2023-02-22T00:00:00"/>
        <d v="2024-02-09T00:00:00"/>
        <d v="2023-03-30T00:00:00"/>
        <d v="2023-02-27T00:00:00"/>
        <d v="2023-06-14T00:00:00"/>
        <d v="2023-09-11T00:00:00"/>
        <d v="2023-10-01T00:00:00"/>
        <d v="2023-06-04T00:00:00"/>
        <d v="2023-03-16T00:00:00"/>
        <d v="2023-08-01T00:00:00"/>
        <d v="2023-09-18T00:00:00"/>
        <d v="2023-08-17T00:00:00"/>
        <d v="2023-04-04T00:00:00"/>
        <d v="2023-08-10T00:00:00"/>
        <d v="2023-12-24T00:00:00"/>
        <d v="2023-01-11T00:00:00"/>
        <d v="2023-01-05T00:00:00"/>
        <d v="2023-06-26T00:00:00"/>
        <d v="2024-03-17T00:00:00"/>
        <d v="2023-04-11T00:00:00"/>
        <d v="2023-04-29T00:00:00"/>
        <d v="2023-09-03T00:00:00"/>
        <d v="2024-02-28T00:00:00"/>
        <d v="2024-02-11T00:00:00"/>
        <d v="2023-11-21T00:00:00"/>
        <d v="2023-03-31T00:00:00"/>
        <d v="2024-04-26T00:00:00"/>
        <d v="2023-02-04T00:00:00"/>
        <d v="2023-08-08T00:00:00"/>
        <d v="2024-01-09T00:00:00"/>
        <d v="2024-05-13T00:00:00"/>
        <d v="2023-03-01T00:00:00"/>
        <d v="2023-09-04T00:00:00"/>
        <d v="2024-06-09T00:00:00"/>
        <d v="2024-01-28T00:00:00"/>
        <d v="2024-07-04T00:00:00"/>
        <d v="2023-09-05T00:00:00"/>
        <d v="2024-03-26T00:00:00"/>
        <d v="2024-04-14T00:00:00"/>
        <d v="2023-06-10T00:00:00"/>
        <d v="2023-11-19T00:00:00"/>
        <d v="2023-03-27T00:00:00"/>
        <d v="2023-04-21T00:00:00"/>
        <d v="2023-06-16T00:00:00"/>
        <d v="2023-07-03T00:00:00"/>
        <d v="2023-12-17T00:00:00"/>
        <d v="2024-02-02T00:00:00"/>
        <d v="2024-01-22T00:00:00"/>
        <d v="2023-06-05T00:00:00"/>
        <d v="2023-07-13T00:00:00"/>
        <d v="2024-06-08T00:00:00"/>
        <d v="2023-12-10T00:00:00"/>
        <d v="2023-09-19T00:00:00"/>
        <d v="2023-02-18T00:00:00"/>
        <d v="2024-05-20T00:00:00"/>
        <d v="2023-01-24T00:00:00"/>
        <d v="2023-12-21T00:00:00"/>
        <d v="2023-11-14T00:00:00"/>
        <d v="2023-01-21T00:00:00"/>
        <d v="2024-01-06T00:00:00"/>
        <d v="2023-07-22T00:00:00"/>
        <d v="2024-04-20T00:00:00"/>
        <d v="2024-03-04T00:00:00"/>
        <d v="2024-05-14T00:00:00"/>
        <d v="2024-02-10T00:00:00"/>
        <d v="2023-12-11T00:00:00"/>
        <d v="2023-11-28T00:00:00"/>
        <d v="2024-03-24T00:00:00"/>
        <d v="2023-09-12T00:00:00"/>
        <d v="2024-01-02T00:00:00"/>
        <d v="2023-11-16T00:00:00"/>
        <d v="2023-10-10T00:00:00"/>
        <d v="2024-04-22T00:00:00"/>
        <d v="2023-07-29T00:00:00"/>
        <d v="2023-07-17T00:00:00"/>
        <d v="2023-11-20T00:00:00"/>
        <d v="2024-05-09T00:00:00"/>
        <d v="2024-06-26T00:00:00"/>
        <d v="2023-10-03T00:00:00"/>
        <d v="2024-04-23T00:00:00"/>
        <d v="2023-10-19T00:00:00"/>
        <d v="2024-06-18T00:00:00"/>
        <d v="2023-02-19T00:00:00"/>
        <d v="2023-12-28T00:00:00"/>
        <d v="2024-05-18T00:00:00"/>
        <d v="2023-08-30T00:00:00"/>
        <d v="2023-08-23T00:00:00"/>
        <d v="2023-01-16T00:00:00"/>
        <d v="2023-04-12T00:00:00"/>
        <d v="2023-04-01T00:00:00"/>
        <d v="2023-11-17T00:00:00"/>
        <d v="2023-02-28T00:00:00"/>
        <d v="2023-12-15T00:00:00"/>
        <d v="2023-01-30T00:00:00"/>
        <d v="2023-04-09T00:00:00"/>
        <d v="2023-01-10T00:00:00"/>
        <d v="2023-04-15T00:00:00"/>
        <d v="2023-09-02T00:00:00"/>
        <d v="2023-02-13T00:00:00"/>
        <d v="2023-03-11T00:00:00"/>
        <d v="2023-08-03T00:00:00"/>
        <d v="2023-05-28T00:00:00"/>
        <d v="2023-09-29T00:00:00"/>
        <d v="2023-03-23T00:00:00"/>
        <d v="2023-03-12T00:00:00"/>
        <d v="2024-01-29T00:00:00"/>
        <d v="2023-08-25T00:00:00"/>
        <d v="2024-01-10T00:00:00"/>
        <d v="2023-10-09T00:00:00"/>
        <d v="2023-08-22T00:00:00"/>
        <d v="2023-03-20T00:00:00"/>
        <d v="2023-09-16T00:00:00"/>
        <d v="2024-02-05T00:00:00"/>
        <d v="2024-02-26T00:00:00"/>
        <d v="2023-07-27T00:00:00"/>
        <d v="2023-05-19T00:00:00"/>
        <d v="2024-04-28T00:00:00"/>
        <d v="2023-06-17T00:00:00"/>
        <d v="2023-09-07T00:00:00"/>
        <d v="2023-01-15T00:00:00"/>
        <d v="2023-03-08T00:00:00"/>
        <d v="2023-08-29T00:00:00"/>
        <d v="2023-08-27T00:00:00"/>
        <d v="2023-11-12T00:00:00"/>
        <d v="2024-04-01T00:00:00"/>
        <d v="2023-04-23T00:00:00"/>
        <d v="2024-05-08T00:00:00"/>
        <d v="2023-04-03T00:00:00"/>
        <d v="2023-11-01T00:00:00"/>
        <d v="2023-11-18T00:00:00"/>
        <d v="2023-06-21T00:00:00"/>
        <d v="2023-09-13T00:00:00"/>
        <d v="2024-07-02T00:00:00"/>
        <d v="2024-04-24T00:00:00"/>
        <d v="2023-05-05T00:00:00"/>
        <d v="2024-06-23T00:00:00"/>
        <d v="2024-06-04T00:00:00"/>
        <d v="2023-02-26T00:00:00"/>
        <d v="2023-05-09T00:00:00"/>
        <d v="2023-09-06T00:00:00"/>
        <d v="2023-01-19T00:00:00"/>
        <d v="2023-06-18T00:00:00"/>
        <d v="2023-05-01T00:00:00"/>
        <d v="2023-02-01T00:00:00"/>
        <d v="2023-05-12T00:00:00"/>
        <d v="2023-08-11T00:00:00"/>
        <d v="2023-05-06T00:00:00"/>
        <d v="2023-09-14T00:00:00"/>
        <d v="2024-05-04T00:00:00"/>
        <d v="2023-11-03T00:00:00"/>
        <d v="2024-03-19T00:00:00"/>
        <d v="2024-02-24T00:00:00"/>
        <d v="2023-02-12T00:00:00"/>
        <d v="2023-10-17T00:00:00"/>
        <d v="2023-06-13T00:00:00"/>
        <d v="2023-11-08T00:00:00"/>
        <d v="2023-05-24T00:00:00"/>
        <d v="2023-08-02T00:00:00"/>
        <d v="2024-03-20T00:00:00"/>
        <d v="2024-06-15T00:00:00"/>
        <d v="2024-07-05T00:00:00"/>
        <d v="2023-04-06T00:00:00"/>
        <d v="2024-01-25T00:00:00"/>
        <d v="2024-03-12T00:00:00"/>
        <d v="2024-05-24T00:00:00"/>
        <d v="2023-06-29T00:00:00"/>
        <d v="2024-02-19T00:00:00"/>
        <d v="2023-10-15T00:00:00"/>
        <d v="2023-10-12T00:00:00"/>
        <d v="2023-03-10T00:00:00"/>
        <d v="2023-12-12T00:00:00"/>
        <d v="2023-08-20T00:00:00"/>
        <d v="2023-06-15T00:00:00"/>
        <d v="2023-12-22T00:00:00"/>
        <d v="2023-06-19T00:00:00"/>
        <d v="2023-11-26T00:00:00"/>
        <d v="2024-03-07T00:00:00"/>
        <d v="2024-04-12T00:00:00"/>
        <d v="2023-11-23T00:00:00"/>
        <d v="2024-06-02T00:00:00"/>
        <d v="2024-01-31T00:00:00"/>
        <d v="2024-07-01T00:00:00"/>
        <d v="2024-02-18T00:00:00"/>
        <d v="2023-01-12T00:00:00"/>
        <d v="2024-04-30T00:00:00"/>
        <d v="2024-06-20T00:00:00"/>
        <d v="2023-12-13T00:00:00"/>
        <d v="2024-04-17T00:00:00"/>
        <d v="2024-01-19T00:00:00"/>
        <d v="2023-01-14T00:00:00"/>
        <d v="2023-07-30T00:00:00"/>
        <d v="2023-10-11T00:00:00"/>
        <d v="2023-07-25T00:00:00"/>
        <d v="2023-03-03T00:00:00"/>
        <d v="2023-06-25T00:00:00"/>
        <d v="2023-08-28T00:00:00"/>
        <d v="2024-05-29T00:00:00"/>
        <d v="2023-04-28T00:00:00"/>
        <d v="2023-03-25T00:00:00"/>
        <d v="2023-07-04T00:00:00"/>
        <d v="2024-02-15T00:00:00"/>
        <d v="2024-04-25T00:00:00"/>
        <d v="2023-05-21T00:00:00"/>
        <d v="2024-02-07T00:00:00"/>
        <d v="2023-04-25T00:00:00"/>
        <d v="2023-03-04T00:00:00"/>
        <d v="2024-06-30T00:00:00"/>
        <d v="2023-08-31T00:00:00"/>
        <d v="2023-11-27T00:00:00"/>
        <d v="2023-03-22T00:00:00"/>
        <d v="2024-03-22T00:00:00"/>
        <d v="2023-10-16T00:00:00"/>
        <d v="2023-10-26T00:00:00"/>
        <d v="2023-12-09T00:00:00"/>
        <d v="2024-02-14T00:00:00"/>
        <d v="2024-06-06T00:00:00"/>
        <d v="2024-06-25T00:00:00"/>
        <d v="2023-12-20T00:00:00"/>
        <d v="2023-02-14T00:00:00"/>
        <d v="2024-01-04T00:00:00"/>
        <d v="2023-08-04T00:00:00"/>
        <d v="2023-11-29T00:00:00"/>
        <d v="2023-07-19T00:00:00"/>
        <d v="2023-12-16T00:00:00"/>
        <d v="2023-08-21T00:00:00"/>
        <d v="2023-08-19T00:00:00"/>
        <d v="2023-07-20T00:00:00"/>
        <d v="2024-03-21T00:00:00"/>
        <d v="2023-07-07T00:00:00"/>
        <d v="2023-05-23T00:00:00"/>
        <d v="2023-09-27T00:00:00"/>
        <d v="2024-01-03T00:00:00"/>
        <d v="2023-11-22T00:00:00"/>
        <d v="2023-05-08T00:00:00"/>
        <d v="2023-07-01T00:00:00"/>
        <d v="2024-06-14T00:00:00"/>
        <d v="2023-09-26T00:00:00"/>
        <d v="2024-03-02T00:00:00"/>
        <d v="2023-10-07T00:00:00"/>
        <d v="2023-10-18T00:00:00"/>
        <d v="2023-08-06T00:00:00"/>
        <d v="2023-04-16T00:00:00"/>
        <d v="2023-09-09T00:00:00"/>
        <d v="2023-04-17T00:00:00"/>
        <d v="2023-08-26T00:00:00"/>
        <d v="2023-12-07T00:00:00"/>
        <d v="2024-02-23T00:00:00"/>
        <d v="2024-06-01T00:00:00"/>
        <d v="2023-01-03T00:00:00"/>
        <d v="2023-01-26T00:00:00"/>
        <d v="2024-01-23T00:00:00"/>
        <d v="2023-12-18T00:00:00"/>
        <d v="2023-12-23T00:00:00"/>
        <d v="2024-02-22T00:00:00"/>
        <d v="2023-04-02T00:00:00"/>
        <d v="2023-12-19T00:00:00"/>
        <d v="2024-04-16T00:00:00"/>
        <d v="2023-01-08T00:00:00"/>
        <d v="2023-02-07T00:00:00"/>
        <d v="2024-05-02T00:00:00"/>
        <d v="2024-04-08T00:00:00"/>
        <d v="2023-01-28T00:00:00"/>
        <d v="2024-04-07T00:00:00"/>
        <d v="2023-03-19T00:00:00"/>
        <d v="2024-03-10T00:00:00"/>
        <d v="2024-01-16T00:00:00"/>
        <d v="2023-05-03T00:00:00"/>
        <d v="2024-04-29T00:00:00"/>
        <d v="2023-12-26T00:00:00"/>
        <d v="2024-06-21T00:00:00"/>
        <d v="2024-02-17T00:00:00"/>
        <d v="2024-03-08T00:00:00"/>
        <d v="2024-02-29T00:00:00"/>
        <d v="2024-06-07T00:00:00"/>
        <d v="2023-03-29T00:00:00"/>
        <d v="2024-02-12T00:00:00"/>
        <d v="2023-08-12T00:00:00"/>
        <d v="2024-07-03T00:00:00"/>
        <d v="2023-11-30T00:00:00"/>
        <d v="2023-09-22T00:00:00"/>
        <d v="2023-12-06T00:00:00"/>
        <d v="2024-01-11T00:00:00"/>
        <d v="2023-02-16T00:00:00"/>
        <d v="2024-01-18T00:00:00"/>
        <d v="2024-12-06T00:00:00"/>
        <d v="2024-02-16T00:00:00"/>
        <d v="2023-01-22T00:00:00"/>
        <d v="2023-07-11T00:00:00"/>
        <d v="2024-06-05T00:00:00"/>
        <d v="2024-01-24T00:00:00"/>
        <d v="2023-06-30T00:00:00"/>
        <d v="2023-05-10T00:00:00"/>
        <d v="2024-01-05T00:00:00"/>
        <d v="2023-05-18T00:00:00"/>
        <d v="2023-10-08T00:00:00"/>
        <d v="2024-04-09T00:00:00"/>
        <d v="2024-05-16T00:00:00"/>
        <d v="2024-05-01T00:00:00"/>
        <d v="2023-10-21T00:00:00"/>
        <d v="2023-05-20T00:00:00"/>
        <d v="2023-09-15T00:00:00"/>
        <d v="2023-01-25T00:00:00"/>
        <d v="2024-06-22T00:00:00"/>
        <d v="2023-05-26T00:00:00"/>
        <d v="2023-06-06T00:00:00"/>
        <d v="2023-01-17T00:00:00"/>
        <d v="2024-03-29T00:00:00"/>
        <d v="2023-12-27T00:00:00"/>
        <d v="2023-04-27T00:00:00"/>
        <d v="2023-06-27T00:00:00"/>
        <d v="2023-11-11T00:00:00"/>
        <d v="2024-05-25T00:00:00"/>
        <d v="2024-03-15T00:00:00"/>
        <d v="2023-06-01T00:00:00"/>
        <d v="2024-09-06T00:00:00"/>
        <d v="2024-05-26T00:00:00"/>
        <d v="2024-04-10T00:00:00"/>
        <d v="2023-10-23T00:00:00"/>
        <d v="2024-05-21T00:00:00"/>
        <d v="2024-04-02T00:00:00"/>
        <d v="2023-02-20T00:00:00"/>
        <d v="2023-03-02T00:00:00"/>
        <d v="2023-02-23T00:00:00"/>
        <d v="2024-06-19T00:00:00"/>
        <d v="2023-08-14T00:00:00"/>
        <d v="2023-12-04T00:00:00"/>
        <d v="2023-07-26T00:00:00"/>
        <d v="2023-01-20T00:00:00"/>
        <d v="2023-04-13T00:00:00"/>
        <d v="2024-05-05T00:00:00"/>
        <d v="2024-10-04T00:00:00"/>
        <d v="2024-01-12T00:00:00"/>
        <d v="2024-02-21T00:00:00"/>
        <d v="2023-03-09T00:00:00"/>
        <d v="2024-05-15T00:00:00"/>
        <d v="2023-10-31T00:00:00"/>
        <d v="2023-06-07T00:00:00"/>
        <d v="2023-10-05T00:00:00"/>
        <d v="2024-05-23T00:00:00"/>
        <d v="2023-12-02T00:00:00"/>
        <d v="2023-09-23T00:00:00"/>
        <d v="2023-10-02T00:00:00"/>
        <d v="2024-06-03T00:00:00"/>
        <d v="2023-01-29T00:00:00"/>
        <d v="2023-05-30T00:00:00"/>
        <d v="2023-02-06T00:00:00"/>
        <d v="2023-05-17T00:00:00"/>
        <d v="2023-07-21T00:00:00"/>
        <d v="2023-10-27T00:00:00"/>
        <d v="2024-06-12T00:00:00"/>
        <d v="2024-05-12T00:00:00"/>
        <d v="2023-02-11T00:00:00"/>
        <d v="2023-06-09T00:00:00"/>
        <d v="2024-01-21T00:00:00"/>
      </sharedItems>
      <fieldGroup par="40"/>
    </cacheField>
    <cacheField name="Delivery_Date" numFmtId="14">
      <sharedItems containsSemiMixedTypes="0" containsNonDate="0" containsDate="1" containsString="0" minDate="2023-01-07T00:00:00" maxDate="2024-12-05T00:00:00"/>
    </cacheField>
    <cacheField name="Email" numFmtId="0">
      <sharedItems/>
    </cacheField>
    <cacheField name="Mobile no" numFmtId="0">
      <sharedItems/>
    </cacheField>
    <cacheField name="Months (Shipping_Date)" numFmtId="0" databaseField="0">
      <fieldGroup base="34">
        <rangePr groupBy="months" startDate="2023-01-03T00:00:00" endDate="2024-12-07T00:00:00"/>
        <groupItems count="14">
          <s v="&lt;03-01-2023"/>
          <s v="Jan"/>
          <s v="Feb"/>
          <s v="Mar"/>
          <s v="Apr"/>
          <s v="May"/>
          <s v="Jun"/>
          <s v="Jul"/>
          <s v="Aug"/>
          <s v="Sep"/>
          <s v="Oct"/>
          <s v="Nov"/>
          <s v="Dec"/>
          <s v="&gt;07-12-2024"/>
        </groupItems>
      </fieldGroup>
    </cacheField>
    <cacheField name="Quarters (Shipping_Date)" numFmtId="0" databaseField="0">
      <fieldGroup base="34">
        <rangePr groupBy="quarters" startDate="2023-01-03T00:00:00" endDate="2024-12-07T00:00:00"/>
        <groupItems count="6">
          <s v="&lt;03-01-2023"/>
          <s v="Qtr1"/>
          <s v="Qtr2"/>
          <s v="Qtr3"/>
          <s v="Qtr4"/>
          <s v="&gt;07-12-2024"/>
        </groupItems>
      </fieldGroup>
    </cacheField>
    <cacheField name="Years (Shipping_Date)" numFmtId="0" databaseField="0">
      <fieldGroup base="34">
        <rangePr groupBy="years" startDate="2023-01-03T00:00:00" endDate="2024-12-07T00:00:00"/>
        <groupItems count="4">
          <s v="&lt;03-01-2023"/>
          <s v="2023"/>
          <s v="2024"/>
          <s v="&gt;07-12-2024"/>
        </groupItems>
      </fieldGroup>
    </cacheField>
  </cacheFields>
  <extLst>
    <ext xmlns:x14="http://schemas.microsoft.com/office/spreadsheetml/2009/9/main" uri="{725AE2AE-9491-48be-B2B4-4EB974FC3084}">
      <x14:pivotCacheDefinition pivotCacheId="1924532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Zubair Khan"/>
    <x v="0"/>
    <s v="Hp Laserjet 1020"/>
    <x v="0"/>
    <x v="0"/>
    <s v="Printers"/>
    <n v="11670"/>
    <n v="7"/>
    <n v="81690"/>
    <n v="5"/>
    <x v="0"/>
    <n v="77605.5"/>
    <n v="18"/>
    <n v="13968.99"/>
    <n v="0"/>
    <n v="91574.49"/>
    <x v="0"/>
    <s v="Express"/>
    <x v="0"/>
    <x v="0"/>
    <s v="Suraj Verma"/>
    <s v="East"/>
    <s v="Udaipur"/>
    <s v="Rajasthan"/>
    <x v="0"/>
    <s v="489202"/>
    <s v="None"/>
    <n v="4"/>
    <s v="No"/>
    <s v="other"/>
    <s v="WH-12"/>
    <s v="Delhivery"/>
    <d v="2023-05-23T00:00:00"/>
    <x v="0"/>
    <d v="2023-06-01T00:00:00"/>
    <s v="zubair_khan@gmail_com"/>
    <s v="9654235116"/>
  </r>
  <r>
    <x v="1"/>
    <s v="Archana Srivastava"/>
    <x v="0"/>
    <s v="Hp Pavilion 15"/>
    <x v="0"/>
    <x v="0"/>
    <s v="Laptops"/>
    <n v="58650"/>
    <n v="6"/>
    <n v="351900"/>
    <n v="5"/>
    <x v="1"/>
    <n v="334305"/>
    <n v="18"/>
    <n v="60174.9"/>
    <n v="0"/>
    <n v="394479.9"/>
    <x v="1"/>
    <s v="Standard"/>
    <x v="1"/>
    <x v="0"/>
    <s v="Vinay Joshi"/>
    <s v="Central"/>
    <s v="Jodhpur"/>
    <s v="Rajasthan"/>
    <x v="0"/>
    <s v="489581"/>
    <s v="None"/>
    <n v="4"/>
    <s v="No"/>
    <s v="other"/>
    <s v="WH-03"/>
    <s v="Dtdc"/>
    <d v="2023-04-14T00:00:00"/>
    <x v="1"/>
    <d v="2023-04-24T00:00:00"/>
    <s v="srivastava_archana@gmail_com"/>
    <s v="7030564139"/>
  </r>
  <r>
    <x v="2"/>
    <s v="Mohan Tiwari"/>
    <x v="0"/>
    <s v="Sony Bravia 55-Inch"/>
    <x v="1"/>
    <x v="0"/>
    <s v="Televisions"/>
    <n v="78600"/>
    <n v="3"/>
    <n v="235800"/>
    <n v="0"/>
    <x v="2"/>
    <n v="235800"/>
    <n v="18"/>
    <n v="42444"/>
    <n v="0"/>
    <n v="278244"/>
    <x v="2"/>
    <s v="Standard"/>
    <x v="1"/>
    <x v="0"/>
    <s v="Priya Sinha"/>
    <s v="West"/>
    <s v="Ranchi"/>
    <s v="Jharkhand"/>
    <x v="1"/>
    <s v="182575"/>
    <s v="Newuser"/>
    <n v="4"/>
    <s v="No"/>
    <s v="other"/>
    <s v="WH-09"/>
    <s v="Ekart"/>
    <d v="2024-03-08T00:00:00"/>
    <x v="2"/>
    <d v="2023-04-24T00:00:00"/>
    <s v="mtiwari@gmail_com"/>
    <s v="9814893252"/>
  </r>
  <r>
    <x v="3"/>
    <s v="Venkatesan Rajan"/>
    <x v="1"/>
    <s v="Samsung 65-Inch Qled"/>
    <x v="2"/>
    <x v="0"/>
    <s v="Televisions"/>
    <n v="98240"/>
    <n v="4"/>
    <n v="392960"/>
    <n v="5"/>
    <x v="3"/>
    <n v="373312"/>
    <n v="18"/>
    <n v="67196.160000000003"/>
    <n v="0"/>
    <n v="440508.16000000003"/>
    <x v="3"/>
    <s v="Economy"/>
    <x v="1"/>
    <x v="0"/>
    <s v="Deepa Menon"/>
    <s v="South"/>
    <s v="Bengaluru"/>
    <s v="Karnataka"/>
    <x v="2"/>
    <s v="166803"/>
    <s v="None"/>
    <n v="4"/>
    <s v="No"/>
    <s v="other"/>
    <s v="WH-11"/>
    <s v="Delhivery"/>
    <d v="2024-03-09T00:00:00"/>
    <x v="3"/>
    <d v="2024-03-21T00:00:00"/>
    <s v="venkatesan_rajan@gmail_com"/>
    <s v="8310518347"/>
  </r>
  <r>
    <x v="4"/>
    <s v="Anita Bhatt"/>
    <x v="1"/>
    <s v="Nikon D3500"/>
    <x v="3"/>
    <x v="0"/>
    <s v="Cameras"/>
    <n v="37090"/>
    <n v="2"/>
    <n v="74180"/>
    <n v="0"/>
    <x v="2"/>
    <n v="74180"/>
    <n v="18"/>
    <n v="13352.4"/>
    <n v="0"/>
    <n v="87532.4"/>
    <x v="4"/>
    <s v="Overnight"/>
    <x v="2"/>
    <x v="1"/>
    <s v="Suraj Verma"/>
    <s v="East"/>
    <s v="Chandigarh"/>
    <s v="Punjab"/>
    <x v="0"/>
    <s v="162579"/>
    <s v="Save10"/>
    <n v="4"/>
    <s v="No"/>
    <s v="other"/>
    <s v="WH-09"/>
    <s v="Amazon Logistics"/>
    <d v="2024-04-04T00:00:00"/>
    <x v="4"/>
    <d v="2024-04-14T00:00:00"/>
    <s v="anita_bhatt@outlook_com"/>
    <s v="6602606474"/>
  </r>
  <r>
    <x v="5"/>
    <s v="Paramjit Brar"/>
    <x v="0"/>
    <s v="Hp Pavilion 15"/>
    <x v="0"/>
    <x v="0"/>
    <s v="Laptops"/>
    <n v="62690"/>
    <n v="9"/>
    <n v="564210"/>
    <n v="10"/>
    <x v="4"/>
    <n v="507789"/>
    <n v="18"/>
    <n v="91402.02"/>
    <n v="0"/>
    <n v="599191.02"/>
    <x v="2"/>
    <s v="Economy"/>
    <x v="0"/>
    <x v="0"/>
    <s v="Raj Kumar"/>
    <s v="North"/>
    <s v="Kanpur"/>
    <s v="Uttar Pradesh"/>
    <x v="0"/>
    <s v="691543"/>
    <s v="None"/>
    <n v="4"/>
    <s v="No"/>
    <s v="other"/>
    <s v="WH-11"/>
    <s v="Delhivery"/>
    <d v="2023-03-11T00:00:00"/>
    <x v="5"/>
    <d v="2023-03-22T00:00:00"/>
    <s v="pbrar@gmail_com"/>
    <s v="7079911838"/>
  </r>
  <r>
    <x v="6"/>
    <s v="Mohan Tiwari"/>
    <x v="0"/>
    <s v="Lenovo Thinkpad E14"/>
    <x v="4"/>
    <x v="0"/>
    <s v="Laptops"/>
    <n v="55250"/>
    <n v="4"/>
    <n v="221000"/>
    <n v="10"/>
    <x v="5"/>
    <n v="198900"/>
    <n v="18"/>
    <n v="35802"/>
    <n v="0"/>
    <n v="234702"/>
    <x v="5"/>
    <s v="Same Day"/>
    <x v="0"/>
    <x v="1"/>
    <s v="Deepa Menon"/>
    <s v="South"/>
    <s v="Indore"/>
    <s v="Madhya Pradesh"/>
    <x v="3"/>
    <s v="536118"/>
    <s v="Festive20"/>
    <n v="4"/>
    <s v="No"/>
    <s v="other"/>
    <s v="WH-12"/>
    <s v="Delhivery"/>
    <d v="2023-06-09T00:00:00"/>
    <x v="6"/>
    <d v="2023-06-18T00:00:00"/>
    <s v="mohant@gmail_com"/>
    <s v="8680112805"/>
  </r>
  <r>
    <x v="7"/>
    <s v="Vishal Chaudhary"/>
    <x v="2"/>
    <s v="Bajaj Mixer 750W"/>
    <x v="5"/>
    <x v="1"/>
    <s v="Kitchen"/>
    <n v="2940"/>
    <n v="6"/>
    <n v="17640"/>
    <n v="0"/>
    <x v="2"/>
    <n v="17640"/>
    <n v="5"/>
    <n v="882"/>
    <n v="0"/>
    <n v="18522"/>
    <x v="2"/>
    <s v="Economy"/>
    <x v="2"/>
    <x v="1"/>
    <s v="Priya Sinha"/>
    <s v="West"/>
    <s v="Pune"/>
    <s v="Maharashtra"/>
    <x v="4"/>
    <s v="513907"/>
    <s v="None"/>
    <n v="4"/>
    <s v="No"/>
    <s v="other"/>
    <s v="WH-04"/>
    <s v="Delhivery"/>
    <d v="2023-12-07T00:00:00"/>
    <x v="7"/>
    <d v="2023-12-22T00:00:00"/>
    <s v="vishal_chaudhary@yahoo_co_in"/>
    <s v="9541458685"/>
  </r>
  <r>
    <x v="8"/>
    <s v="Arjun Nair"/>
    <x v="1"/>
    <s v="Fastrack Watch"/>
    <x v="6"/>
    <x v="2"/>
    <s v="Accessories"/>
    <n v="2430"/>
    <n v="4"/>
    <n v="9720"/>
    <n v="5"/>
    <x v="6"/>
    <n v="9234"/>
    <n v="12"/>
    <n v="1108.08"/>
    <n v="0"/>
    <n v="10342.08"/>
    <x v="1"/>
    <s v="Same Day"/>
    <x v="3"/>
    <x v="0"/>
    <s v="Aman Bhatia"/>
    <s v="West"/>
    <s v="Surat"/>
    <s v="Gujarat"/>
    <x v="4"/>
    <s v="773687"/>
    <s v="Newuser"/>
    <n v="4"/>
    <s v="No"/>
    <s v="other"/>
    <s v="WH-02"/>
    <s v="Ekart"/>
    <d v="2023-07-21T00:00:00"/>
    <x v="8"/>
    <d v="2023-08-01T00:00:00"/>
    <s v="arjun_nair@gmail_com"/>
    <s v="6994680443"/>
  </r>
  <r>
    <x v="9"/>
    <s v="Jyoti Narayan"/>
    <x v="3"/>
    <s v="Canon Eos 200D"/>
    <x v="7"/>
    <x v="0"/>
    <s v="Cameras"/>
    <n v="54230"/>
    <n v="3"/>
    <n v="162690"/>
    <n v="5"/>
    <x v="7"/>
    <n v="154555.5"/>
    <n v="18"/>
    <n v="27819.99"/>
    <n v="0"/>
    <n v="182375.49"/>
    <x v="6"/>
    <s v="Express"/>
    <x v="3"/>
    <x v="2"/>
    <s v="Priya Sinha"/>
    <s v="West"/>
    <s v="Chandigarh"/>
    <s v="Punjab"/>
    <x v="0"/>
    <s v="369250"/>
    <s v="None"/>
    <n v="3"/>
    <s v="No"/>
    <s v="other"/>
    <s v="WH-05"/>
    <s v="Ekart"/>
    <d v="2023-01-26T00:00:00"/>
    <x v="9"/>
    <d v="2023-02-01T00:00:00"/>
    <s v="jyoti_narayan@yahoo_com"/>
    <s v="7708317278"/>
  </r>
  <r>
    <x v="10"/>
    <s v="Prakash Dubey"/>
    <x v="0"/>
    <s v="Hp Laserjet 1020"/>
    <x v="0"/>
    <x v="0"/>
    <s v="Printers"/>
    <n v="11660"/>
    <n v="7"/>
    <n v="81620"/>
    <n v="0"/>
    <x v="2"/>
    <n v="81620"/>
    <n v="18"/>
    <n v="14691.6"/>
    <n v="0"/>
    <n v="96311.6"/>
    <x v="0"/>
    <s v="Express"/>
    <x v="0"/>
    <x v="1"/>
    <s v="Raj Kumar"/>
    <s v="North"/>
    <s v="Kochi"/>
    <s v="Kerala"/>
    <x v="2"/>
    <s v="523161"/>
    <s v="None"/>
    <n v="3"/>
    <s v="No"/>
    <s v="other"/>
    <s v="WH-11"/>
    <s v="Delhivery"/>
    <d v="2023-10-20T00:00:00"/>
    <x v="10"/>
    <d v="2023-10-28T00:00:00"/>
    <s v="dubey_prakash@rediffmail_com"/>
    <s v="8967054668"/>
  </r>
  <r>
    <x v="11"/>
    <s v="Roshni Modi"/>
    <x v="3"/>
    <s v="Boat Rockerz 450"/>
    <x v="8"/>
    <x v="0"/>
    <s v="Audio"/>
    <n v="1590"/>
    <n v="2"/>
    <n v="3180"/>
    <n v="0"/>
    <x v="2"/>
    <n v="3180"/>
    <n v="18"/>
    <n v="572.4"/>
    <n v="149"/>
    <n v="3752.4"/>
    <x v="2"/>
    <s v="Economy"/>
    <x v="0"/>
    <x v="1"/>
    <s v="Neha Kulkarni"/>
    <s v="West"/>
    <s v="Nashik"/>
    <s v="Maharashtra"/>
    <x v="4"/>
    <s v="503538"/>
    <s v="None"/>
    <n v="4"/>
    <s v="Yes"/>
    <s v="Late Delivery"/>
    <s v="WH-02"/>
    <s v="Dtdc"/>
    <d v="2024-01-24T00:00:00"/>
    <x v="11"/>
    <d v="2024-02-01T00:00:00"/>
    <s v="roshni_modi@gmail_com"/>
    <s v="6092327193"/>
  </r>
  <r>
    <x v="12"/>
    <s v="Anita Bhatt"/>
    <x v="0"/>
    <s v="Classmate Notebook"/>
    <x v="9"/>
    <x v="3"/>
    <s v="Books"/>
    <n v="120"/>
    <n v="3"/>
    <n v="360"/>
    <n v="10"/>
    <x v="8"/>
    <n v="216"/>
    <n v="5"/>
    <n v="10.8"/>
    <n v="99"/>
    <n v="226.8"/>
    <x v="5"/>
    <s v="Economy"/>
    <x v="0"/>
    <x v="1"/>
    <s v="Neha Kulkarni"/>
    <s v="West"/>
    <s v="Raipur"/>
    <s v="Chhattisgarh"/>
    <x v="3"/>
    <s v="399689"/>
    <s v="None"/>
    <n v="5"/>
    <s v="No"/>
    <s v="other"/>
    <s v="WH-09"/>
    <s v="Amazon Logistics"/>
    <d v="2023-05-04T00:00:00"/>
    <x v="12"/>
    <d v="2023-05-13T00:00:00"/>
    <s v="abhatt@outlook_com"/>
    <s v="6776945314"/>
  </r>
  <r>
    <x v="13"/>
    <s v="Chirag Desai"/>
    <x v="0"/>
    <s v="Levi'S 511 Jeans"/>
    <x v="10"/>
    <x v="2"/>
    <s v="Clothing"/>
    <n v="3350"/>
    <n v="2"/>
    <n v="6700"/>
    <n v="0"/>
    <x v="2"/>
    <n v="6700"/>
    <n v="12"/>
    <n v="804"/>
    <n v="0"/>
    <n v="7504"/>
    <x v="1"/>
    <s v="Express"/>
    <x v="0"/>
    <x v="3"/>
    <s v="Ritu Singh"/>
    <s v="Central"/>
    <s v="Asansol"/>
    <s v="West Bengal"/>
    <x v="1"/>
    <s v="157727"/>
    <s v="None"/>
    <n v="4"/>
    <s v="No"/>
    <s v="other"/>
    <s v="WH-09"/>
    <s v="Delhivery"/>
    <d v="2023-09-04T00:00:00"/>
    <x v="13"/>
    <d v="2023-09-19T00:00:00"/>
    <s v="chirag_desai@gmail_com"/>
    <s v="6313518233"/>
  </r>
  <r>
    <x v="14"/>
    <s v="Bhavesh Patel"/>
    <x v="0"/>
    <s v="Levi'S 511 Jeans"/>
    <x v="10"/>
    <x v="2"/>
    <s v="Clothing"/>
    <n v="3040"/>
    <n v="2"/>
    <n v="6080"/>
    <n v="0"/>
    <x v="2"/>
    <n v="6080"/>
    <n v="12"/>
    <n v="729.6"/>
    <n v="0"/>
    <n v="6809.6"/>
    <x v="5"/>
    <s v="Standard"/>
    <x v="4"/>
    <x v="1"/>
    <s v="Vinay Joshi"/>
    <s v="Central"/>
    <s v="Noida"/>
    <s v="Uttar Pradesh"/>
    <x v="0"/>
    <s v="195132"/>
    <s v="None"/>
    <n v="4"/>
    <s v="Yes"/>
    <s v="Changed Mind"/>
    <s v="WH-09"/>
    <s v="Delhivery"/>
    <d v="2023-01-13T00:00:00"/>
    <x v="14"/>
    <d v="2023-01-24T00:00:00"/>
    <s v="bpatel@yahoo_com"/>
    <s v="6186999386"/>
  </r>
  <r>
    <x v="7"/>
    <s v="Ramachandran Pillai"/>
    <x v="0"/>
    <s v="Nilkamal Chair"/>
    <x v="11"/>
    <x v="4"/>
    <s v="Seating"/>
    <n v="4470"/>
    <n v="4"/>
    <n v="17880"/>
    <n v="10"/>
    <x v="9"/>
    <n v="16092"/>
    <n v="5"/>
    <n v="804.6"/>
    <n v="0"/>
    <n v="16896.599999999999"/>
    <x v="4"/>
    <s v="Overnight"/>
    <x v="4"/>
    <x v="4"/>
    <s v="Neha Kulkarni"/>
    <s v="West"/>
    <s v="Kozhikode"/>
    <s v="Kerala"/>
    <x v="2"/>
    <s v="392603"/>
    <s v="None"/>
    <n v="4"/>
    <s v="Yes"/>
    <s v="Changed Mind"/>
    <s v="WH-08"/>
    <s v="Dtdc"/>
    <d v="2023-02-03T00:00:00"/>
    <x v="15"/>
    <d v="2023-02-11T00:00:00"/>
    <s v="ramachandran_pillai@gmail_com"/>
    <s v="6994717464"/>
  </r>
  <r>
    <x v="15"/>
    <s v="Neha Saxena"/>
    <x v="0"/>
    <s v="Lavie Handbag"/>
    <x v="12"/>
    <x v="2"/>
    <s v="Bags"/>
    <n v="2880"/>
    <n v="2"/>
    <n v="5760"/>
    <n v="20"/>
    <x v="10"/>
    <n v="4608"/>
    <n v="12"/>
    <n v="552.96"/>
    <n v="0"/>
    <n v="5160.96"/>
    <x v="1"/>
    <s v="Economy"/>
    <x v="0"/>
    <x v="3"/>
    <s v="Pooja Nair"/>
    <s v="South"/>
    <s v="Vijayawada"/>
    <s v="Andhra Pradesh"/>
    <x v="2"/>
    <m/>
    <s v="None"/>
    <n v="5"/>
    <s v="No"/>
    <s v="other"/>
    <s v="WH-07"/>
    <s v="Delhivery"/>
    <d v="2024-05-18T00:00:00"/>
    <x v="16"/>
    <d v="2024-05-28T00:00:00"/>
    <s v="neha_saxena@gmail_com"/>
    <s v="6876038597"/>
  </r>
  <r>
    <x v="16"/>
    <s v="Roshni Modi"/>
    <x v="0"/>
    <s v="Macbook Air M2"/>
    <x v="13"/>
    <x v="0"/>
    <s v="Laptops"/>
    <n v="121050"/>
    <n v="1"/>
    <n v="121050"/>
    <n v="25"/>
    <x v="11"/>
    <n v="90787.5"/>
    <n v="18"/>
    <n v="16341.75"/>
    <n v="0"/>
    <n v="107129.25"/>
    <x v="6"/>
    <s v="Express"/>
    <x v="0"/>
    <x v="2"/>
    <s v="Vinay Joshi"/>
    <s v="Central"/>
    <s v="Jamshedpur"/>
    <s v="Jharkhand"/>
    <x v="1"/>
    <s v="605952"/>
    <s v="Flat500"/>
    <n v="5"/>
    <s v="No"/>
    <s v="other"/>
    <s v="WH-07"/>
    <s v="Bluedart"/>
    <d v="2023-06-07T00:00:00"/>
    <x v="17"/>
    <d v="2023-06-17T00:00:00"/>
    <s v="roshni_modi@gmail_com"/>
    <s v="6404499727"/>
  </r>
  <r>
    <x v="17"/>
    <s v="Ravi Shankar"/>
    <x v="0"/>
    <s v="Levi'S 511 Jeans"/>
    <x v="10"/>
    <x v="2"/>
    <s v="Clothing"/>
    <n v="3170"/>
    <n v="6"/>
    <n v="19020"/>
    <n v="10"/>
    <x v="12"/>
    <n v="17118"/>
    <n v="12"/>
    <n v="2054.16"/>
    <n v="0"/>
    <n v="19172.16"/>
    <x v="1"/>
    <s v="Express"/>
    <x v="0"/>
    <x v="2"/>
    <s v="Priya Sinha"/>
    <s v="West"/>
    <s v="Nagpur"/>
    <s v="Maharashtra"/>
    <x v="4"/>
    <s v="503050"/>
    <s v="None"/>
    <n v="5"/>
    <s v="No"/>
    <s v="other"/>
    <s v="WH-04"/>
    <s v="Dtdc"/>
    <d v="2024-05-29T00:00:00"/>
    <x v="18"/>
    <d v="2024-10-06T00:00:00"/>
    <s v="ravi_shankar@gmail_com"/>
    <s v="8657809134"/>
  </r>
  <r>
    <x v="18"/>
    <s v="Pooja Agarwal"/>
    <x v="0"/>
    <s v="Boat Rockerz 450"/>
    <x v="8"/>
    <x v="0"/>
    <s v="Audio"/>
    <n v="1430"/>
    <n v="3"/>
    <n v="4290"/>
    <n v="10"/>
    <x v="13"/>
    <n v="3861"/>
    <n v="18"/>
    <n v="694.98"/>
    <n v="149"/>
    <n v="4555.9799999999996"/>
    <x v="2"/>
    <s v="Economy"/>
    <x v="0"/>
    <x v="3"/>
    <s v="Ankit Sharma"/>
    <s v="North"/>
    <s v="Gurugram"/>
    <s v="Haryana"/>
    <x v="0"/>
    <s v="410097"/>
    <s v="None"/>
    <n v="4"/>
    <s v="No"/>
    <s v="other"/>
    <s v="WH-04"/>
    <s v="Dtdc"/>
    <d v="2024-01-27T00:00:00"/>
    <x v="19"/>
    <d v="2024-02-06T00:00:00"/>
    <s v="pagarwal@gmail_com"/>
    <s v="7367136959"/>
  </r>
  <r>
    <x v="19"/>
    <s v="Ajay Pandey"/>
    <x v="3"/>
    <s v="Godrej Interio Desk"/>
    <x v="14"/>
    <x v="4"/>
    <s v="Desks"/>
    <n v="17450"/>
    <n v="3"/>
    <n v="52350"/>
    <n v="5"/>
    <x v="14"/>
    <n v="49732.5"/>
    <n v="5"/>
    <n v="2486.62"/>
    <n v="0"/>
    <n v="52219.12"/>
    <x v="1"/>
    <s v="Express"/>
    <x v="1"/>
    <x v="1"/>
    <s v="Pooja Nair"/>
    <s v="South"/>
    <s v="Bengaluru"/>
    <s v="Karnataka"/>
    <x v="2"/>
    <s v="499519"/>
    <s v="Newuser"/>
    <n v="3"/>
    <s v="No"/>
    <s v="other"/>
    <s v="WH-04"/>
    <s v="Bluedart"/>
    <d v="2023-05-21T00:00:00"/>
    <x v="20"/>
    <d v="2023-05-30T00:00:00"/>
    <s v="pandey_ajay@outlook_com"/>
    <s v="6474517123"/>
  </r>
  <r>
    <x v="20"/>
    <s v="Preeti Deshpande"/>
    <x v="0"/>
    <s v="Godrej Interio Desk"/>
    <x v="14"/>
    <x v="4"/>
    <s v="Desks"/>
    <n v="17740"/>
    <n v="2"/>
    <n v="35480"/>
    <n v="0"/>
    <x v="2"/>
    <n v="35480"/>
    <n v="5"/>
    <n v="1774"/>
    <n v="0"/>
    <n v="37254"/>
    <x v="3"/>
    <s v="Economy"/>
    <x v="4"/>
    <x v="1"/>
    <s v="Pooja Nair"/>
    <s v="South"/>
    <s v="Jodhpur"/>
    <s v="Rajasthan"/>
    <x v="0"/>
    <s v="586806"/>
    <s v="Festive20"/>
    <n v="4"/>
    <s v="Yes"/>
    <s v="Late Delivery"/>
    <s v="WH-11"/>
    <s v="Dtdc"/>
    <d v="2023-06-03T00:00:00"/>
    <x v="21"/>
    <d v="2023-03-21T00:00:00"/>
    <s v="deshpande_preeti@gmail_com"/>
    <s v="6617964053"/>
  </r>
  <r>
    <x v="21"/>
    <s v="Rajeev Pawar"/>
    <x v="0"/>
    <s v="Nikon D3500"/>
    <x v="3"/>
    <x v="0"/>
    <s v="Cameras"/>
    <n v="37060"/>
    <n v="1"/>
    <n v="37060"/>
    <n v="5"/>
    <x v="15"/>
    <n v="35207"/>
    <n v="18"/>
    <n v="6337.26"/>
    <n v="0"/>
    <n v="41544.26"/>
    <x v="6"/>
    <s v="Standard"/>
    <x v="0"/>
    <x v="3"/>
    <s v="Ritu Singh"/>
    <s v="Central"/>
    <s v="Ghaziabad"/>
    <s v="Uttar Pradesh"/>
    <x v="0"/>
    <s v="590293"/>
    <s v="Summer15"/>
    <n v="5"/>
    <s v="No"/>
    <s v="other"/>
    <s v="WH-01"/>
    <s v="Delhivery"/>
    <d v="2023-07-30T00:00:00"/>
    <x v="22"/>
    <d v="2023-08-10T00:00:00"/>
    <s v="rpawar@hotmail_com"/>
    <s v="9950240268"/>
  </r>
  <r>
    <x v="22"/>
    <s v="Jayesh Vora"/>
    <x v="1"/>
    <s v="Kurl-On King Bed"/>
    <x v="15"/>
    <x v="4"/>
    <s v="Beds"/>
    <n v="51710"/>
    <n v="1"/>
    <n v="51710"/>
    <n v="10"/>
    <x v="16"/>
    <n v="46539"/>
    <n v="5"/>
    <n v="2326.9499999999998"/>
    <n v="0"/>
    <n v="48865.95"/>
    <x v="1"/>
    <s v="Same Day"/>
    <x v="1"/>
    <x v="2"/>
    <s v="Karim Sheikh"/>
    <s v="North"/>
    <s v="Noida"/>
    <s v="Uttar Pradesh"/>
    <x v="0"/>
    <s v="693398"/>
    <s v="None"/>
    <n v="4"/>
    <s v="No"/>
    <s v="other"/>
    <s v="WH-09"/>
    <s v="Dtdc"/>
    <d v="2024-03-30T00:00:00"/>
    <x v="23"/>
    <d v="2024-04-03T00:00:00"/>
    <s v="vora_jayesh@rediffmail_com"/>
    <s v="7673657661"/>
  </r>
  <r>
    <x v="23"/>
    <s v="Varsha Shinde"/>
    <x v="0"/>
    <s v="Centuary Mattress"/>
    <x v="16"/>
    <x v="4"/>
    <s v="Beds"/>
    <n v="14310"/>
    <n v="3"/>
    <n v="42930"/>
    <n v="10"/>
    <x v="17"/>
    <n v="38637"/>
    <n v="5"/>
    <n v="1931.85"/>
    <n v="0"/>
    <n v="40568.85"/>
    <x v="2"/>
    <s v="Same Day"/>
    <x v="0"/>
    <x v="0"/>
    <s v="Sneha Reddy"/>
    <s v="South"/>
    <s v="Jabalpur"/>
    <s v="Madhya Pradesh"/>
    <x v="3"/>
    <s v="436776"/>
    <s v="Diwali25"/>
    <n v="4"/>
    <s v="No"/>
    <s v="other"/>
    <s v="WH-10"/>
    <s v="Dtdc"/>
    <d v="2023-02-22T00:00:00"/>
    <x v="24"/>
    <d v="2023-03-03T00:00:00"/>
    <s v="shinde_varsha@yahoo_co_in"/>
    <s v="9094024455"/>
  </r>
  <r>
    <x v="24"/>
    <s v="Sanjay  Mishra"/>
    <x v="3"/>
    <s v="Tata Tea Premium 1Kg"/>
    <x v="17"/>
    <x v="5"/>
    <s v="Beverages"/>
    <n v="450"/>
    <n v="2"/>
    <n v="900"/>
    <n v="0"/>
    <x v="2"/>
    <n v="900"/>
    <n v="5"/>
    <n v="45"/>
    <n v="49"/>
    <n v="945"/>
    <x v="2"/>
    <s v="Same Day"/>
    <x v="0"/>
    <x v="0"/>
    <s v="Anjali Mehta"/>
    <s v="South"/>
    <s v="Gaya"/>
    <s v="Bihar"/>
    <x v="1"/>
    <s v="781238"/>
    <s v="None"/>
    <n v="4"/>
    <s v="No"/>
    <s v="other"/>
    <s v="WH-02"/>
    <s v="Bluedart"/>
    <d v="2023-03-25T00:00:00"/>
    <x v="25"/>
    <d v="2023-04-06T00:00:00"/>
    <s v="sanjaym@gmail_com"/>
    <s v="8451076226"/>
  </r>
  <r>
    <x v="25"/>
    <s v="Hussain Ali"/>
    <x v="3"/>
    <s v="Adidas Ultraboost 22"/>
    <x v="18"/>
    <x v="2"/>
    <s v="Footwear"/>
    <n v="14050"/>
    <n v="3"/>
    <n v="42150"/>
    <n v="5"/>
    <x v="18"/>
    <n v="40042.5"/>
    <n v="12"/>
    <n v="4805.1000000000004"/>
    <n v="0"/>
    <n v="44847.6"/>
    <x v="3"/>
    <s v="Express"/>
    <x v="0"/>
    <x v="3"/>
    <s v="Arjun Das"/>
    <s v="East"/>
    <s v="Vadodara"/>
    <s v="Gujarat"/>
    <x v="4"/>
    <s v="730149"/>
    <s v="Summer15"/>
    <n v="4"/>
    <s v="No"/>
    <s v="other"/>
    <s v="WH-09"/>
    <s v="Delhivery"/>
    <d v="2023-04-01T00:00:00"/>
    <x v="26"/>
    <d v="2023-04-08T00:00:00"/>
    <s v="hussaina@yahoo_co_in"/>
    <s v="6432921277"/>
  </r>
  <r>
    <x v="26"/>
    <s v="Kavita Reddy"/>
    <x v="0"/>
    <s v="Voltas 1.5T Ac"/>
    <x v="19"/>
    <x v="1"/>
    <s v="Air Conditioners"/>
    <n v="40760"/>
    <n v="3"/>
    <n v="122280"/>
    <n v="15"/>
    <x v="19"/>
    <n v="103938"/>
    <n v="5"/>
    <n v="5196.8999999999996"/>
    <n v="0"/>
    <n v="109134.9"/>
    <x v="4"/>
    <s v="Overnight"/>
    <x v="0"/>
    <x v="4"/>
    <s v="Raj Kumar"/>
    <s v="North"/>
    <s v="Mangaluru"/>
    <s v="Karnataka"/>
    <x v="2"/>
    <s v="798458"/>
    <s v="Diwali25"/>
    <n v="4"/>
    <s v="No"/>
    <s v="other"/>
    <s v="WH-10"/>
    <s v="Amazon Logistics"/>
    <d v="2023-04-03T00:00:00"/>
    <x v="27"/>
    <d v="2023-04-18T00:00:00"/>
    <s v="kavita_reddy@gmail_com"/>
    <s v="7037788925"/>
  </r>
  <r>
    <x v="27"/>
    <s v="Jyoti Narayan"/>
    <x v="0"/>
    <s v="Pepperfry Coffee Table"/>
    <x v="20"/>
    <x v="4"/>
    <s v="Tables"/>
    <n v="12560"/>
    <n v="2"/>
    <n v="25120"/>
    <n v="15"/>
    <x v="20"/>
    <n v="21352"/>
    <n v="5"/>
    <n v="1067.5999999999999"/>
    <n v="0"/>
    <n v="22419.599999999999"/>
    <x v="4"/>
    <s v="Overnight"/>
    <x v="1"/>
    <x v="1"/>
    <s v="Pooja Nair"/>
    <s v="South"/>
    <s v="Vadodara"/>
    <s v="Gujarat"/>
    <x v="4"/>
    <s v="750256"/>
    <s v="None"/>
    <n v="4"/>
    <s v="No"/>
    <s v="other"/>
    <s v="WH-12"/>
    <s v="Ekart"/>
    <d v="2024-02-06T00:00:00"/>
    <x v="28"/>
    <d v="2024-02-11T00:00:00"/>
    <s v="jyoti_narayan@yahoo_com"/>
    <s v="8214188805"/>
  </r>
  <r>
    <x v="28"/>
    <s v="Kunal Oberoi"/>
    <x v="0"/>
    <s v="Sony Wh-1000Xm5"/>
    <x v="1"/>
    <x v="0"/>
    <s v="Audio"/>
    <n v="29600"/>
    <n v="3"/>
    <n v="88800"/>
    <n v="0"/>
    <x v="2"/>
    <n v="88800"/>
    <n v="18"/>
    <n v="15984"/>
    <n v="0"/>
    <n v="104784"/>
    <x v="6"/>
    <s v="Express"/>
    <x v="0"/>
    <x v="3"/>
    <s v="Pooja Nair"/>
    <s v="South"/>
    <s v="Salem"/>
    <s v="Tamil Nadu"/>
    <x v="2"/>
    <s v="150164"/>
    <s v="Save10"/>
    <n v="4"/>
    <s v="No"/>
    <s v="other"/>
    <s v="WH-08"/>
    <s v="Ekart"/>
    <d v="2024-03-27T00:00:00"/>
    <x v="23"/>
    <d v="2024-04-06T00:00:00"/>
    <s v="koberoi@gmail_com"/>
    <s v="9478261375"/>
  </r>
  <r>
    <x v="29"/>
    <s v="Kunal Oberoi"/>
    <x v="0"/>
    <s v="Nike Air Max 270"/>
    <x v="21"/>
    <x v="2"/>
    <s v="Footwear"/>
    <n v="11770"/>
    <n v="1"/>
    <n v="11770"/>
    <n v="10"/>
    <x v="21"/>
    <n v="10593"/>
    <n v="12"/>
    <n v="1271.1600000000001"/>
    <n v="0"/>
    <n v="11864.16"/>
    <x v="4"/>
    <s v="Same Day"/>
    <x v="0"/>
    <x v="4"/>
    <s v="Anjali Mehta"/>
    <s v="South"/>
    <s v="Gaya"/>
    <s v="Bihar"/>
    <x v="1"/>
    <s v="155650"/>
    <s v="Newuser"/>
    <n v="4"/>
    <s v="No"/>
    <s v="other"/>
    <s v="WH-06"/>
    <s v="Delhivery"/>
    <d v="2023-03-23T00:00:00"/>
    <x v="29"/>
    <d v="2023-03-30T00:00:00"/>
    <s v="kunal_oberoi@gmail_com"/>
    <s v="8893246095"/>
  </r>
  <r>
    <x v="24"/>
    <s v="Arun  Das"/>
    <x v="0"/>
    <s v="Godrej 236L Fridge"/>
    <x v="14"/>
    <x v="1"/>
    <s v="Refrigerators"/>
    <n v="21430"/>
    <n v="2"/>
    <n v="42860"/>
    <n v="10"/>
    <x v="22"/>
    <n v="38574"/>
    <n v="5"/>
    <n v="1928.7"/>
    <n v="0"/>
    <n v="40502.699999999997"/>
    <x v="1"/>
    <s v="Economy"/>
    <x v="3"/>
    <x v="2"/>
    <s v="Aman Bhatia"/>
    <s v="West"/>
    <s v="Udaipur"/>
    <s v="Rajasthan"/>
    <x v="0"/>
    <s v="631692"/>
    <s v="None"/>
    <n v="4"/>
    <s v="No"/>
    <s v="other"/>
    <s v="WH-09"/>
    <s v="Delhivery"/>
    <d v="2023-04-17T00:00:00"/>
    <x v="30"/>
    <d v="2023-03-30T00:00:00"/>
    <s v="arund@rediffmail_com"/>
    <s v="7486874034"/>
  </r>
  <r>
    <x v="30"/>
    <s v="Vijay Pillai"/>
    <x v="1"/>
    <s v="Milton Water Purifier"/>
    <x v="22"/>
    <x v="1"/>
    <s v="Kitchen"/>
    <n v="10260"/>
    <n v="1"/>
    <n v="10260"/>
    <n v="5"/>
    <x v="23"/>
    <n v="9747"/>
    <n v="5"/>
    <n v="487.35"/>
    <n v="0"/>
    <n v="10234.35"/>
    <x v="5"/>
    <s v="Express"/>
    <x v="1"/>
    <x v="2"/>
    <s v="Vinay Joshi"/>
    <s v="Central"/>
    <s v="Patna"/>
    <s v="Bihar"/>
    <x v="1"/>
    <s v="494775"/>
    <s v="Diwali25"/>
    <n v="3"/>
    <s v="No"/>
    <s v="other"/>
    <s v="WH-11"/>
    <s v="Delhivery"/>
    <d v="2023-07-04T00:00:00"/>
    <x v="31"/>
    <d v="2023-07-15T00:00:00"/>
    <s v="vijay_pillai@gmail_com"/>
    <s v="9582029702"/>
  </r>
  <r>
    <x v="31"/>
    <s v="Zubair Khan"/>
    <x v="3"/>
    <s v="Boat Rockerz 450"/>
    <x v="8"/>
    <x v="0"/>
    <s v="Audio"/>
    <n v="1490"/>
    <n v="1"/>
    <n v="1490"/>
    <n v="25"/>
    <x v="24"/>
    <n v="1117.5"/>
    <n v="18"/>
    <n v="201.15"/>
    <n v="99"/>
    <n v="1318.65"/>
    <x v="5"/>
    <s v="Express"/>
    <x v="1"/>
    <x v="1"/>
    <s v="Deepa Menon"/>
    <s v="South"/>
    <s v="Thrissur"/>
    <s v="Kerala"/>
    <x v="2"/>
    <s v="527501"/>
    <s v="Summer15"/>
    <n v="5"/>
    <s v="No"/>
    <s v="other"/>
    <s v="WH-12"/>
    <s v="Bluedart"/>
    <d v="2024-02-01T00:00:00"/>
    <x v="32"/>
    <d v="2024-02-09T00:00:00"/>
    <s v="zkhan@gmail_com"/>
    <s v="9884422583"/>
  </r>
  <r>
    <x v="32"/>
    <s v="Bhavani Shankar"/>
    <x v="0"/>
    <s v="Dell Xps 15 Laptop"/>
    <x v="23"/>
    <x v="0"/>
    <s v="Laptops"/>
    <n v="132560"/>
    <n v="2"/>
    <n v="265120"/>
    <n v="15"/>
    <x v="25"/>
    <n v="225352"/>
    <n v="18"/>
    <n v="40563.360000000001"/>
    <n v="0"/>
    <n v="265915.36"/>
    <x v="0"/>
    <s v="Express"/>
    <x v="1"/>
    <x v="2"/>
    <s v="Arjun Das"/>
    <s v="East"/>
    <s v="Ghaziabad"/>
    <s v="Uttar Pradesh"/>
    <x v="0"/>
    <s v="157671"/>
    <s v="None"/>
    <n v="5"/>
    <s v="No"/>
    <s v="other"/>
    <s v="WH-10"/>
    <s v="Delhivery"/>
    <d v="2023-03-17T00:00:00"/>
    <x v="33"/>
    <d v="2023-03-30T00:00:00"/>
    <s v="bhavanis@yahoo_com"/>
    <s v="9414384249"/>
  </r>
  <r>
    <x v="33"/>
    <s v="Hussain Ali"/>
    <x v="0"/>
    <s v="Durian Sofa 3-Seat"/>
    <x v="24"/>
    <x v="4"/>
    <s v="Sofas"/>
    <n v="46330"/>
    <n v="5"/>
    <n v="231650"/>
    <n v="0"/>
    <x v="2"/>
    <n v="231650"/>
    <n v="5"/>
    <n v="11582.5"/>
    <n v="0"/>
    <n v="243232.5"/>
    <x v="2"/>
    <s v="Express"/>
    <x v="0"/>
    <x v="2"/>
    <s v="Karim Sheikh"/>
    <s v="North"/>
    <s v="Pune"/>
    <s v="Maharashtra"/>
    <x v="4"/>
    <s v="277083"/>
    <s v="None"/>
    <n v="4"/>
    <s v="No"/>
    <s v="other"/>
    <s v="WH-09"/>
    <s v="Bluedart"/>
    <d v="2023-10-24T00:00:00"/>
    <x v="34"/>
    <d v="2023-11-05T00:00:00"/>
    <s v="hali@yahoo_co_in"/>
    <s v="6588153714"/>
  </r>
  <r>
    <x v="34"/>
    <s v="Amit Kumar"/>
    <x v="1"/>
    <s v="Hp Pavilion 15"/>
    <x v="0"/>
    <x v="0"/>
    <s v="Laptops"/>
    <n v="59830"/>
    <n v="1"/>
    <n v="59830"/>
    <n v="10"/>
    <x v="26"/>
    <n v="53847"/>
    <n v="18"/>
    <n v="9692.4599999999991"/>
    <n v="0"/>
    <n v="63539.46"/>
    <x v="1"/>
    <s v="Economy"/>
    <x v="3"/>
    <x v="3"/>
    <s v="Deepa Menon"/>
    <s v="South"/>
    <s v="Warangal"/>
    <s v="Telangana"/>
    <x v="2"/>
    <s v="530885"/>
    <s v="None"/>
    <n v="4"/>
    <s v="No"/>
    <s v="other"/>
    <s v="WH-01"/>
    <s v="Delhivery"/>
    <d v="2024-04-13T00:00:00"/>
    <x v="35"/>
    <d v="2024-04-20T00:00:00"/>
    <s v="amit_kumar@hotmail_com"/>
    <s v="7835841687"/>
  </r>
  <r>
    <x v="35"/>
    <s v="Arjun Nair"/>
    <x v="1"/>
    <s v="Adidas Ultraboost 22"/>
    <x v="18"/>
    <x v="2"/>
    <s v="Footwear"/>
    <n v="13760"/>
    <n v="2"/>
    <n v="27520"/>
    <n v="10"/>
    <x v="27"/>
    <n v="24768"/>
    <n v="12"/>
    <n v="2972.16"/>
    <n v="0"/>
    <n v="27740.16"/>
    <x v="6"/>
    <s v="Same Day"/>
    <x v="3"/>
    <x v="0"/>
    <s v="Ankit Sharma"/>
    <s v="North"/>
    <s v="Agra"/>
    <s v="Uttar Pradesh"/>
    <x v="0"/>
    <s v="543021"/>
    <s v="None"/>
    <n v="4"/>
    <s v="No"/>
    <s v="other"/>
    <s v="WH-07"/>
    <s v="Dtdc"/>
    <d v="2024-11-06T00:00:00"/>
    <x v="36"/>
    <d v="2024-06-20T00:00:00"/>
    <s v="arjun_nair@gmail_com"/>
    <s v="8974993097"/>
  </r>
  <r>
    <x v="36"/>
    <s v="Yeswanth Reddy"/>
    <x v="0"/>
    <s v="Realme Gt 5"/>
    <x v="25"/>
    <x v="0"/>
    <s v="Mobile Phones"/>
    <n v="28110"/>
    <n v="4"/>
    <n v="112440"/>
    <n v="5"/>
    <x v="28"/>
    <n v="106818"/>
    <n v="18"/>
    <n v="19227.240000000002"/>
    <n v="0"/>
    <n v="126045.24"/>
    <x v="6"/>
    <s v="Same Day"/>
    <x v="0"/>
    <x v="0"/>
    <s v="Priya Sinha"/>
    <s v="West"/>
    <s v="Rajkot"/>
    <s v="Gujarat"/>
    <x v="4"/>
    <s v="573865"/>
    <s v="Diwali25"/>
    <n v="4"/>
    <s v="No"/>
    <s v="other"/>
    <s v="WH-12"/>
    <s v="Bluedart"/>
    <d v="2024-06-15T00:00:00"/>
    <x v="37"/>
    <d v="2024-06-27T00:00:00"/>
    <s v="yeswanthr@yahoo_co_in"/>
    <s v="7344375758"/>
  </r>
  <r>
    <x v="37"/>
    <s v="Harish Malhotra"/>
    <x v="3"/>
    <s v="Titan Raga"/>
    <x v="26"/>
    <x v="2"/>
    <s v="Accessories"/>
    <n v="29347.846790890268"/>
    <n v="4"/>
    <n v="117391.38716356107"/>
    <n v="10"/>
    <x v="29"/>
    <n v="32544"/>
    <n v="12"/>
    <n v="3905.28"/>
    <n v="0"/>
    <n v="36449.279999999999"/>
    <x v="5"/>
    <s v="Same Day"/>
    <x v="0"/>
    <x v="2"/>
    <s v="Neha Kulkarni"/>
    <s v="West"/>
    <s v="Vadodara"/>
    <s v="Gujarat"/>
    <x v="4"/>
    <s v="422887"/>
    <s v="Festive20"/>
    <n v="4"/>
    <s v="No"/>
    <s v="other"/>
    <s v="WH-02"/>
    <s v="Amazon Logistics"/>
    <d v="2023-05-21T00:00:00"/>
    <x v="38"/>
    <d v="2023-05-27T00:00:00"/>
    <s v="harish_malhotra@gmail_com"/>
    <s v="8454019380"/>
  </r>
  <r>
    <x v="38"/>
    <s v="Kannappan Ponnusamy"/>
    <x v="3"/>
    <s v="Fastrack Watch"/>
    <x v="6"/>
    <x v="2"/>
    <s v="Accessories"/>
    <n v="2340"/>
    <n v="1"/>
    <n v="2340"/>
    <n v="0"/>
    <x v="2"/>
    <n v="2340"/>
    <n v="12"/>
    <n v="280.8"/>
    <n v="149"/>
    <n v="2620.8000000000002"/>
    <x v="1"/>
    <s v="Express"/>
    <x v="1"/>
    <x v="1"/>
    <s v="Karim Sheikh"/>
    <s v="North"/>
    <s v="Howrah"/>
    <s v="West Bengal"/>
    <x v="1"/>
    <s v="535111"/>
    <s v="Diwali25"/>
    <n v="5"/>
    <s v="No"/>
    <s v="other"/>
    <s v="WH-12"/>
    <s v="Ekart"/>
    <d v="2023-05-18T00:00:00"/>
    <x v="39"/>
    <d v="2023-06-04T00:00:00"/>
    <s v="kannappan_ponnusamy@gmail_com"/>
    <s v="6612275304"/>
  </r>
  <r>
    <x v="39"/>
    <s v="Archana Srivastava"/>
    <x v="1"/>
    <s v="Voltas 1.5T Ac"/>
    <x v="19"/>
    <x v="1"/>
    <s v="Air Conditioners"/>
    <n v="38640"/>
    <n v="4"/>
    <n v="154560"/>
    <n v="5"/>
    <x v="30"/>
    <n v="146832"/>
    <n v="5"/>
    <n v="7341.6"/>
    <n v="0"/>
    <n v="154173.6"/>
    <x v="5"/>
    <s v="Overnight"/>
    <x v="0"/>
    <x v="4"/>
    <s v="Suraj Verma"/>
    <s v="East"/>
    <s v="Gaya"/>
    <s v="Bihar"/>
    <x v="1"/>
    <s v="433140"/>
    <s v="Flat500"/>
    <n v="4"/>
    <s v="No"/>
    <s v="other"/>
    <s v="WH-07"/>
    <s v="Delhivery"/>
    <d v="2023-08-13T00:00:00"/>
    <x v="40"/>
    <d v="2023-08-24T00:00:00"/>
    <s v="srivastava_archana@gmail_com"/>
    <s v="9839822587"/>
  </r>
  <r>
    <x v="13"/>
    <s v="Chandra Sekar"/>
    <x v="2"/>
    <s v="Dell Xps 15 Laptop"/>
    <x v="23"/>
    <x v="0"/>
    <s v="Laptops"/>
    <n v="132880"/>
    <n v="1"/>
    <n v="132880"/>
    <n v="25"/>
    <x v="31"/>
    <n v="99660"/>
    <n v="18"/>
    <n v="17938.8"/>
    <n v="0"/>
    <n v="117598.8"/>
    <x v="3"/>
    <s v="Economy"/>
    <x v="0"/>
    <x v="4"/>
    <s v="Sneha Reddy"/>
    <s v="South"/>
    <s v="Nagpur"/>
    <s v="Maharashtra"/>
    <x v="4"/>
    <s v="228327"/>
    <s v="Summer15"/>
    <n v="4"/>
    <s v="Yes"/>
    <s v="other"/>
    <s v="WH-10"/>
    <s v="Ekart"/>
    <d v="2023-12-19T00:00:00"/>
    <x v="41"/>
    <d v="2023-12-28T00:00:00"/>
    <s v="chandra_sekar@gmail_com"/>
    <s v="9251286823"/>
  </r>
  <r>
    <x v="40"/>
    <s v="Prakash Dubey"/>
    <x v="0"/>
    <s v="Jbl Flip 6"/>
    <x v="27"/>
    <x v="0"/>
    <s v="Audio"/>
    <n v="9900"/>
    <n v="1"/>
    <n v="9900"/>
    <n v="10"/>
    <x v="32"/>
    <n v="8910"/>
    <n v="18"/>
    <n v="1603.8"/>
    <n v="0"/>
    <n v="10513.8"/>
    <x v="4"/>
    <s v="Standard"/>
    <x v="2"/>
    <x v="4"/>
    <s v="Raj Kumar"/>
    <s v="North"/>
    <s v="Delhi"/>
    <s v="Delhi"/>
    <x v="0"/>
    <s v="362674"/>
    <s v="None"/>
    <n v="5"/>
    <s v="No"/>
    <s v="other"/>
    <s v="WH-05"/>
    <s v="Amazon Logistics"/>
    <d v="2023-02-04T00:00:00"/>
    <x v="42"/>
    <d v="2023-02-10T00:00:00"/>
    <s v="pdubey@rediffmail_com"/>
    <s v="6836440892"/>
  </r>
  <r>
    <x v="41"/>
    <s v="Kavita Reddy"/>
    <x v="0"/>
    <s v="Titan Raga"/>
    <x v="26"/>
    <x v="2"/>
    <s v="Accessories"/>
    <n v="9210"/>
    <n v="1"/>
    <n v="9210"/>
    <n v="20"/>
    <x v="33"/>
    <n v="7368"/>
    <n v="12"/>
    <n v="884.16"/>
    <n v="0"/>
    <n v="8252.16"/>
    <x v="2"/>
    <s v="Overnight"/>
    <x v="3"/>
    <x v="4"/>
    <s v="Sneha Reddy"/>
    <s v="South"/>
    <s v="Visakhapatnam"/>
    <s v="Andhra Pradesh"/>
    <x v="2"/>
    <s v="602297"/>
    <s v="Save10"/>
    <n v="1"/>
    <s v="No"/>
    <s v="other"/>
    <s v="WH-06"/>
    <s v="Amazon Logistics"/>
    <d v="2024-06-26T00:00:00"/>
    <x v="43"/>
    <d v="2024-07-06T00:00:00"/>
    <s v="reddy_kavita@gmail_com"/>
    <s v="8540331739"/>
  </r>
  <r>
    <x v="42"/>
    <s v="Meena Iyer"/>
    <x v="1"/>
    <s v="Wildcraft Backpack"/>
    <x v="28"/>
    <x v="2"/>
    <s v="Bags"/>
    <n v="2070"/>
    <n v="3"/>
    <n v="6210"/>
    <n v="0"/>
    <x v="2"/>
    <n v="6210"/>
    <n v="12"/>
    <n v="745.2"/>
    <n v="0"/>
    <n v="6955.2"/>
    <x v="0"/>
    <s v="Economy"/>
    <x v="0"/>
    <x v="0"/>
    <s v="Aman Bhatia"/>
    <s v="West"/>
    <s v="Jodhpur"/>
    <s v="Rajasthan"/>
    <x v="0"/>
    <s v="756468"/>
    <s v="Flat500"/>
    <n v="4"/>
    <s v="No"/>
    <s v="other"/>
    <s v="WH-11"/>
    <s v="Bluedart"/>
    <d v="2023-05-30T00:00:00"/>
    <x v="44"/>
    <d v="2023-06-06T00:00:00"/>
    <s v="meena_iyer@gmail_com"/>
    <s v="9228728080"/>
  </r>
  <r>
    <x v="33"/>
    <s v="Chirag Desai"/>
    <x v="0"/>
    <s v="Iphone 15 Pro"/>
    <x v="13"/>
    <x v="0"/>
    <s v="Mobile Phones"/>
    <n v="92510"/>
    <n v="5"/>
    <n v="462550"/>
    <n v="15"/>
    <x v="34"/>
    <n v="393167.5"/>
    <n v="18"/>
    <n v="70770.149999999994"/>
    <n v="0"/>
    <n v="463937.65"/>
    <x v="2"/>
    <s v="Standard"/>
    <x v="4"/>
    <x v="0"/>
    <s v="Deepa Menon"/>
    <s v="South"/>
    <s v="Pune"/>
    <s v="Maharashtra"/>
    <x v="4"/>
    <s v="154619"/>
    <s v="Summer15"/>
    <n v="4"/>
    <s v="Yes"/>
    <s v="other"/>
    <s v="WH-05"/>
    <s v="Delhivery"/>
    <d v="2023-10-09T00:00:00"/>
    <x v="45"/>
    <d v="2023-10-20T00:00:00"/>
    <s v="chirag_desai@gmail_com"/>
    <s v="6793341016"/>
  </r>
  <r>
    <x v="43"/>
    <s v="Jayalakshmi Kumar"/>
    <x v="0"/>
    <s v="Wildcraft Backpack"/>
    <x v="28"/>
    <x v="2"/>
    <s v="Bags"/>
    <n v="1890"/>
    <n v="1"/>
    <n v="1890"/>
    <n v="15"/>
    <x v="35"/>
    <n v="1606.5"/>
    <n v="12"/>
    <n v="192.78"/>
    <n v="149"/>
    <n v="1799.28"/>
    <x v="3"/>
    <s v="Express"/>
    <x v="4"/>
    <x v="0"/>
    <s v="Anjali Mehta"/>
    <s v="South"/>
    <s v="Ahmedabad"/>
    <s v="Gujarat"/>
    <x v="4"/>
    <s v="758666"/>
    <s v="Flat500"/>
    <n v="4"/>
    <s v="Yes"/>
    <s v="Late Delivery"/>
    <s v="WH-12"/>
    <s v="Delhivery"/>
    <d v="2023-07-03T00:00:00"/>
    <x v="46"/>
    <d v="2023-07-17T00:00:00"/>
    <s v="jayalakshmik@gmail_com"/>
    <s v="6850163159"/>
  </r>
  <r>
    <x v="44"/>
    <s v="Uma Shankar"/>
    <x v="0"/>
    <s v="Durian Sofa 3-Seat"/>
    <x v="24"/>
    <x v="4"/>
    <s v="Sofas"/>
    <n v="43620"/>
    <n v="1"/>
    <n v="43620"/>
    <n v="5"/>
    <x v="36"/>
    <n v="41439"/>
    <n v="5"/>
    <n v="2071.9499999999998"/>
    <n v="0"/>
    <n v="43510.95"/>
    <x v="0"/>
    <s v="Standard"/>
    <x v="0"/>
    <x v="4"/>
    <s v="Aman Bhatia"/>
    <s v="West"/>
    <s v="Agra"/>
    <s v="Uttar Pradesh"/>
    <x v="0"/>
    <s v="765396"/>
    <s v="None"/>
    <n v="3"/>
    <s v="No"/>
    <s v="other"/>
    <s v="WH-10"/>
    <s v="Delhivery"/>
    <d v="2024-02-03T00:00:00"/>
    <x v="46"/>
    <d v="2024-02-13T00:00:00"/>
    <s v="shankar_uma@gmail_com"/>
    <s v="8046618398"/>
  </r>
  <r>
    <x v="45"/>
    <s v="Rahul Sharma"/>
    <x v="0"/>
    <s v="Prestige Induction"/>
    <x v="29"/>
    <x v="1"/>
    <s v="Kitchen"/>
    <n v="3680"/>
    <n v="2"/>
    <n v="7360"/>
    <n v="10"/>
    <x v="37"/>
    <n v="6624"/>
    <n v="5"/>
    <n v="331.2"/>
    <n v="0"/>
    <n v="6955.2"/>
    <x v="3"/>
    <s v="Same Day"/>
    <x v="1"/>
    <x v="0"/>
    <s v="Vinay Joshi"/>
    <s v="Central"/>
    <s v="Coimbatore"/>
    <s v="Tamil Nadu"/>
    <x v="2"/>
    <s v="633558"/>
    <s v="Flat500"/>
    <n v="4"/>
    <s v="No"/>
    <s v="other"/>
    <s v="WH-05"/>
    <s v="Delhivery"/>
    <d v="2024-01-25T00:00:00"/>
    <x v="19"/>
    <d v="2024-02-08T00:00:00"/>
    <s v="sharma_rahul@gmail_com"/>
    <s v="8646519398"/>
  </r>
  <r>
    <x v="46"/>
    <s v="Jayesh Vora"/>
    <x v="0"/>
    <s v="Daikin 1.5T Inverter"/>
    <x v="30"/>
    <x v="1"/>
    <s v="Air Conditioners"/>
    <n v="48720"/>
    <n v="8"/>
    <n v="389760"/>
    <n v="5"/>
    <x v="38"/>
    <n v="370272"/>
    <n v="5"/>
    <n v="18513.599999999999"/>
    <n v="0"/>
    <n v="388785.6"/>
    <x v="3"/>
    <s v="Overnight"/>
    <x v="0"/>
    <x v="0"/>
    <s v="Karim Sheikh"/>
    <s v="North"/>
    <s v="Delhi"/>
    <s v="Delhi"/>
    <x v="0"/>
    <s v="258558"/>
    <s v="None"/>
    <n v="5"/>
    <s v="No"/>
    <s v="other"/>
    <s v="WH-06"/>
    <s v="Bluedart"/>
    <d v="2024-05-05T00:00:00"/>
    <x v="47"/>
    <d v="2024-05-18T00:00:00"/>
    <s v="vora_jayesh@rediffmail_com"/>
    <s v="8561014388"/>
  </r>
  <r>
    <x v="47"/>
    <s v="Girish More"/>
    <x v="3"/>
    <s v="Puma Softride"/>
    <x v="31"/>
    <x v="2"/>
    <s v="Footwear"/>
    <n v="4690"/>
    <n v="5"/>
    <n v="23450"/>
    <n v="15"/>
    <x v="39"/>
    <n v="19932.5"/>
    <n v="12"/>
    <n v="2391.9"/>
    <n v="0"/>
    <n v="22324.400000000001"/>
    <x v="1"/>
    <s v="Express"/>
    <x v="1"/>
    <x v="4"/>
    <s v="Karim Sheikh"/>
    <s v="North"/>
    <s v="Noida"/>
    <s v="Uttar Pradesh"/>
    <x v="0"/>
    <s v="663350"/>
    <s v="None"/>
    <n v="4"/>
    <s v="No"/>
    <s v="other"/>
    <s v="WH-06"/>
    <s v="Dtdc"/>
    <d v="2024-04-08T00:00:00"/>
    <x v="48"/>
    <d v="2024-04-14T00:00:00"/>
    <s v="girishm@gmail_com"/>
    <s v="8609379660"/>
  </r>
  <r>
    <x v="48"/>
    <s v="Mohan Tiwari"/>
    <x v="3"/>
    <s v="Godrej 236L Fridge"/>
    <x v="14"/>
    <x v="1"/>
    <s v="Refrigerators"/>
    <n v="21290"/>
    <n v="4"/>
    <n v="85160"/>
    <n v="10"/>
    <x v="40"/>
    <n v="76644"/>
    <n v="5"/>
    <n v="3832.2"/>
    <n v="0"/>
    <n v="80476.2"/>
    <x v="0"/>
    <s v="Same Day"/>
    <x v="0"/>
    <x v="1"/>
    <s v="Vinay Joshi"/>
    <s v="Central"/>
    <s v="Madurai"/>
    <s v="Tamil Nadu"/>
    <x v="2"/>
    <s v="575413"/>
    <s v="Flat500"/>
    <n v="2"/>
    <s v="No"/>
    <s v="other"/>
    <s v="WH-02"/>
    <s v="Dtdc"/>
    <d v="2024-04-13T00:00:00"/>
    <x v="49"/>
    <d v="2024-04-22T00:00:00"/>
    <s v="mohan_tiwari@gmail_com"/>
    <s v="6828274225"/>
  </r>
  <r>
    <x v="49"/>
    <s v="Archana Srivastava"/>
    <x v="1"/>
    <s v="Oneplus 12"/>
    <x v="32"/>
    <x v="0"/>
    <s v="Mobile Phones"/>
    <n v="64950"/>
    <n v="5"/>
    <n v="324750"/>
    <n v="10"/>
    <x v="41"/>
    <n v="292275"/>
    <n v="18"/>
    <n v="52609.5"/>
    <n v="0"/>
    <n v="344884.5"/>
    <x v="3"/>
    <s v="Overnight"/>
    <x v="1"/>
    <x v="3"/>
    <s v="Suraj Verma"/>
    <s v="East"/>
    <s v="Mysuru"/>
    <s v="Karnataka"/>
    <x v="2"/>
    <s v="416850"/>
    <s v="None"/>
    <n v="5"/>
    <s v="No"/>
    <s v="other"/>
    <s v="WH-05"/>
    <s v="India Post"/>
    <d v="2023-10-23T00:00:00"/>
    <x v="50"/>
    <d v="2023-11-03T00:00:00"/>
    <s v="archanas@gmail_com"/>
    <s v="7745171339"/>
  </r>
  <r>
    <x v="50"/>
    <s v="Suresh Gupta"/>
    <x v="0"/>
    <s v="Lg 43-Inch 4K Tv"/>
    <x v="33"/>
    <x v="0"/>
    <s v="Televisions"/>
    <n v="44460"/>
    <n v="1"/>
    <n v="44460"/>
    <n v="0"/>
    <x v="2"/>
    <n v="44460"/>
    <n v="18"/>
    <n v="8002.8"/>
    <n v="0"/>
    <n v="52462.8"/>
    <x v="4"/>
    <s v="Express"/>
    <x v="1"/>
    <x v="2"/>
    <s v="Ritu Singh"/>
    <s v="Central"/>
    <s v="Jabalpur"/>
    <s v="Madhya Pradesh"/>
    <x v="3"/>
    <s v="160761"/>
    <s v="None"/>
    <n v="4"/>
    <s v="No"/>
    <s v="other"/>
    <s v="WH-11"/>
    <s v="Ekart"/>
    <d v="2024-02-26T00:00:00"/>
    <x v="51"/>
    <d v="2024-04-03T00:00:00"/>
    <s v="suresh_gupta@gmail_com"/>
    <s v="9577590175"/>
  </r>
  <r>
    <x v="51"/>
    <s v="Sanjay Mishra"/>
    <x v="0"/>
    <s v="Nike Air Max 270"/>
    <x v="21"/>
    <x v="2"/>
    <s v="Footwear"/>
    <n v="11650"/>
    <n v="2"/>
    <n v="23300"/>
    <n v="20"/>
    <x v="42"/>
    <n v="18640"/>
    <n v="12"/>
    <n v="2236.8000000000002"/>
    <n v="0"/>
    <n v="20876.8"/>
    <x v="3"/>
    <s v="Same Day"/>
    <x v="0"/>
    <x v="1"/>
    <s v="Anjali Mehta"/>
    <s v="South"/>
    <s v="Thiruvananthapuram"/>
    <s v="Kerala"/>
    <x v="2"/>
    <s v="423792"/>
    <s v="Diwali25"/>
    <n v="4"/>
    <s v="No"/>
    <s v="other"/>
    <s v="WH-03"/>
    <s v="Dtdc"/>
    <d v="2024-03-14T00:00:00"/>
    <x v="52"/>
    <d v="2024-03-20T00:00:00"/>
    <s v="sanjay_mishra@gmail_com"/>
    <s v="90371 29387"/>
  </r>
  <r>
    <x v="52"/>
    <s v="Anand Swaminathan"/>
    <x v="0"/>
    <s v="Iphone 15 Pro"/>
    <x v="13"/>
    <x v="0"/>
    <s v="Mobile Phones"/>
    <n v="84980"/>
    <n v="3"/>
    <n v="254940"/>
    <n v="5"/>
    <x v="43"/>
    <n v="242193"/>
    <n v="18"/>
    <n v="43594.74"/>
    <n v="0"/>
    <n v="285787.74"/>
    <x v="4"/>
    <s v="Express"/>
    <x v="1"/>
    <x v="1"/>
    <s v="Pooja Nair"/>
    <s v="South"/>
    <s v="Gaya"/>
    <s v="Bihar"/>
    <x v="1"/>
    <s v="488639"/>
    <s v="Festive20"/>
    <n v="4"/>
    <s v="No"/>
    <s v="other"/>
    <s v="WH-03"/>
    <s v="Bluedart"/>
    <d v="2023-06-18T00:00:00"/>
    <x v="53"/>
    <d v="2023-06-29T00:00:00"/>
    <s v="anands@gmail_com"/>
    <s v="8389994043"/>
  </r>
  <r>
    <x v="53"/>
    <s v="Parvati Devi"/>
    <x v="0"/>
    <s v="Boat Rockerz 450"/>
    <x v="8"/>
    <x v="0"/>
    <s v="Audio"/>
    <n v="1600"/>
    <n v="1"/>
    <n v="1600"/>
    <n v="20"/>
    <x v="44"/>
    <n v="1280"/>
    <n v="18"/>
    <n v="230.4"/>
    <n v="149"/>
    <n v="1510.4"/>
    <x v="1"/>
    <s v="Overnight"/>
    <x v="0"/>
    <x v="2"/>
    <s v="Karim Sheikh"/>
    <s v="North"/>
    <s v="Jabalpur"/>
    <s v="Madhya Pradesh"/>
    <x v="3"/>
    <s v="473547"/>
    <s v="None"/>
    <n v="4"/>
    <s v="No"/>
    <s v="other"/>
    <s v="WH-12"/>
    <s v="Delhivery"/>
    <d v="2023-03-16T00:00:00"/>
    <x v="5"/>
    <d v="2023-03-20T00:00:00"/>
    <s v="devi_parvati@gmail_com"/>
    <s v="885691463"/>
  </r>
  <r>
    <x v="54"/>
    <s v="Harish Malhotra"/>
    <x v="3"/>
    <s v="Camlin Art Kit"/>
    <x v="34"/>
    <x v="3"/>
    <s v="Art Supplies"/>
    <n v="620"/>
    <n v="1"/>
    <n v="620"/>
    <n v="10"/>
    <x v="45"/>
    <n v="558"/>
    <n v="5"/>
    <n v="27.9"/>
    <n v="49"/>
    <n v="585.9"/>
    <x v="6"/>
    <s v="Same Day"/>
    <x v="0"/>
    <x v="1"/>
    <s v="Ritu Singh"/>
    <s v="Central"/>
    <s v="Faridabad"/>
    <s v="Haryana"/>
    <x v="0"/>
    <s v="500918"/>
    <s v="None"/>
    <n v="5"/>
    <s v="No"/>
    <s v="other"/>
    <s v="WH-11"/>
    <s v="Amazon Logistics"/>
    <d v="2023-01-31T00:00:00"/>
    <x v="54"/>
    <d v="2023-02-11T00:00:00"/>
    <s v="harish_malhotra@gmail_com"/>
    <s v="8000307562"/>
  </r>
  <r>
    <x v="55"/>
    <s v="Hina Shah"/>
    <x v="2"/>
    <s v="Dell Xps 15 Laptop"/>
    <x v="23"/>
    <x v="0"/>
    <s v="Laptops"/>
    <n v="115160"/>
    <n v="3"/>
    <n v="345480"/>
    <n v="0"/>
    <x v="2"/>
    <n v="345480"/>
    <n v="18"/>
    <n v="62186.400000000001"/>
    <n v="0"/>
    <n v="407666.4"/>
    <x v="3"/>
    <s v="Overnight"/>
    <x v="1"/>
    <x v="4"/>
    <s v="Vinay Joshi"/>
    <s v="Central"/>
    <s v="Thiruvananthapuram"/>
    <s v="Kerala"/>
    <x v="2"/>
    <s v="500587"/>
    <s v="None"/>
    <n v="3"/>
    <s v="Yes"/>
    <s v="Wrong Item"/>
    <s v="WH-10"/>
    <s v="Delhivery"/>
    <d v="2023-10-17T00:00:00"/>
    <x v="55"/>
    <d v="2023-10-30T00:00:00"/>
    <s v="hinas@yahoo_com"/>
    <s v="9038505064"/>
  </r>
  <r>
    <x v="56"/>
    <s v="Nisha Jain"/>
    <x v="3"/>
    <s v="Lavie Handbag"/>
    <x v="12"/>
    <x v="2"/>
    <s v="Bags"/>
    <n v="2720"/>
    <n v="1"/>
    <n v="2720"/>
    <n v="15"/>
    <x v="46"/>
    <n v="2312"/>
    <n v="12"/>
    <n v="277.44"/>
    <n v="99"/>
    <n v="2589.44"/>
    <x v="3"/>
    <s v="Express"/>
    <x v="0"/>
    <x v="1"/>
    <s v="Anjali Mehta"/>
    <s v="South"/>
    <s v="Bhubaneswar"/>
    <s v="Odisha"/>
    <x v="1"/>
    <s v="584168"/>
    <s v="Flat500"/>
    <n v="4"/>
    <s v="No"/>
    <s v="other"/>
    <s v="WH-09"/>
    <s v="Delhivery"/>
    <d v="2024-03-21T00:00:00"/>
    <x v="56"/>
    <d v="2024-03-31T00:00:00"/>
    <s v="nisha_jain@gmail_com"/>
    <s v="9747411249"/>
  </r>
  <r>
    <x v="57"/>
    <s v="Lalita Shah"/>
    <x v="3"/>
    <s v="Iphone 15 Pro"/>
    <x v="13"/>
    <x v="0"/>
    <s v="Mobile Phones"/>
    <n v="91880"/>
    <n v="2"/>
    <n v="183760"/>
    <n v="10"/>
    <x v="47"/>
    <n v="165384"/>
    <n v="18"/>
    <n v="29769.119999999999"/>
    <n v="0"/>
    <n v="195153.12"/>
    <x v="3"/>
    <s v="Standard"/>
    <x v="1"/>
    <x v="1"/>
    <s v="Vinay Joshi"/>
    <s v="Central"/>
    <s v="Nashik"/>
    <s v="Maharashtra"/>
    <x v="4"/>
    <s v="201983"/>
    <s v="Festive20"/>
    <n v="4"/>
    <s v="No"/>
    <s v="other"/>
    <s v="WH-03"/>
    <s v="Bluedart"/>
    <d v="2023-08-16T00:00:00"/>
    <x v="57"/>
    <d v="2023-08-23T00:00:00"/>
    <s v="lalita_shahyahoo_com"/>
    <s v="8029667066"/>
  </r>
  <r>
    <x v="58"/>
    <s v="Jayalakshmi Kumar"/>
    <x v="2"/>
    <s v="Samsung Galaxy S24"/>
    <x v="2"/>
    <x v="0"/>
    <s v="Mobile Phones"/>
    <n v="75790"/>
    <n v="2"/>
    <n v="151580"/>
    <n v="5"/>
    <x v="48"/>
    <n v="144001"/>
    <n v="18"/>
    <n v="25920.18"/>
    <n v="0"/>
    <n v="169921.18"/>
    <x v="2"/>
    <s v="Same Day"/>
    <x v="0"/>
    <x v="0"/>
    <s v="Ritu Singh"/>
    <s v="Central"/>
    <s v="Hyderabad"/>
    <s v="Telangana"/>
    <x v="2"/>
    <s v="259006"/>
    <s v="Flat500"/>
    <n v="4"/>
    <s v="No"/>
    <s v="other"/>
    <s v="WH-04"/>
    <s v="Ekart"/>
    <d v="2024-01-03T00:00:00"/>
    <x v="58"/>
    <d v="2024-01-17T00:00:00"/>
    <s v="kumar_jayalakshmi@gmail_com"/>
    <s v="7133480396"/>
  </r>
  <r>
    <x v="59"/>
    <s v="Jayalakshmi Kumar"/>
    <x v="1"/>
    <s v="Whirlpool 7Kg Washer"/>
    <x v="35"/>
    <x v="1"/>
    <s v="Washing Machines"/>
    <n v="32140"/>
    <n v="1"/>
    <n v="32140"/>
    <n v="0"/>
    <x v="2"/>
    <n v="32140"/>
    <n v="5"/>
    <n v="1607"/>
    <n v="0"/>
    <n v="33747"/>
    <x v="0"/>
    <s v="Express"/>
    <x v="4"/>
    <x v="3"/>
    <s v="Karim Sheikh"/>
    <s v="North"/>
    <s v="Kanpur"/>
    <s v="Uttar Pradesh"/>
    <x v="0"/>
    <s v="727559"/>
    <s v="Summer15"/>
    <n v="5"/>
    <s v="Yes"/>
    <s v="other"/>
    <s v="WH-05"/>
    <s v="Ekart"/>
    <d v="2023-02-08T00:00:00"/>
    <x v="59"/>
    <d v="2024-01-17T00:00:00"/>
    <s v="jayalakshmik@gmail_com"/>
    <s v="8515691545"/>
  </r>
  <r>
    <x v="60"/>
    <s v="Rahul Sharma"/>
    <x v="2"/>
    <s v="Classmate Notebook"/>
    <x v="9"/>
    <x v="3"/>
    <s v="Books"/>
    <n v="110"/>
    <n v="10"/>
    <n v="1100"/>
    <n v="10"/>
    <x v="49"/>
    <n v="990"/>
    <n v="5"/>
    <n v="49.5"/>
    <n v="149"/>
    <n v="1039.5"/>
    <x v="1"/>
    <s v="Standard"/>
    <x v="0"/>
    <x v="4"/>
    <s v="Sneha Reddy"/>
    <s v="South"/>
    <s v="Bhubaneswar"/>
    <s v="Odisha"/>
    <x v="1"/>
    <s v="280558"/>
    <s v="Diwali25"/>
    <n v="5"/>
    <s v="No"/>
    <s v="other"/>
    <s v="WH-01"/>
    <s v="Delhivery"/>
    <d v="2023-03-02T00:00:00"/>
    <x v="60"/>
    <d v="2023-12-02T00:00:00"/>
    <s v="rsharma@gmail_com"/>
    <s v="6331541006"/>
  </r>
  <r>
    <x v="61"/>
    <s v="Nisha Jain"/>
    <x v="0"/>
    <s v="Samsung 253L Fridge"/>
    <x v="2"/>
    <x v="1"/>
    <s v="Refrigerators"/>
    <n v="25240"/>
    <n v="7"/>
    <n v="176680"/>
    <n v="10"/>
    <x v="50"/>
    <n v="159012"/>
    <n v="5"/>
    <n v="7950.6"/>
    <n v="0"/>
    <n v="166962.6"/>
    <x v="5"/>
    <s v="Standard"/>
    <x v="1"/>
    <x v="2"/>
    <s v="Sneha Reddy"/>
    <s v="South"/>
    <s v="Lucknow"/>
    <s v="Uttar Pradesh"/>
    <x v="0"/>
    <s v="231120"/>
    <s v="None"/>
    <n v="4"/>
    <s v="No"/>
    <s v="other"/>
    <s v="WH-07"/>
    <s v="Bluedart"/>
    <d v="2023-06-14T00:00:00"/>
    <x v="61"/>
    <d v="2023-06-23T00:00:00"/>
    <s v="jain_nisha@gmail_com"/>
    <s v="6444310698"/>
  </r>
  <r>
    <x v="62"/>
    <s v="Rekha Menon"/>
    <x v="3"/>
    <s v="Pepperfry Coffee Table"/>
    <x v="20"/>
    <x v="4"/>
    <s v="Tables"/>
    <n v="11550"/>
    <n v="2"/>
    <n v="23100"/>
    <n v="5"/>
    <x v="51"/>
    <n v="21945"/>
    <n v="5"/>
    <n v="1097.25"/>
    <n v="0"/>
    <n v="23042.25"/>
    <x v="3"/>
    <s v="Overnight"/>
    <x v="0"/>
    <x v="1"/>
    <s v="Sneha Reddy"/>
    <s v="South"/>
    <s v="Durgapur"/>
    <s v="West Bengal"/>
    <x v="1"/>
    <s v="285285"/>
    <s v="Summer15"/>
    <n v="4"/>
    <s v="No"/>
    <s v="other"/>
    <s v="WH-04"/>
    <s v="Delhivery"/>
    <d v="2023-07-09T00:00:00"/>
    <x v="62"/>
    <d v="2023-07-20T00:00:00"/>
    <s v="menon_rekha@yahoo_co_in"/>
    <s v="9686879374"/>
  </r>
  <r>
    <x v="63"/>
    <s v="Kruti Bhatt"/>
    <x v="0"/>
    <s v="Sony Wh-1000Xm5"/>
    <x v="1"/>
    <x v="0"/>
    <s v="Audio"/>
    <n v="30240"/>
    <n v="3"/>
    <n v="90720"/>
    <n v="20"/>
    <x v="52"/>
    <n v="72576"/>
    <n v="18"/>
    <n v="13063.68"/>
    <n v="0"/>
    <n v="85639.679999999993"/>
    <x v="4"/>
    <s v="Standard"/>
    <x v="0"/>
    <x v="0"/>
    <s v="Priya Sinha"/>
    <s v="West"/>
    <s v="Ranchi"/>
    <s v="Jharkhand"/>
    <x v="1"/>
    <m/>
    <s v="None"/>
    <n v="4"/>
    <s v="No"/>
    <s v="other"/>
    <s v="WH-05"/>
    <s v="Bluedart"/>
    <d v="2023-09-22T00:00:00"/>
    <x v="63"/>
    <d v="2023-09-28T00:00:00"/>
    <s v="kruti_bhatt@gmail_com"/>
    <s v="61485 64679"/>
  </r>
  <r>
    <x v="64"/>
    <s v="Parvati Devi"/>
    <x v="1"/>
    <s v="Lenovo Thinkpad E14"/>
    <x v="4"/>
    <x v="0"/>
    <s v="Laptops"/>
    <n v="60120"/>
    <n v="2"/>
    <n v="120240"/>
    <n v="10"/>
    <x v="53"/>
    <n v="108216"/>
    <n v="18"/>
    <n v="19478.88"/>
    <n v="0"/>
    <n v="127694.88"/>
    <x v="5"/>
    <s v="Express"/>
    <x v="0"/>
    <x v="2"/>
    <s v="Priya Sinha"/>
    <s v="West"/>
    <s v="Jodhpur"/>
    <s v="Rajasthan"/>
    <x v="0"/>
    <s v="607636"/>
    <s v="None"/>
    <n v="4"/>
    <s v="No"/>
    <s v="other"/>
    <s v="WH-06"/>
    <s v="Bluedart"/>
    <d v="2023-11-04T00:00:00"/>
    <x v="64"/>
    <d v="2023-11-19T00:00:00"/>
    <s v="devi_parvati@gmail_com"/>
    <s v="9902330307"/>
  </r>
  <r>
    <x v="65"/>
    <s v="Aarav Sharma"/>
    <x v="3"/>
    <s v="Classmate Notebook"/>
    <x v="9"/>
    <x v="3"/>
    <s v="Books"/>
    <n v="130"/>
    <n v="3"/>
    <n v="390"/>
    <n v="20"/>
    <x v="54"/>
    <n v="312"/>
    <n v="5"/>
    <n v="15.6"/>
    <n v="79"/>
    <n v="327.60000000000002"/>
    <x v="3"/>
    <s v="Economy"/>
    <x v="1"/>
    <x v="0"/>
    <s v="Neha Kulkarni"/>
    <s v="West"/>
    <s v="Gurugram"/>
    <s v="Haryana"/>
    <x v="0"/>
    <s v="223356"/>
    <s v="Save10"/>
    <n v="5"/>
    <s v="Yes"/>
    <s v="other"/>
    <s v="WH-05"/>
    <s v="Dtdc"/>
    <d v="2023-01-29T00:00:00"/>
    <x v="65"/>
    <d v="2023-02-04T00:00:00"/>
    <s v="aarav_sharma@gmail_com"/>
    <s v="7446657437"/>
  </r>
  <r>
    <x v="66"/>
    <s v="Lalitha Devi"/>
    <x v="0"/>
    <s v="Parker Pen Set"/>
    <x v="36"/>
    <x v="3"/>
    <s v="Writing"/>
    <n v="890"/>
    <n v="7"/>
    <n v="6230"/>
    <n v="15"/>
    <x v="55"/>
    <n v="5295.5"/>
    <n v="5"/>
    <n v="264.77"/>
    <n v="0"/>
    <n v="5560.27"/>
    <x v="1"/>
    <s v="Same Day"/>
    <x v="1"/>
    <x v="4"/>
    <s v="Neha Kulkarni"/>
    <s v="West"/>
    <s v="Jamshedpur"/>
    <s v="Jharkhand"/>
    <x v="1"/>
    <s v="432003"/>
    <s v="Save10"/>
    <n v="4"/>
    <s v="Yes"/>
    <s v="other"/>
    <s v="WH-06"/>
    <s v="Delhivery"/>
    <d v="2023-07-12T00:00:00"/>
    <x v="66"/>
    <d v="2023-07-24T00:00:00"/>
    <s v="devi_lalitha@gmail_com"/>
    <s v="738758428"/>
  </r>
  <r>
    <x v="67"/>
    <s v="Kunal Oberoi"/>
    <x v="3"/>
    <s v="Realme Gt 5"/>
    <x v="25"/>
    <x v="0"/>
    <s v="Mobile Phones"/>
    <n v="27470"/>
    <n v="6"/>
    <n v="164820"/>
    <n v="0"/>
    <x v="2"/>
    <n v="164820"/>
    <n v="18"/>
    <n v="29667.599999999999"/>
    <n v="0"/>
    <n v="194487.6"/>
    <x v="4"/>
    <s v="Express"/>
    <x v="0"/>
    <x v="4"/>
    <s v="Ankit Sharma"/>
    <s v="North"/>
    <s v="Ranchi"/>
    <s v="Jharkhand"/>
    <x v="1"/>
    <s v="124761"/>
    <s v="Flat500"/>
    <n v="3"/>
    <s v="Yes"/>
    <s v="other"/>
    <s v="WH-04"/>
    <s v="Delhivery"/>
    <d v="2023-03-14T00:00:00"/>
    <x v="67"/>
    <d v="2023-03-23T00:00:00"/>
    <s v="kunalo@gmail_com"/>
    <s v="8525007432"/>
  </r>
  <r>
    <x v="24"/>
    <s v="Manoj Tomar"/>
    <x v="1"/>
    <s v="Classmate Notebook"/>
    <x v="9"/>
    <x v="3"/>
    <s v="Books"/>
    <n v="110"/>
    <n v="2"/>
    <n v="220"/>
    <n v="0"/>
    <x v="2"/>
    <n v="220"/>
    <n v="5"/>
    <n v="11"/>
    <n v="99"/>
    <n v="231"/>
    <x v="6"/>
    <s v="Overnight"/>
    <x v="0"/>
    <x v="0"/>
    <s v="Neha Kulkarni"/>
    <s v="West"/>
    <s v="Madurai"/>
    <s v="Tamil Nadu"/>
    <x v="2"/>
    <s v="231415"/>
    <s v="Diwali25"/>
    <n v="3"/>
    <s v="No"/>
    <s v="other"/>
    <s v="WH-07"/>
    <s v="Delhivery"/>
    <d v="2023-05-13T00:00:00"/>
    <x v="68"/>
    <d v="2023-05-22T00:00:00"/>
    <s v="manojt@yahoo_com"/>
    <s v="9033230982"/>
  </r>
  <r>
    <x v="68"/>
    <s v="Ravi Shankar"/>
    <x v="1"/>
    <s v="Jbl Flip 6"/>
    <x v="27"/>
    <x v="0"/>
    <s v="Audio"/>
    <n v="9630"/>
    <n v="4"/>
    <n v="38520"/>
    <n v="10"/>
    <x v="56"/>
    <n v="34668"/>
    <n v="18"/>
    <n v="6240.24"/>
    <n v="0"/>
    <n v="40908.239999999998"/>
    <x v="4"/>
    <s v="Standard"/>
    <x v="0"/>
    <x v="0"/>
    <s v="Pooja Nair"/>
    <s v="South"/>
    <s v="Vadodara"/>
    <s v="Gujarat"/>
    <x v="4"/>
    <s v="352390"/>
    <s v="None"/>
    <n v="4"/>
    <s v="No"/>
    <s v="other"/>
    <s v="WH-05"/>
    <s v="Delhivery"/>
    <d v="2023-01-10T00:00:00"/>
    <x v="69"/>
    <d v="2023-01-21T00:00:00"/>
    <s v="shankar_ravi@gmail_com"/>
    <s v="86420 87375"/>
  </r>
  <r>
    <x v="69"/>
    <s v="Archana Srivastava"/>
    <x v="0"/>
    <s v="Voltas 1.5T Ac"/>
    <x v="19"/>
    <x v="1"/>
    <s v="Air Conditioners"/>
    <n v="35240"/>
    <n v="5"/>
    <n v="176200"/>
    <n v="20"/>
    <x v="57"/>
    <n v="140960"/>
    <n v="5"/>
    <n v="7048"/>
    <n v="0"/>
    <n v="148008"/>
    <x v="0"/>
    <s v="Same Day"/>
    <x v="1"/>
    <x v="3"/>
    <s v="Arjun Das"/>
    <s v="East"/>
    <s v="Surat"/>
    <s v="Gujarat"/>
    <x v="4"/>
    <s v="616546"/>
    <s v="None"/>
    <n v="5"/>
    <s v="No"/>
    <s v="other"/>
    <s v="WH-02"/>
    <s v="Amazon Logistics"/>
    <d v="2024-03-12T00:00:00"/>
    <x v="70"/>
    <d v="2024-03-21T00:00:00"/>
    <s v="archana_srivastava@gmail_com"/>
    <s v="6676212021"/>
  </r>
  <r>
    <x v="70"/>
    <s v="Saurabh Kulkarni"/>
    <x v="0"/>
    <s v="Iphone 15 Pro"/>
    <x v="13"/>
    <x v="0"/>
    <s v="Mobile Phones"/>
    <n v="87670"/>
    <n v="4"/>
    <n v="350680"/>
    <n v="10"/>
    <x v="58"/>
    <n v="315612"/>
    <n v="18"/>
    <n v="56810.16"/>
    <n v="0"/>
    <n v="372422.16000000003"/>
    <x v="2"/>
    <s v="Economy"/>
    <x v="1"/>
    <x v="4"/>
    <s v="Vinay Joshi"/>
    <s v="Central"/>
    <s v="Rajkot"/>
    <s v="Gujarat"/>
    <x v="4"/>
    <s v="631534"/>
    <s v="None"/>
    <n v="3"/>
    <s v="No"/>
    <s v="other"/>
    <s v="WH-01"/>
    <s v="Delhivery"/>
    <d v="2024-06-21T00:00:00"/>
    <x v="43"/>
    <d v="2024-07-03T00:00:00"/>
    <s v="saurabh_kulkarni@gmail_com"/>
    <s v=" 7877217535"/>
  </r>
  <r>
    <x v="71"/>
    <s v="Venkatesan Rajan"/>
    <x v="1"/>
    <s v="Iphone 15 Pro"/>
    <x v="13"/>
    <x v="0"/>
    <s v="Mobile Phones"/>
    <n v="96480"/>
    <n v="4"/>
    <n v="385920"/>
    <n v="5"/>
    <x v="59"/>
    <n v="366624"/>
    <n v="18"/>
    <n v="65992.320000000007"/>
    <n v="0"/>
    <n v="432616.32"/>
    <x v="0"/>
    <s v="Economy"/>
    <x v="0"/>
    <x v="3"/>
    <s v="Ritu Singh"/>
    <s v="Central"/>
    <s v="Gurugram"/>
    <s v="Haryana"/>
    <x v="0"/>
    <s v="727414"/>
    <s v="None"/>
    <n v="4"/>
    <s v="No"/>
    <s v="other"/>
    <s v="WH-08"/>
    <s v="Bluedart"/>
    <d v="2023-11-08T00:00:00"/>
    <x v="71"/>
    <d v="2023-11-23T00:00:00"/>
    <s v="venkatesanr@gmail_com"/>
    <s v="6488510272"/>
  </r>
  <r>
    <x v="72"/>
    <s v="Farhan Khan"/>
    <x v="3"/>
    <s v="Levi'S 511 Jeans"/>
    <x v="10"/>
    <x v="2"/>
    <s v="Clothing"/>
    <n v="3200"/>
    <n v="2"/>
    <n v="6400"/>
    <n v="20"/>
    <x v="60"/>
    <n v="5120"/>
    <n v="12"/>
    <n v="614.4"/>
    <n v="0"/>
    <n v="5734.4"/>
    <x v="6"/>
    <s v="Express"/>
    <x v="0"/>
    <x v="4"/>
    <s v="Deepa Menon"/>
    <s v="South"/>
    <s v="Mumbai"/>
    <s v="Maharashtra"/>
    <x v="4"/>
    <s v="638371"/>
    <s v="Festive20"/>
    <n v="3"/>
    <s v="No"/>
    <s v="other"/>
    <s v="WH-11"/>
    <s v="Bluedart"/>
    <d v="2023-02-19T00:00:00"/>
    <x v="72"/>
    <d v="2023-03-04T00:00:00"/>
    <s v="farhank@gmail_com"/>
    <s v="7472269848"/>
  </r>
  <r>
    <x v="73"/>
    <s v="Meenakshi Sundaram"/>
    <x v="3"/>
    <s v="Puma Softride"/>
    <x v="31"/>
    <x v="2"/>
    <s v="Footwear"/>
    <n v="5250"/>
    <n v="6"/>
    <n v="31500"/>
    <n v="10"/>
    <x v="61"/>
    <n v="28350"/>
    <n v="12"/>
    <n v="3402"/>
    <n v="0"/>
    <n v="31752"/>
    <x v="0"/>
    <s v="Standard"/>
    <x v="0"/>
    <x v="1"/>
    <s v="Ankit Sharma"/>
    <s v="North"/>
    <s v="Cuttack"/>
    <s v="Odisha"/>
    <x v="1"/>
    <s v="373551"/>
    <s v="Flat500"/>
    <n v="1"/>
    <s v="No"/>
    <s v="other"/>
    <s v="WH-08"/>
    <s v="Ekart"/>
    <d v="2024-03-03T00:00:00"/>
    <x v="73"/>
    <d v="2024-03-19T00:00:00"/>
    <s v="msundaram@gmail_com"/>
    <s v="8057198386"/>
  </r>
  <r>
    <x v="74"/>
    <s v="Thiruvengadam Natarajan"/>
    <x v="2"/>
    <s v="Pepperfry Coffee Table"/>
    <x v="20"/>
    <x v="4"/>
    <s v="Tables"/>
    <n v="12350"/>
    <n v="1"/>
    <n v="12350"/>
    <n v="0"/>
    <x v="2"/>
    <n v="12350"/>
    <n v="5"/>
    <n v="617.5"/>
    <n v="0"/>
    <n v="12967.5"/>
    <x v="6"/>
    <s v="Standard"/>
    <x v="0"/>
    <x v="2"/>
    <s v="Ritu Singh"/>
    <s v="Central"/>
    <s v="Salem"/>
    <s v="Tamil Nadu"/>
    <x v="2"/>
    <s v="417836"/>
    <s v="Save10"/>
    <n v="3"/>
    <s v="No"/>
    <s v="other"/>
    <s v="WH-10"/>
    <s v="Dtdc"/>
    <d v="2023-07-21T00:00:00"/>
    <x v="74"/>
    <d v="2023-08-02T00:00:00"/>
    <s v="thiruvengadamnoutlook_com"/>
    <s v="7909479851"/>
  </r>
  <r>
    <x v="75"/>
    <s v="Lalitha Devi"/>
    <x v="0"/>
    <s v="Iphone 15 Pro"/>
    <x v="13"/>
    <x v="0"/>
    <s v="Mobile Phones"/>
    <n v="91740"/>
    <n v="3"/>
    <n v="275220"/>
    <n v="25"/>
    <x v="62"/>
    <n v="206415"/>
    <n v="18"/>
    <n v="37154.699999999997"/>
    <n v="0"/>
    <n v="243569.7"/>
    <x v="3"/>
    <s v="Economy"/>
    <x v="1"/>
    <x v="1"/>
    <s v="Pooja Nair"/>
    <s v="South"/>
    <s v="Faridabad"/>
    <s v="Haryana"/>
    <x v="0"/>
    <s v="185624"/>
    <s v="None"/>
    <n v="1"/>
    <s v="No"/>
    <s v="other"/>
    <s v="WH-03"/>
    <s v="Delhivery"/>
    <d v="2023-12-21T00:00:00"/>
    <x v="41"/>
    <d v="2023-12-30T00:00:00"/>
    <s v="devi_lalitha@gmail_com"/>
    <s v="9435811288"/>
  </r>
  <r>
    <x v="76"/>
    <s v="Nisha Jain"/>
    <x v="0"/>
    <s v="Realme Gt 5"/>
    <x v="25"/>
    <x v="0"/>
    <s v="Mobile Phones"/>
    <n v="26920"/>
    <n v="1"/>
    <n v="26920"/>
    <n v="5"/>
    <x v="63"/>
    <n v="25574"/>
    <n v="18"/>
    <n v="4603.32"/>
    <n v="0"/>
    <n v="30177.32"/>
    <x v="5"/>
    <s v="Same Day"/>
    <x v="1"/>
    <x v="1"/>
    <s v="Ritu Singh"/>
    <s v="Central"/>
    <s v="Kanpur"/>
    <s v="Uttar Pradesh"/>
    <x v="0"/>
    <s v="789415"/>
    <s v="None"/>
    <n v="4"/>
    <s v="No"/>
    <s v="other"/>
    <s v="WH-01"/>
    <s v="Dtdc"/>
    <d v="2023-09-15T00:00:00"/>
    <x v="75"/>
    <d v="2023-09-23T00:00:00"/>
    <s v="nisha_jain@gmail_com"/>
    <s v="9144914766"/>
  </r>
  <r>
    <x v="77"/>
    <s v="Meena Iyer"/>
    <x v="0"/>
    <s v="Iphone 15 Pro"/>
    <x v="13"/>
    <x v="0"/>
    <s v="Mobile Phones"/>
    <n v="93570"/>
    <n v="2"/>
    <n v="187140"/>
    <n v="20"/>
    <x v="64"/>
    <n v="149712"/>
    <n v="18"/>
    <n v="26948.16"/>
    <n v="0"/>
    <n v="176660.16"/>
    <x v="5"/>
    <s v="Overnight"/>
    <x v="0"/>
    <x v="4"/>
    <s v="Ankit Sharma"/>
    <s v="North"/>
    <s v="Bhubaneswar"/>
    <s v="Odisha"/>
    <x v="1"/>
    <s v="269798"/>
    <s v="Summer15"/>
    <n v="4"/>
    <s v="No"/>
    <s v="other"/>
    <s v="WH-06"/>
    <s v="Ekart"/>
    <d v="2024-08-02T00:00:00"/>
    <x v="76"/>
    <d v="2024-02-23T00:00:00"/>
    <s v="meena_iyer@gmail_com"/>
    <s v="6781414139"/>
  </r>
  <r>
    <x v="78"/>
    <s v="Manoj Tomar"/>
    <x v="2"/>
    <s v="Parker Pen Set"/>
    <x v="36"/>
    <x v="3"/>
    <s v="Writing"/>
    <n v="900"/>
    <n v="4"/>
    <n v="3600"/>
    <n v="5"/>
    <x v="65"/>
    <n v="3420"/>
    <n v="5"/>
    <n v="171"/>
    <n v="99"/>
    <n v="3591"/>
    <x v="5"/>
    <s v="Overnight"/>
    <x v="2"/>
    <x v="1"/>
    <s v="Pooja Nair"/>
    <s v="South"/>
    <s v="Indore"/>
    <s v="Madhya Pradesh"/>
    <x v="3"/>
    <s v="526060"/>
    <s v="Summer15"/>
    <n v="4"/>
    <s v="No"/>
    <s v="other"/>
    <s v="WH-01"/>
    <s v="Ekart"/>
    <d v="2024-03-22T00:00:00"/>
    <x v="77"/>
    <d v="2024-04-01T00:00:00"/>
    <s v="manoj_tomar@yahoo_com"/>
    <s v="7809969308"/>
  </r>
  <r>
    <x v="79"/>
    <s v="Paramjit Brar"/>
    <x v="1"/>
    <s v="Lg 43-Inch 4K Tv"/>
    <x v="33"/>
    <x v="0"/>
    <s v="Televisions"/>
    <n v="41050"/>
    <n v="2"/>
    <n v="82100"/>
    <n v="0"/>
    <x v="2"/>
    <n v="82100"/>
    <n v="18"/>
    <n v="14778"/>
    <n v="0"/>
    <n v="96878"/>
    <x v="2"/>
    <s v="Same Day"/>
    <x v="0"/>
    <x v="3"/>
    <s v="Priya Sinha"/>
    <s v="West"/>
    <s v="Kochi"/>
    <s v="Kerala"/>
    <x v="2"/>
    <m/>
    <s v="Flat500"/>
    <n v="4"/>
    <s v="No"/>
    <s v="other"/>
    <s v="WH-03"/>
    <s v="Bluedart"/>
    <d v="2023-07-03T00:00:00"/>
    <x v="78"/>
    <d v="2023-07-12T00:00:00"/>
    <s v="paramjit_brargmail_com"/>
    <s v="6184498926"/>
  </r>
  <r>
    <x v="80"/>
    <s v="Kannappan Ponnusamy"/>
    <x v="1"/>
    <s v="Hp Laserjet 1020"/>
    <x v="0"/>
    <x v="0"/>
    <s v="Printers"/>
    <n v="12820"/>
    <n v="5"/>
    <n v="64100"/>
    <n v="5"/>
    <x v="66"/>
    <n v="60895"/>
    <n v="18"/>
    <n v="10961.1"/>
    <n v="0"/>
    <n v="71856.100000000006"/>
    <x v="2"/>
    <s v="Economy"/>
    <x v="0"/>
    <x v="2"/>
    <s v="Priya Sinha"/>
    <s v="West"/>
    <s v="Jaipur"/>
    <s v="Rajasthan"/>
    <x v="0"/>
    <s v="720949"/>
    <s v="None"/>
    <n v="4"/>
    <s v="No"/>
    <s v="other"/>
    <s v="WH-03"/>
    <s v="Dtdc"/>
    <d v="2023-07-11T00:00:00"/>
    <x v="78"/>
    <d v="2023-07-12T00:00:00"/>
    <s v="kannappanp@gmail_com"/>
    <s v="9092024286"/>
  </r>
  <r>
    <x v="81"/>
    <s v="Venugopal Krishnan"/>
    <x v="3"/>
    <s v="Kurl-On King Bed"/>
    <x v="15"/>
    <x v="4"/>
    <s v="Beds"/>
    <n v="52380"/>
    <n v="1"/>
    <n v="52380"/>
    <n v="20"/>
    <x v="67"/>
    <n v="41904"/>
    <n v="5"/>
    <n v="2095.1999999999998"/>
    <n v="0"/>
    <n v="43999.199999999997"/>
    <x v="5"/>
    <s v="Express"/>
    <x v="0"/>
    <x v="0"/>
    <s v="Karim Sheikh"/>
    <s v="North"/>
    <s v="Coimbatore"/>
    <s v="Tamil Nadu"/>
    <x v="2"/>
    <s v="353808"/>
    <s v="Festive20"/>
    <n v="4"/>
    <s v="No"/>
    <s v="other"/>
    <s v="WH-02"/>
    <s v="Delhivery"/>
    <d v="2023-03-12T00:00:00"/>
    <x v="79"/>
    <d v="2023-03-22T00:00:00"/>
    <s v="venugopal_krishnan@gmail_com"/>
    <s v="6980686508"/>
  </r>
  <r>
    <x v="82"/>
    <s v="Ajay Pandey"/>
    <x v="3"/>
    <s v="Iphone 15 Pro"/>
    <x v="13"/>
    <x v="0"/>
    <s v="Mobile Phones"/>
    <n v="92220"/>
    <n v="1"/>
    <n v="92220"/>
    <n v="10"/>
    <x v="68"/>
    <n v="82998"/>
    <n v="18"/>
    <n v="14939.64"/>
    <n v="0"/>
    <n v="97937.64"/>
    <x v="3"/>
    <s v="Standard"/>
    <x v="0"/>
    <x v="4"/>
    <s v="Aman Bhatia"/>
    <s v="West"/>
    <s v="Rajkot"/>
    <s v="Gujarat"/>
    <x v="4"/>
    <s v="464878"/>
    <s v="None"/>
    <n v="4"/>
    <s v="No"/>
    <s v="other"/>
    <s v="WH-10"/>
    <s v="Ekart"/>
    <d v="2023-01-08T00:00:00"/>
    <x v="69"/>
    <d v="2023-01-23T00:00:00"/>
    <s v="ajay_pandey@outlook_com"/>
    <s v="7887258874"/>
  </r>
  <r>
    <x v="83"/>
    <s v="Janaki Ramanathan"/>
    <x v="1"/>
    <s v="Iphone 15 Pro"/>
    <x v="13"/>
    <x v="0"/>
    <s v="Mobile Phones"/>
    <n v="88140"/>
    <n v="1"/>
    <n v="88140"/>
    <n v="10"/>
    <x v="69"/>
    <n v="79326"/>
    <n v="18"/>
    <n v="14278.68"/>
    <n v="0"/>
    <n v="93604.68"/>
    <x v="5"/>
    <s v="Overnight"/>
    <x v="1"/>
    <x v="0"/>
    <s v="Vinay Joshi"/>
    <s v="Central"/>
    <s v="Gurugram"/>
    <s v="Haryana"/>
    <x v="0"/>
    <s v="204546"/>
    <s v="Newuser"/>
    <n v="4"/>
    <s v="No"/>
    <s v="other"/>
    <s v="WH-12"/>
    <s v="Ekart"/>
    <d v="2023-05-29T00:00:00"/>
    <x v="80"/>
    <d v="2023-06-10T00:00:00"/>
    <s v="janakir@gmail_com"/>
    <s v="9430988392"/>
  </r>
  <r>
    <x v="84"/>
    <s v="Girish More"/>
    <x v="2"/>
    <s v="Hp Laserjet 1020"/>
    <x v="0"/>
    <x v="0"/>
    <s v="Printers"/>
    <n v="12310"/>
    <n v="1"/>
    <n v="12310"/>
    <n v="0"/>
    <x v="2"/>
    <n v="12310"/>
    <n v="18"/>
    <n v="2215.8000000000002"/>
    <n v="0"/>
    <n v="14525.8"/>
    <x v="3"/>
    <s v="Same Day"/>
    <x v="0"/>
    <x v="1"/>
    <s v="Ankit Sharma"/>
    <s v="North"/>
    <s v="Jodhpur"/>
    <s v="Rajasthan"/>
    <x v="0"/>
    <s v="468606"/>
    <s v="None"/>
    <n v="5"/>
    <s v="No"/>
    <s v="other"/>
    <s v="WH-03"/>
    <s v="Bluedart"/>
    <d v="2023-07-19T00:00:00"/>
    <x v="81"/>
    <d v="2023-07-31T00:00:00"/>
    <s v="more_girish@gmail_com"/>
    <s v="6577907141"/>
  </r>
  <r>
    <x v="85"/>
    <s v="Harish Malhotra"/>
    <x v="0"/>
    <s v="Boat Rockerz 450"/>
    <x v="8"/>
    <x v="0"/>
    <s v="Audio"/>
    <n v="1440"/>
    <n v="1"/>
    <n v="1440"/>
    <n v="0"/>
    <x v="2"/>
    <n v="1440"/>
    <n v="18"/>
    <n v="259.2"/>
    <n v="79"/>
    <n v="1699.2"/>
    <x v="3"/>
    <s v="Express"/>
    <x v="3"/>
    <x v="1"/>
    <s v="Pooja Nair"/>
    <s v="South"/>
    <s v="Indore"/>
    <s v="Madhya Pradesh"/>
    <x v="3"/>
    <s v="653378"/>
    <s v="Festive20"/>
    <n v="5"/>
    <s v="No"/>
    <s v="other"/>
    <s v="WH-12"/>
    <s v="Delhivery"/>
    <d v="2023-07-14T00:00:00"/>
    <x v="82"/>
    <d v="2023-07-23T00:00:00"/>
    <s v="harish_malhotra@gmail_com"/>
    <s v="6957947284"/>
  </r>
  <r>
    <x v="86"/>
    <s v="Chandra Sekar"/>
    <x v="2"/>
    <s v="Lenovo Thinkpad E14"/>
    <x v="4"/>
    <x v="0"/>
    <s v="Laptops"/>
    <n v="62260"/>
    <n v="1"/>
    <n v="62260"/>
    <n v="5"/>
    <x v="70"/>
    <n v="59147"/>
    <n v="18"/>
    <n v="10646.46"/>
    <n v="0"/>
    <n v="69793.459999999992"/>
    <x v="5"/>
    <s v="Express"/>
    <x v="0"/>
    <x v="2"/>
    <s v="Arjun Das"/>
    <s v="East"/>
    <s v="Chennai"/>
    <s v="Tamil Nadu"/>
    <x v="2"/>
    <s v="172953"/>
    <s v="Diwali25"/>
    <n v="3"/>
    <s v="No"/>
    <s v="other"/>
    <s v="WH-05"/>
    <s v="Bluedart"/>
    <d v="2023-09-23T00:00:00"/>
    <x v="63"/>
    <d v="2023-10-05T00:00:00"/>
    <s v="chandra_sekar@gmail_com"/>
    <s v="6866322702"/>
  </r>
  <r>
    <x v="87"/>
    <s v="Aarav Sharma"/>
    <x v="0"/>
    <s v="Samsung 253L Fridge"/>
    <x v="2"/>
    <x v="1"/>
    <s v="Refrigerators"/>
    <n v="24930"/>
    <n v="1"/>
    <n v="24930"/>
    <n v="0"/>
    <x v="2"/>
    <n v="24930"/>
    <n v="5"/>
    <n v="1246.5"/>
    <n v="0"/>
    <n v="26176.5"/>
    <x v="6"/>
    <s v="Express"/>
    <x v="3"/>
    <x v="0"/>
    <s v="Arjun Das"/>
    <s v="East"/>
    <s v="Bengaluru"/>
    <s v="Karnataka"/>
    <x v="2"/>
    <s v="490806"/>
    <s v="None"/>
    <n v="4"/>
    <s v="No"/>
    <s v="other"/>
    <s v="WH-09"/>
    <s v="India Post"/>
    <d v="2024-04-01T00:00:00"/>
    <x v="83"/>
    <d v="2024-01-19T00:00:00"/>
    <s v="aarav_sharma@gmail_com"/>
    <s v="6947225699"/>
  </r>
  <r>
    <x v="88"/>
    <s v="Kiran Rao"/>
    <x v="0"/>
    <s v="Camlin Art Kit"/>
    <x v="34"/>
    <x v="3"/>
    <s v="Art Supplies"/>
    <n v="560"/>
    <n v="2"/>
    <n v="1120"/>
    <n v="20"/>
    <x v="71"/>
    <n v="896"/>
    <n v="5"/>
    <n v="44.8"/>
    <n v="149"/>
    <n v="940.8"/>
    <x v="2"/>
    <s v="Economy"/>
    <x v="0"/>
    <x v="0"/>
    <s v="Pooja Nair"/>
    <s v="South"/>
    <s v="Udaipur"/>
    <s v="Rajasthan"/>
    <x v="0"/>
    <s v="474033"/>
    <s v="Festive20"/>
    <n v="4"/>
    <s v="No"/>
    <s v="other"/>
    <s v="WH-04"/>
    <s v="Ekart"/>
    <d v="2023-09-15T00:00:00"/>
    <x v="84"/>
    <d v="2023-09-24T00:00:00"/>
    <s v="krao@gmail_com"/>
    <s v="7282005577"/>
  </r>
  <r>
    <x v="89"/>
    <s v="Usha Chopra"/>
    <x v="1"/>
    <s v="Sony Bravia 55-Inch"/>
    <x v="1"/>
    <x v="0"/>
    <s v="Televisions"/>
    <n v="72790"/>
    <n v="2"/>
    <n v="145580"/>
    <n v="20"/>
    <x v="72"/>
    <n v="116464"/>
    <n v="18"/>
    <n v="20963.52"/>
    <n v="0"/>
    <n v="137427.51999999999"/>
    <x v="5"/>
    <s v="Same Day"/>
    <x v="4"/>
    <x v="1"/>
    <s v="Anjali Mehta"/>
    <s v="South"/>
    <s v="Hubballi"/>
    <s v="Karnataka"/>
    <x v="2"/>
    <s v="306912"/>
    <s v="None"/>
    <n v="5"/>
    <s v="Yes"/>
    <s v="Changed Mind"/>
    <s v="WH-01"/>
    <s v="India Post"/>
    <d v="2023-01-01T00:00:00"/>
    <x v="85"/>
    <d v="2023-01-10T00:00:00"/>
    <s v="chopra_usha@yahoo_co_in"/>
    <s v="7266341638"/>
  </r>
  <r>
    <x v="13"/>
    <s v="Tarun Bansal"/>
    <x v="0"/>
    <s v="Hp Laserjet 1020"/>
    <x v="0"/>
    <x v="0"/>
    <s v="Printers"/>
    <n v="12490"/>
    <n v="1"/>
    <n v="12490"/>
    <n v="5"/>
    <x v="73"/>
    <n v="11865.5"/>
    <n v="18"/>
    <n v="2135.79"/>
    <n v="0"/>
    <n v="14001.29"/>
    <x v="4"/>
    <s v="Economy"/>
    <x v="0"/>
    <x v="3"/>
    <s v="Aman Bhatia"/>
    <s v="West"/>
    <s v="Ghaziabad"/>
    <s v="Uttar Pradesh"/>
    <x v="0"/>
    <s v="154236"/>
    <s v="None"/>
    <n v="4"/>
    <s v="No"/>
    <s v="other"/>
    <s v="WH-09"/>
    <s v="Dtdc"/>
    <d v="2024-03-24T00:00:00"/>
    <x v="86"/>
    <d v="2024-04-01T00:00:00"/>
    <s v="tarun_bansal@outlook_com"/>
    <s v="8234601367"/>
  </r>
  <r>
    <x v="90"/>
    <s v="Sushma Yadav"/>
    <x v="0"/>
    <s v="Voltas 1.5T Ac"/>
    <x v="19"/>
    <x v="1"/>
    <s v="Air Conditioners"/>
    <n v="35980"/>
    <n v="2"/>
    <n v="71960"/>
    <n v="0"/>
    <x v="2"/>
    <n v="71960"/>
    <n v="5"/>
    <n v="3598"/>
    <n v="0"/>
    <n v="75558"/>
    <x v="4"/>
    <s v="Express"/>
    <x v="0"/>
    <x v="1"/>
    <s v="Vinay Joshi"/>
    <s v="Central"/>
    <s v="Nashik"/>
    <s v="Maharashtra"/>
    <x v="4"/>
    <s v="568753"/>
    <s v="Save10"/>
    <n v="4"/>
    <s v="No"/>
    <s v="other"/>
    <s v="WH-09"/>
    <s v="Ekart"/>
    <d v="2023-08-12T00:00:00"/>
    <x v="87"/>
    <d v="2023-08-18T00:00:00"/>
    <s v="sushma_yadav@gmail_com"/>
    <s v="8500528127"/>
  </r>
  <r>
    <x v="91"/>
    <s v="Jayalakshmi Kumar"/>
    <x v="0"/>
    <s v="Godrej 236L Fridge"/>
    <x v="14"/>
    <x v="1"/>
    <s v="Refrigerators"/>
    <n v="21820"/>
    <n v="3"/>
    <n v="65460"/>
    <n v="15"/>
    <x v="74"/>
    <n v="55641"/>
    <n v="5"/>
    <n v="2782.05"/>
    <n v="0"/>
    <n v="58423.05"/>
    <x v="5"/>
    <s v="Standard"/>
    <x v="0"/>
    <x v="0"/>
    <s v="Aman Bhatia"/>
    <s v="West"/>
    <s v="Chennai"/>
    <s v="Tamil Nadu"/>
    <x v="2"/>
    <s v="517476"/>
    <s v="None"/>
    <n v="4"/>
    <s v="No"/>
    <s v="other"/>
    <s v="WH-09"/>
    <s v="Dtdc"/>
    <d v="2024-04-24T00:00:00"/>
    <x v="88"/>
    <d v="2024-05-07T00:00:00"/>
    <s v="jayalakshmi_kumar@gmail_com"/>
    <s v="6638782945"/>
  </r>
  <r>
    <x v="92"/>
    <s v="Sunil Jadhav"/>
    <x v="0"/>
    <s v="Canon Eos 200D"/>
    <x v="7"/>
    <x v="0"/>
    <s v="Cameras"/>
    <n v="54760"/>
    <n v="8"/>
    <n v="438080"/>
    <n v="5"/>
    <x v="75"/>
    <n v="416176"/>
    <n v="18"/>
    <n v="74911.679999999993"/>
    <n v="0"/>
    <n v="491087.68"/>
    <x v="3"/>
    <s v="Overnight"/>
    <x v="1"/>
    <x v="2"/>
    <s v="Aman Bhatia"/>
    <s v="West"/>
    <s v="Patna"/>
    <s v="Bihar"/>
    <x v="1"/>
    <s v="639209"/>
    <s v="Diwali25"/>
    <n v="5"/>
    <s v="No"/>
    <s v="other"/>
    <s v="WH-03"/>
    <s v="Dtdc"/>
    <d v="2023-03-14T00:00:00"/>
    <x v="89"/>
    <d v="2023-03-20T00:00:00"/>
    <s v="sunil_jadhav@gmail_com"/>
    <s v="8113863383"/>
  </r>
  <r>
    <x v="93"/>
    <s v="Venkatesan Rajan"/>
    <x v="0"/>
    <s v="Lg 8Kg Front Load"/>
    <x v="33"/>
    <x v="1"/>
    <s v="Washing Machines"/>
    <n v="45800"/>
    <n v="3"/>
    <n v="137400"/>
    <n v="15"/>
    <x v="76"/>
    <n v="116790"/>
    <n v="5"/>
    <n v="5839.5"/>
    <n v="0"/>
    <n v="122629.5"/>
    <x v="3"/>
    <s v="Same Day"/>
    <x v="4"/>
    <x v="2"/>
    <s v="Sneha Reddy"/>
    <s v="South"/>
    <s v="Salem"/>
    <s v="Tamil Nadu"/>
    <x v="2"/>
    <s v="190952"/>
    <s v="None"/>
    <n v="5"/>
    <s v="Yes"/>
    <s v="other"/>
    <s v="WH-03"/>
    <s v="Bluedart"/>
    <d v="2023-03-14T00:00:00"/>
    <x v="90"/>
    <d v="2024-03-30T00:00:00"/>
    <s v="venkatesanr@gmail_com"/>
    <s v="804335048"/>
  </r>
  <r>
    <x v="94"/>
    <s v="Bhavani Shankar"/>
    <x v="0"/>
    <s v="Lenovo Thinkpad E14"/>
    <x v="4"/>
    <x v="0"/>
    <s v="Laptops"/>
    <n v="60510"/>
    <n v="1"/>
    <n v="60510"/>
    <n v="5"/>
    <x v="77"/>
    <n v="57484.5"/>
    <n v="18"/>
    <n v="10347.209999999999"/>
    <n v="0"/>
    <n v="67831.709999999992"/>
    <x v="5"/>
    <s v="Standard"/>
    <x v="2"/>
    <x v="4"/>
    <s v="Pooja Nair"/>
    <s v="South"/>
    <s v="Patna"/>
    <s v="Bihar"/>
    <x v="1"/>
    <s v="246709"/>
    <s v="None"/>
    <n v="5"/>
    <s v="No"/>
    <s v="other"/>
    <s v="WH-08"/>
    <s v="Dtdc"/>
    <d v="2023-11-04T00:00:00"/>
    <x v="91"/>
    <d v="2023-11-13T00:00:00"/>
    <s v="bshankar@yahoo_com"/>
    <s v="9583206799"/>
  </r>
  <r>
    <x v="95"/>
    <s v="Bhavani Shankar"/>
    <x v="0"/>
    <s v="Sony Wh-1000Xm5"/>
    <x v="1"/>
    <x v="0"/>
    <s v="Audio"/>
    <n v="29140"/>
    <n v="5"/>
    <n v="145700"/>
    <n v="20"/>
    <x v="78"/>
    <n v="116560"/>
    <n v="18"/>
    <n v="20980.799999999999"/>
    <n v="0"/>
    <n v="137540.79999999999"/>
    <x v="1"/>
    <s v="Economy"/>
    <x v="0"/>
    <x v="2"/>
    <s v="Ankit Sharma"/>
    <s v="North"/>
    <s v="Asansol"/>
    <s v="West Bengal"/>
    <x v="1"/>
    <s v="674140"/>
    <s v="Diwali25"/>
    <n v="3"/>
    <s v="No"/>
    <s v="other"/>
    <s v="WH-09"/>
    <s v="Dtdc"/>
    <d v="2024-06-20T00:00:00"/>
    <x v="91"/>
    <d v="2024-06-27T00:00:00"/>
    <s v="shankar_bhavani@yahoo_com"/>
    <s v="9927033521"/>
  </r>
  <r>
    <x v="96"/>
    <s v="Hussain Ali"/>
    <x v="1"/>
    <s v="Camlin Art Kit"/>
    <x v="34"/>
    <x v="3"/>
    <s v="Art Supplies"/>
    <n v="580"/>
    <n v="1"/>
    <n v="580"/>
    <n v="15"/>
    <x v="79"/>
    <n v="493"/>
    <n v="5"/>
    <n v="24.65"/>
    <n v="99"/>
    <n v="517.65"/>
    <x v="1"/>
    <s v="Standard"/>
    <x v="0"/>
    <x v="1"/>
    <s v="Aman Bhatia"/>
    <s v="West"/>
    <s v="Agra"/>
    <s v="Uttar Pradesh"/>
    <x v="0"/>
    <s v="635601"/>
    <s v="None"/>
    <n v="4"/>
    <s v="No"/>
    <s v="other"/>
    <s v="WH-01"/>
    <s v="Dtdc"/>
    <d v="2023-01-19T00:00:00"/>
    <x v="92"/>
    <d v="2023-02-02T00:00:00"/>
    <s v="hussain_ali@yahoo_co_in"/>
    <s v="6815798123"/>
  </r>
  <r>
    <x v="97"/>
    <s v="Seema  Kapoor"/>
    <x v="3"/>
    <s v="Canon Eos 200D"/>
    <x v="7"/>
    <x v="0"/>
    <s v="Cameras"/>
    <n v="55830"/>
    <n v="2"/>
    <n v="111660"/>
    <n v="10"/>
    <x v="80"/>
    <n v="100494"/>
    <n v="18"/>
    <n v="18088.919999999998"/>
    <n v="0"/>
    <n v="118582.92"/>
    <x v="0"/>
    <s v="Economy"/>
    <x v="1"/>
    <x v="4"/>
    <s v="Arjun Das"/>
    <s v="East"/>
    <s v="Agra"/>
    <s v="Uttar Pradesh"/>
    <x v="0"/>
    <s v="777783"/>
    <s v="None"/>
    <n v="4"/>
    <s v="Yes"/>
    <s v="other"/>
    <s v="WH-03"/>
    <s v="Ekart"/>
    <d v="2024-02-07T00:00:00"/>
    <x v="76"/>
    <d v="2024-02-17T00:00:00"/>
    <s v="seemak@gmail_com"/>
    <s v="9248262925"/>
  </r>
  <r>
    <x v="98"/>
    <s v="Sunita Verma"/>
    <x v="0"/>
    <s v="Tata Tea Premium 1Kg"/>
    <x v="17"/>
    <x v="5"/>
    <s v="Beverages"/>
    <n v="420"/>
    <n v="1"/>
    <n v="420"/>
    <n v="0"/>
    <x v="2"/>
    <n v="420"/>
    <n v="5"/>
    <n v="21"/>
    <n v="149"/>
    <n v="441"/>
    <x v="4"/>
    <s v="Overnight"/>
    <x v="0"/>
    <x v="2"/>
    <s v="Ankit Sharma"/>
    <s v="North"/>
    <s v="Gaya"/>
    <s v="Bihar"/>
    <x v="1"/>
    <s v="150383"/>
    <s v="None"/>
    <n v="3"/>
    <s v="No"/>
    <s v="other"/>
    <s v="WH-08"/>
    <s v="Bluedart"/>
    <d v="2023-10-01T00:00:00"/>
    <x v="93"/>
    <d v="2023-10-11T00:00:00"/>
    <s v="sunita_verma@gmail_com"/>
    <s v="6333127975"/>
  </r>
  <r>
    <x v="99"/>
    <s v="Arjun Nair"/>
    <x v="0"/>
    <s v="Fastrack Watch"/>
    <x v="6"/>
    <x v="2"/>
    <s v="Accessories"/>
    <n v="2320"/>
    <n v="3"/>
    <n v="6960"/>
    <n v="0"/>
    <x v="2"/>
    <n v="6960"/>
    <n v="12"/>
    <n v="835.2"/>
    <n v="0"/>
    <n v="7795.2"/>
    <x v="3"/>
    <s v="Same Day"/>
    <x v="0"/>
    <x v="2"/>
    <s v="Aman Bhatia"/>
    <s v="West"/>
    <s v="Warangal"/>
    <s v="Telangana"/>
    <x v="2"/>
    <s v="229711"/>
    <s v="Summer15"/>
    <n v="3"/>
    <s v="No"/>
    <s v="other"/>
    <s v="WH-11"/>
    <s v="Bluedart"/>
    <d v="2023-02-10T00:00:00"/>
    <x v="94"/>
    <d v="2023-02-23T00:00:00"/>
    <s v="arjun_nair@gmail_com"/>
    <s v="9129826657"/>
  </r>
  <r>
    <x v="100"/>
    <s v="Paramjit Brar"/>
    <x v="0"/>
    <s v="Godrej Interio Desk"/>
    <x v="14"/>
    <x v="4"/>
    <s v="Desks"/>
    <n v="18460"/>
    <n v="3"/>
    <n v="55380"/>
    <n v="0"/>
    <x v="2"/>
    <n v="55380"/>
    <n v="5"/>
    <n v="2769"/>
    <n v="0"/>
    <n v="58149"/>
    <x v="0"/>
    <s v="Standard"/>
    <x v="3"/>
    <x v="2"/>
    <s v="Sneha Reddy"/>
    <s v="South"/>
    <s v="Lucknow"/>
    <s v="Uttar Pradesh"/>
    <x v="0"/>
    <s v="265458"/>
    <s v="Newuser"/>
    <n v="2"/>
    <s v="No"/>
    <s v="other"/>
    <s v="WH-06"/>
    <s v="Delhivery"/>
    <d v="2024-01-25T00:00:00"/>
    <x v="95"/>
    <d v="2024-01-30T00:00:00"/>
    <s v="paramjitb@gmail_com"/>
    <s v="8077780973"/>
  </r>
  <r>
    <x v="101"/>
    <s v="Fathima Begum"/>
    <x v="1"/>
    <s v="Whirlpool 7Kg Washer"/>
    <x v="35"/>
    <x v="1"/>
    <s v="Washing Machines"/>
    <n v="30900"/>
    <n v="1"/>
    <n v="30900"/>
    <n v="10"/>
    <x v="81"/>
    <n v="27810"/>
    <n v="5"/>
    <n v="1390.5"/>
    <n v="0"/>
    <n v="29200.5"/>
    <x v="6"/>
    <s v="Overnight"/>
    <x v="1"/>
    <x v="4"/>
    <s v="Raj Kumar"/>
    <s v="North"/>
    <s v="Coimbatore"/>
    <s v="Tamil Nadu"/>
    <x v="2"/>
    <s v="748420"/>
    <s v="None"/>
    <n v="4"/>
    <s v="No"/>
    <s v="other"/>
    <s v="WH-05"/>
    <s v="Dtdc"/>
    <d v="2023-02-20T00:00:00"/>
    <x v="96"/>
    <d v="2023-03-01T00:00:00"/>
    <s v="fathima_begum@gmail_com"/>
    <s v="8147214586"/>
  </r>
  <r>
    <x v="102"/>
    <s v="Anand Swaminathan"/>
    <x v="0"/>
    <s v="Levi'S 511 Jeans"/>
    <x v="10"/>
    <x v="2"/>
    <s v="Clothing"/>
    <n v="3090"/>
    <n v="1"/>
    <n v="3090"/>
    <n v="0"/>
    <x v="2"/>
    <n v="3090"/>
    <n v="12"/>
    <n v="370.8"/>
    <n v="49"/>
    <n v="3460.8"/>
    <x v="1"/>
    <s v="Standard"/>
    <x v="0"/>
    <x v="4"/>
    <s v="Aman Bhatia"/>
    <s v="West"/>
    <s v="Howrah"/>
    <s v="West Bengal"/>
    <x v="1"/>
    <s v="272935"/>
    <s v="None"/>
    <n v="5"/>
    <s v="No"/>
    <s v="other"/>
    <s v="WH-09"/>
    <s v="Amazon Logistics"/>
    <d v="2024-05-24T00:00:00"/>
    <x v="97"/>
    <d v="2024-01-06T00:00:00"/>
    <s v="anands@gmail_com"/>
    <s v="7144885015"/>
  </r>
  <r>
    <x v="103"/>
    <s v="Aarav Sharma"/>
    <x v="0"/>
    <s v="Realme Gt 5"/>
    <x v="25"/>
    <x v="0"/>
    <s v="Mobile Phones"/>
    <n v="27250"/>
    <n v="3"/>
    <n v="81750"/>
    <n v="20"/>
    <x v="82"/>
    <n v="65400"/>
    <n v="18"/>
    <n v="11772"/>
    <n v="0"/>
    <n v="77172"/>
    <x v="2"/>
    <s v="Express"/>
    <x v="2"/>
    <x v="3"/>
    <s v="Neha Kulkarni"/>
    <s v="West"/>
    <s v="Howrah"/>
    <s v="West Bengal"/>
    <x v="1"/>
    <s v="616958"/>
    <s v="Save10"/>
    <n v="3"/>
    <s v="No"/>
    <s v="other"/>
    <s v="WH-09"/>
    <s v="Bluedart"/>
    <d v="2023-11-20T00:00:00"/>
    <x v="98"/>
    <d v="2023-12-05T00:00:00"/>
    <s v="aarav_sharma@gmail_com"/>
    <s v="7504617357"/>
  </r>
  <r>
    <x v="104"/>
    <s v="Suresh Gupta"/>
    <x v="0"/>
    <s v="Peter England Suit"/>
    <x v="37"/>
    <x v="2"/>
    <s v="Clothing"/>
    <n v="9030"/>
    <n v="4"/>
    <n v="36120"/>
    <n v="0"/>
    <x v="2"/>
    <n v="36120"/>
    <n v="12"/>
    <n v="4334.3999999999996"/>
    <n v="0"/>
    <n v="40454.400000000001"/>
    <x v="1"/>
    <s v="Overnight"/>
    <x v="4"/>
    <x v="1"/>
    <s v="Priya Sinha"/>
    <s v="West"/>
    <s v="Surat"/>
    <s v="Gujarat"/>
    <x v="4"/>
    <s v="366718"/>
    <s v="Diwali25"/>
    <n v="3"/>
    <s v="Yes"/>
    <s v="other"/>
    <s v="WH-10"/>
    <s v="Amazon Logistics"/>
    <d v="2023-07-30T00:00:00"/>
    <x v="99"/>
    <d v="2023-08-07T00:00:00"/>
    <s v="gupta_suresh@gmail_com"/>
    <s v="7533448571"/>
  </r>
  <r>
    <x v="105"/>
    <s v="Kiran Rao"/>
    <x v="0"/>
    <s v="Samsung Galaxy S24"/>
    <x v="2"/>
    <x v="0"/>
    <s v="Mobile Phones"/>
    <n v="71150"/>
    <n v="2"/>
    <n v="142300"/>
    <n v="10"/>
    <x v="83"/>
    <n v="128070"/>
    <n v="18"/>
    <n v="23052.6"/>
    <n v="0"/>
    <n v="151122.6"/>
    <x v="4"/>
    <s v="Economy"/>
    <x v="1"/>
    <x v="0"/>
    <s v="Pooja Nair"/>
    <s v="South"/>
    <s v="Kozhikode"/>
    <s v="Kerala"/>
    <x v="2"/>
    <s v="289099"/>
    <s v="Diwali25"/>
    <n v="2"/>
    <s v="No"/>
    <s v="other"/>
    <s v="WH-06"/>
    <s v="Dtdc"/>
    <d v="2023-02-21T00:00:00"/>
    <x v="100"/>
    <d v="2023-03-02T00:00:00"/>
    <s v="kiran_rao@gmail_com"/>
    <s v="7717477332"/>
  </r>
  <r>
    <x v="106"/>
    <s v="Uma Shankar"/>
    <x v="2"/>
    <s v="Lenovo Thinkpad E14"/>
    <x v="4"/>
    <x v="0"/>
    <s v="Laptops"/>
    <n v="57200"/>
    <n v="2"/>
    <n v="114400"/>
    <n v="10"/>
    <x v="84"/>
    <n v="102960"/>
    <n v="18"/>
    <n v="18532.8"/>
    <n v="0"/>
    <n v="121492.8"/>
    <x v="5"/>
    <s v="Economy"/>
    <x v="0"/>
    <x v="1"/>
    <s v="Deepa Menon"/>
    <s v="South"/>
    <s v="Chennai"/>
    <s v="Tamil Nadu"/>
    <x v="2"/>
    <s v="718980"/>
    <s v="Diwali25"/>
    <n v="4"/>
    <s v="No"/>
    <s v="other"/>
    <s v="WH-11"/>
    <s v="Ekart"/>
    <d v="2023-03-14T00:00:00"/>
    <x v="33"/>
    <d v="2023-03-27T00:00:00"/>
    <s v="umas@gmail_com"/>
    <s v="6971997581"/>
  </r>
  <r>
    <x v="107"/>
    <s v="Ravi Shankar"/>
    <x v="1"/>
    <s v="Nike Air Max 270"/>
    <x v="21"/>
    <x v="2"/>
    <s v="Footwear"/>
    <n v="10670"/>
    <n v="4"/>
    <n v="42680"/>
    <n v="10"/>
    <x v="85"/>
    <n v="38412"/>
    <n v="12"/>
    <n v="4609.4399999999996"/>
    <n v="0"/>
    <n v="43021.440000000002"/>
    <x v="3"/>
    <s v="Economy"/>
    <x v="4"/>
    <x v="3"/>
    <s v="Neha Kulkarni"/>
    <s v="West"/>
    <s v="Durgapur"/>
    <s v="West Bengal"/>
    <x v="1"/>
    <s v="412484"/>
    <s v="Festive20"/>
    <n v="4"/>
    <s v="Yes"/>
    <s v="Changed Mind"/>
    <s v="WH-03"/>
    <s v="Delhivery"/>
    <d v="2024-02-04T00:00:00"/>
    <x v="101"/>
    <d v="2024-02-18T00:00:00"/>
    <s v="ravi_shankar@gmail_com"/>
    <s v="6008514036"/>
  </r>
  <r>
    <x v="108"/>
    <s v="Harpreet Singh"/>
    <x v="2"/>
    <s v="Centuary Mattress"/>
    <x v="16"/>
    <x v="4"/>
    <s v="Beds"/>
    <n v="15470"/>
    <n v="7"/>
    <n v="108290"/>
    <n v="20"/>
    <x v="86"/>
    <n v="86632"/>
    <n v="5"/>
    <n v="4331.6000000000004"/>
    <n v="0"/>
    <n v="90963.6"/>
    <x v="5"/>
    <s v="Overnight"/>
    <x v="1"/>
    <x v="2"/>
    <s v="Priya Sinha"/>
    <s v="West"/>
    <s v="Vijayawada"/>
    <s v="Andhra Pradesh"/>
    <x v="2"/>
    <s v="367144"/>
    <s v="None"/>
    <n v="5"/>
    <s v="No"/>
    <s v="other"/>
    <s v="WH-12"/>
    <s v="Ekart"/>
    <d v="2023-03-28T00:00:00"/>
    <x v="102"/>
    <d v="2024-02-18T00:00:00"/>
    <s v="harpreets@gmail_com"/>
    <s v="9689500975"/>
  </r>
  <r>
    <x v="109"/>
    <s v="Janaki Ramanathan"/>
    <x v="0"/>
    <s v="Fastrack Watch"/>
    <x v="6"/>
    <x v="2"/>
    <s v="Accessories"/>
    <n v="2500"/>
    <n v="2"/>
    <n v="5000"/>
    <n v="5"/>
    <x v="87"/>
    <n v="4750"/>
    <n v="12"/>
    <n v="570"/>
    <n v="0"/>
    <n v="5320"/>
    <x v="5"/>
    <s v="Same Day"/>
    <x v="1"/>
    <x v="3"/>
    <s v="Neha Kulkarni"/>
    <s v="West"/>
    <s v="Cuttack"/>
    <s v="Odisha"/>
    <x v="1"/>
    <s v="293920"/>
    <s v="Newuser"/>
    <n v="4"/>
    <s v="No"/>
    <s v="other"/>
    <s v="WH-12"/>
    <s v="Delhivery"/>
    <d v="2023-02-24T00:00:00"/>
    <x v="103"/>
    <d v="2023-03-09T00:00:00"/>
    <s v="janaki_ramanathan@gmail_com"/>
    <s v="9049047128"/>
  </r>
  <r>
    <x v="110"/>
    <s v="Rohit Singh"/>
    <x v="0"/>
    <s v="Samsung 253L Fridge"/>
    <x v="2"/>
    <x v="1"/>
    <s v="Refrigerators"/>
    <n v="26500"/>
    <n v="2"/>
    <n v="53000"/>
    <n v="10"/>
    <x v="88"/>
    <n v="47700"/>
    <n v="5"/>
    <n v="2385"/>
    <n v="0"/>
    <n v="50085"/>
    <x v="0"/>
    <s v="Express"/>
    <x v="1"/>
    <x v="0"/>
    <s v="Priya Sinha"/>
    <s v="West"/>
    <s v="Gurugram"/>
    <s v="Haryana"/>
    <x v="0"/>
    <s v="395832"/>
    <s v="Diwali25"/>
    <n v="4"/>
    <s v="No"/>
    <s v="other"/>
    <s v="WH-05"/>
    <s v="Ekart"/>
    <d v="2023-06-07T00:00:00"/>
    <x v="104"/>
    <d v="2023-06-23T00:00:00"/>
    <s v="rohit_singh@outlook_com"/>
    <s v="7366742860"/>
  </r>
  <r>
    <x v="111"/>
    <s v="Vikram Mehta"/>
    <x v="1"/>
    <s v="Adidas Ultraboost 22"/>
    <x v="18"/>
    <x v="2"/>
    <s v="Footwear"/>
    <n v="15100"/>
    <n v="4"/>
    <n v="60400"/>
    <n v="5"/>
    <x v="89"/>
    <n v="57380"/>
    <n v="12"/>
    <n v="6885.6"/>
    <n v="0"/>
    <n v="64265.599999999999"/>
    <x v="2"/>
    <s v="Standard"/>
    <x v="0"/>
    <x v="1"/>
    <s v="Pooja Nair"/>
    <s v="South"/>
    <s v="Raipur"/>
    <s v="Chhattisgarh"/>
    <x v="3"/>
    <s v="449114"/>
    <s v="None"/>
    <n v="4"/>
    <s v="No"/>
    <s v="other"/>
    <s v="WH-02"/>
    <s v="Delhivery"/>
    <d v="2023-09-05T00:00:00"/>
    <x v="105"/>
    <d v="2023-09-16T00:00:00"/>
    <s v="vikram_mehta@gmail_com"/>
    <s v="8939111926"/>
  </r>
  <r>
    <x v="112"/>
    <s v="Rajeev Pawar"/>
    <x v="0"/>
    <s v="Realme Gt 5"/>
    <x v="25"/>
    <x v="0"/>
    <s v="Mobile Phones"/>
    <n v="26660"/>
    <n v="10"/>
    <n v="266600"/>
    <n v="5"/>
    <x v="90"/>
    <n v="253270"/>
    <n v="18"/>
    <n v="45588.6"/>
    <n v="0"/>
    <n v="298858.59999999998"/>
    <x v="2"/>
    <s v="Express"/>
    <x v="1"/>
    <x v="0"/>
    <s v="Vinay Joshi"/>
    <s v="Central"/>
    <s v="Bengaluru"/>
    <s v="Karnataka"/>
    <x v="2"/>
    <s v="615484"/>
    <s v="None"/>
    <n v="4"/>
    <s v="No"/>
    <s v="other"/>
    <s v="WH-09"/>
    <s v="Amazon Logistics"/>
    <d v="2023-09-29T00:00:00"/>
    <x v="106"/>
    <d v="2023-10-10T00:00:00"/>
    <s v="pawar_rajeev@hotmail_com"/>
    <s v="6072006425"/>
  </r>
  <r>
    <x v="113"/>
    <s v="Dinesh Thakur"/>
    <x v="1"/>
    <s v="Prestige Induction"/>
    <x v="29"/>
    <x v="1"/>
    <s v="Kitchen"/>
    <n v="3690"/>
    <n v="2"/>
    <n v="7380"/>
    <n v="15"/>
    <x v="91"/>
    <n v="6273"/>
    <n v="5"/>
    <n v="313.64999999999998"/>
    <n v="0"/>
    <n v="6586.65"/>
    <x v="0"/>
    <s v="Express"/>
    <x v="0"/>
    <x v="0"/>
    <s v="Pooja Nair"/>
    <s v="South"/>
    <s v="Nashik"/>
    <s v="Maharashtra"/>
    <x v="4"/>
    <s v="331961"/>
    <s v="Save10"/>
    <n v="5"/>
    <s v="No"/>
    <s v="other"/>
    <s v="WH-11"/>
    <s v="Dtdc"/>
    <d v="2023-03-04T00:00:00"/>
    <x v="107"/>
    <d v="2023-04-16T00:00:00"/>
    <s v="dinesh_thakur@gmail_com"/>
    <s v="9320309376"/>
  </r>
  <r>
    <x v="114"/>
    <s v="Ravi Shankar"/>
    <x v="2"/>
    <s v="Amul Butter 500G"/>
    <x v="38"/>
    <x v="5"/>
    <s v="Dairy"/>
    <n v="300"/>
    <n v="1"/>
    <n v="300"/>
    <n v="10"/>
    <x v="92"/>
    <n v="270"/>
    <n v="5"/>
    <n v="13.5"/>
    <n v="79"/>
    <n v="283.5"/>
    <x v="0"/>
    <s v="Standard"/>
    <x v="1"/>
    <x v="4"/>
    <s v="Suraj Verma"/>
    <s v="East"/>
    <s v="Cuttack"/>
    <s v="Odisha"/>
    <x v="1"/>
    <s v="365480"/>
    <s v="None"/>
    <n v="4"/>
    <s v="No"/>
    <s v="other"/>
    <s v="WH-01"/>
    <s v="Delhivery"/>
    <d v="2023-03-15T00:00:00"/>
    <x v="108"/>
    <d v="2023-03-20T00:00:00"/>
    <s v="ravi_shankar@gmail_com"/>
    <s v="8931365651"/>
  </r>
  <r>
    <x v="115"/>
    <s v="Sanjay Mishra"/>
    <x v="2"/>
    <s v="Samsung Galaxy S24"/>
    <x v="2"/>
    <x v="0"/>
    <s v="Mobile Phones"/>
    <n v="76120"/>
    <n v="4"/>
    <n v="304480"/>
    <n v="0"/>
    <x v="2"/>
    <n v="304480"/>
    <n v="18"/>
    <n v="54806.400000000001"/>
    <n v="0"/>
    <n v="359286.4"/>
    <x v="4"/>
    <s v="Economy"/>
    <x v="1"/>
    <x v="4"/>
    <s v="Raj Kumar"/>
    <s v="North"/>
    <s v="Thrissur"/>
    <s v="Kerala"/>
    <x v="2"/>
    <s v="266466"/>
    <s v="Flat500"/>
    <n v="4"/>
    <s v="No"/>
    <s v="other"/>
    <s v="WH-08"/>
    <s v="Bluedart"/>
    <d v="2023-07-01T00:00:00"/>
    <x v="109"/>
    <d v="2023-12-01T00:00:00"/>
    <s v="mishra_sanjay@gmail_com"/>
    <s v="9914560833"/>
  </r>
  <r>
    <x v="116"/>
    <s v="Sunil Jadhav"/>
    <x v="0"/>
    <s v="Epson L3250"/>
    <x v="39"/>
    <x v="0"/>
    <s v="Printers"/>
    <n v="17090"/>
    <n v="4"/>
    <n v="68360"/>
    <n v="0"/>
    <x v="2"/>
    <n v="68360"/>
    <n v="18"/>
    <n v="12304.8"/>
    <n v="0"/>
    <n v="80664.800000000003"/>
    <x v="5"/>
    <s v="Overnight"/>
    <x v="2"/>
    <x v="1"/>
    <s v="Sneha Reddy"/>
    <s v="South"/>
    <s v="Jaipur"/>
    <s v="Rajasthan"/>
    <x v="0"/>
    <s v="462208"/>
    <s v="Festive20"/>
    <n v="5"/>
    <s v="No"/>
    <s v="other"/>
    <s v="WH-12"/>
    <s v="Dtdc"/>
    <d v="2023-09-15T00:00:00"/>
    <x v="110"/>
    <d v="2023-09-27T00:00:00"/>
    <s v="sjadhav@gmail_com"/>
    <s v="6531363631"/>
  </r>
  <r>
    <x v="117"/>
    <s v="Foram Trivedi"/>
    <x v="0"/>
    <s v="Samsung 65-Inch Qled"/>
    <x v="2"/>
    <x v="0"/>
    <s v="Televisions"/>
    <n v="96700"/>
    <n v="3"/>
    <n v="290100"/>
    <n v="0"/>
    <x v="2"/>
    <n v="290100"/>
    <n v="18"/>
    <n v="52218"/>
    <n v="0"/>
    <n v="342318"/>
    <x v="4"/>
    <s v="Express"/>
    <x v="5"/>
    <x v="1"/>
    <s v="Arjun Das"/>
    <s v="East"/>
    <s v="Jabalpur"/>
    <s v="Madhya Pradesh"/>
    <x v="3"/>
    <s v="695617"/>
    <s v="None"/>
    <n v="5"/>
    <s v="No"/>
    <s v="other"/>
    <s v="WH-12"/>
    <s v="Ekart"/>
    <d v="2023-08-14T00:00:00"/>
    <x v="111"/>
    <d v="2023-08-21T00:00:00"/>
    <s v="foram_trivedi@gmail_com"/>
    <s v="6356939290"/>
  </r>
  <r>
    <x v="118"/>
    <s v="Varsha Shinde"/>
    <x v="0"/>
    <s v="Epson L3250"/>
    <x v="39"/>
    <x v="0"/>
    <s v="Printers"/>
    <n v="15900"/>
    <n v="1"/>
    <n v="15900"/>
    <n v="10"/>
    <x v="93"/>
    <n v="14310"/>
    <n v="18"/>
    <n v="2575.8000000000002"/>
    <n v="0"/>
    <n v="16885.8"/>
    <x v="5"/>
    <s v="Economy"/>
    <x v="1"/>
    <x v="4"/>
    <s v="Pooja Nair"/>
    <s v="South"/>
    <s v="Udaipur"/>
    <s v="Rajasthan"/>
    <x v="0"/>
    <s v="789659"/>
    <s v="None"/>
    <n v="4"/>
    <s v="No"/>
    <s v="other"/>
    <s v="WH-02"/>
    <s v="Dtdc"/>
    <d v="2023-04-03T00:00:00"/>
    <x v="112"/>
    <d v="2023-08-21T00:00:00"/>
    <s v="varsha_shinde@yahoo_co_in"/>
    <s v="9804649893"/>
  </r>
  <r>
    <x v="119"/>
    <s v="Jayalakshmi Kumar"/>
    <x v="1"/>
    <s v="Macbook Air M2"/>
    <x v="13"/>
    <x v="0"/>
    <s v="Laptops"/>
    <n v="114970"/>
    <n v="7"/>
    <n v="804790"/>
    <n v="5"/>
    <x v="94"/>
    <n v="764550.5"/>
    <n v="18"/>
    <n v="137619.09"/>
    <n v="0"/>
    <n v="902169.59"/>
    <x v="3"/>
    <s v="Same Day"/>
    <x v="0"/>
    <x v="2"/>
    <s v="Karim Sheikh"/>
    <s v="North"/>
    <s v="Jamshedpur"/>
    <s v="Jharkhand"/>
    <x v="1"/>
    <s v="575421"/>
    <s v="None"/>
    <n v="4"/>
    <s v="No"/>
    <s v="other"/>
    <s v="WH-01"/>
    <s v="Delhivery"/>
    <d v="2023-08-03T00:00:00"/>
    <x v="113"/>
    <d v="2023-08-15T00:00:00"/>
    <s v="jayalakshmi_kumar@gmail_com"/>
    <s v="8371162411"/>
  </r>
  <r>
    <x v="120"/>
    <s v="Arjun Nair"/>
    <x v="0"/>
    <s v="Pepperfry Coffee Table"/>
    <x v="20"/>
    <x v="4"/>
    <s v="Tables"/>
    <n v="12060"/>
    <n v="4"/>
    <n v="48240"/>
    <n v="10"/>
    <x v="95"/>
    <n v="43416"/>
    <n v="5"/>
    <n v="2170.8000000000002"/>
    <n v="0"/>
    <n v="45586.8"/>
    <x v="6"/>
    <s v="Express"/>
    <x v="0"/>
    <x v="3"/>
    <s v="Sneha Reddy"/>
    <s v="South"/>
    <s v="Coimbatore"/>
    <s v="Tamil Nadu"/>
    <x v="2"/>
    <s v="280496"/>
    <s v="Summer15"/>
    <n v="5"/>
    <s v="No"/>
    <s v="other"/>
    <s v="WH-02"/>
    <s v="Amazon Logistics"/>
    <d v="2023-12-18T00:00:00"/>
    <x v="114"/>
    <d v="2023-12-31T00:00:00"/>
    <s v="anair@gmail_com"/>
    <s v="99284 22223"/>
  </r>
  <r>
    <x v="121"/>
    <s v="Gita Pillai"/>
    <x v="0"/>
    <s v="Adidas Ultraboost 22"/>
    <x v="18"/>
    <x v="2"/>
    <s v="Footwear"/>
    <n v="14460"/>
    <n v="3"/>
    <n v="43380"/>
    <n v="5"/>
    <x v="96"/>
    <n v="27474"/>
    <n v="12"/>
    <n v="3296.88"/>
    <n v="0"/>
    <n v="30770.880000000001"/>
    <x v="4"/>
    <s v="Overnight"/>
    <x v="0"/>
    <x v="4"/>
    <s v="Priya Sinha"/>
    <s v="West"/>
    <s v="Chennai"/>
    <s v="Tamil Nadu"/>
    <x v="2"/>
    <s v="443194"/>
    <s v="None"/>
    <n v="4"/>
    <s v="No"/>
    <s v="other"/>
    <s v="WH-09"/>
    <s v="Amazon Logistics"/>
    <d v="2023-01-05T00:00:00"/>
    <x v="115"/>
    <d v="2023-01-21T00:00:00"/>
    <s v="pillai_gita@hotmail_com"/>
    <s v="8693751509"/>
  </r>
  <r>
    <x v="122"/>
    <s v="Vikram Mehta"/>
    <x v="0"/>
    <s v="Sony Bravia 55-Inch"/>
    <x v="1"/>
    <x v="0"/>
    <s v="Televisions"/>
    <n v="77120"/>
    <n v="1"/>
    <n v="77120"/>
    <n v="25"/>
    <x v="97"/>
    <n v="57840"/>
    <n v="18"/>
    <n v="10411.200000000001"/>
    <n v="0"/>
    <n v="68251.199999999997"/>
    <x v="2"/>
    <s v="Express"/>
    <x v="3"/>
    <x v="2"/>
    <s v="Vinay Joshi"/>
    <s v="Central"/>
    <s v="Rajkot"/>
    <s v="Gujarat"/>
    <x v="4"/>
    <s v="154285"/>
    <s v="None"/>
    <n v="5"/>
    <s v="No"/>
    <s v="other"/>
    <s v="WH-05"/>
    <s v="Ekart"/>
    <d v="2024-03-13T00:00:00"/>
    <x v="52"/>
    <d v="2024-03-24T00:00:00"/>
    <s v="vikramm@gmail_com"/>
    <s v="612347851"/>
  </r>
  <r>
    <x v="123"/>
    <s v="Roshni Modi"/>
    <x v="0"/>
    <s v="Canon Eos 200D"/>
    <x v="7"/>
    <x v="0"/>
    <s v="Cameras"/>
    <n v="53140"/>
    <n v="3"/>
    <n v="159420"/>
    <n v="0"/>
    <x v="2"/>
    <n v="159420"/>
    <n v="18"/>
    <n v="28695.599999999999"/>
    <n v="0"/>
    <n v="188115.6"/>
    <x v="3"/>
    <s v="Economy"/>
    <x v="1"/>
    <x v="4"/>
    <s v="Ritu Singh"/>
    <s v="Central"/>
    <s v="Pune"/>
    <s v="Maharashtra"/>
    <x v="4"/>
    <s v="413937"/>
    <s v="None"/>
    <n v="5"/>
    <s v="No"/>
    <s v="other"/>
    <s v="WH-11"/>
    <s v="Amazon Logistics"/>
    <d v="2023-01-03T00:00:00"/>
    <x v="116"/>
    <d v="2023-01-11T00:00:00"/>
    <s v="modi_roshni@gmail_com"/>
    <s v="9796471589"/>
  </r>
  <r>
    <x v="124"/>
    <s v="Indira Gandhi"/>
    <x v="3"/>
    <s v="Boat Rockerz 450"/>
    <x v="8"/>
    <x v="0"/>
    <s v="Audio"/>
    <n v="1540"/>
    <n v="3"/>
    <n v="4620"/>
    <n v="5"/>
    <x v="98"/>
    <n v="7315"/>
    <n v="18"/>
    <n v="1316.7"/>
    <n v="0"/>
    <n v="8631.7000000000007"/>
    <x v="1"/>
    <s v="Same Day"/>
    <x v="1"/>
    <x v="1"/>
    <s v="Raj Kumar"/>
    <s v="North"/>
    <s v="Jabalpur"/>
    <s v="Madhya Pradesh"/>
    <x v="3"/>
    <s v="468661"/>
    <s v="None"/>
    <n v="4"/>
    <s v="No"/>
    <s v="other"/>
    <s v="WH-05"/>
    <s v="Delhivery"/>
    <d v="2023-06-21T00:00:00"/>
    <x v="117"/>
    <d v="2023-03-07T00:00:00"/>
    <s v="igandhi@gmail_com"/>
    <s v="9132833898"/>
  </r>
  <r>
    <x v="125"/>
    <s v="Gita Pillai"/>
    <x v="1"/>
    <s v="Classmate Notebook"/>
    <x v="9"/>
    <x v="3"/>
    <s v="Books"/>
    <n v="130"/>
    <n v="2"/>
    <n v="260"/>
    <n v="0"/>
    <x v="2"/>
    <n v="260"/>
    <n v="5"/>
    <n v="13"/>
    <n v="49"/>
    <n v="273"/>
    <x v="4"/>
    <s v="Economy"/>
    <x v="2"/>
    <x v="1"/>
    <s v="Neha Kulkarni"/>
    <s v="West"/>
    <s v="Jodhpur"/>
    <s v="Rajasthan"/>
    <x v="0"/>
    <s v="124664"/>
    <s v="Flat500"/>
    <n v="4"/>
    <s v="No"/>
    <s v="other"/>
    <s v="WH-12"/>
    <s v="Delhivery"/>
    <d v="2023-05-09T00:00:00"/>
    <x v="12"/>
    <d v="2023-05-15T00:00:00"/>
    <s v="gita_pillai@hotmail_com"/>
    <s v="9119393250"/>
  </r>
  <r>
    <x v="126"/>
    <s v="Gopal Menon"/>
    <x v="3"/>
    <s v="Iphone 15 Pro"/>
    <x v="13"/>
    <x v="0"/>
    <s v="Mobile Phones"/>
    <n v="89130"/>
    <n v="3"/>
    <n v="267390"/>
    <n v="25"/>
    <x v="99"/>
    <n v="200542.5"/>
    <n v="18"/>
    <n v="36097.65"/>
    <n v="0"/>
    <n v="236640.15"/>
    <x v="3"/>
    <s v="Economy"/>
    <x v="0"/>
    <x v="2"/>
    <s v="Raj Kumar"/>
    <s v="North"/>
    <s v="Bhopal"/>
    <s v="Madhya Pradesh"/>
    <x v="3"/>
    <s v="123407"/>
    <s v="Flat500"/>
    <n v="4"/>
    <s v="No"/>
    <s v="other"/>
    <s v="WH-08"/>
    <s v="Ekart"/>
    <d v="2023-08-08T00:00:00"/>
    <x v="87"/>
    <d v="2023-08-22T00:00:00"/>
    <s v="gopal_menon@gmail_com"/>
    <s v="7801571647"/>
  </r>
  <r>
    <x v="127"/>
    <s v="Obeysekara Fernando"/>
    <x v="1"/>
    <s v="Hp Pavilion 15"/>
    <x v="0"/>
    <x v="0"/>
    <s v="Laptops"/>
    <n v="58710"/>
    <n v="7"/>
    <n v="410970"/>
    <n v="5"/>
    <x v="100"/>
    <n v="390421.5"/>
    <n v="18"/>
    <n v="70275.87"/>
    <n v="0"/>
    <n v="460697.37"/>
    <x v="0"/>
    <s v="Overnight"/>
    <x v="0"/>
    <x v="2"/>
    <s v="Priya Sinha"/>
    <s v="West"/>
    <s v="Faridabad"/>
    <s v="Haryana"/>
    <x v="0"/>
    <s v="762180"/>
    <s v="Festive20"/>
    <n v="4"/>
    <s v="No"/>
    <s v="other"/>
    <s v="WH-02"/>
    <s v="Ekart"/>
    <d v="2024-02-09T00:00:00"/>
    <x v="76"/>
    <d v="2024-02-16T00:00:00"/>
    <s v="obeysekara_fernando@gmail_com"/>
    <s v="6678427114"/>
  </r>
  <r>
    <x v="128"/>
    <s v="Roshni Modi"/>
    <x v="3"/>
    <s v="Sony Wh-1000Xm5"/>
    <x v="1"/>
    <x v="0"/>
    <s v="Audio"/>
    <n v="31720"/>
    <n v="2"/>
    <n v="63440"/>
    <n v="10"/>
    <x v="101"/>
    <n v="57096"/>
    <n v="18"/>
    <n v="10277.280000000001"/>
    <n v="0"/>
    <n v="67373.279999999999"/>
    <x v="2"/>
    <s v="Economy"/>
    <x v="4"/>
    <x v="1"/>
    <s v="Pooja Nair"/>
    <s v="South"/>
    <s v="Mangaluru"/>
    <s v="Karnataka"/>
    <x v="2"/>
    <s v="157311"/>
    <s v="None"/>
    <n v="3"/>
    <s v="Yes"/>
    <s v="other"/>
    <s v="WH-06"/>
    <s v="Ekart"/>
    <d v="2024-05-24T00:00:00"/>
    <x v="97"/>
    <d v="2024-02-16T00:00:00"/>
    <s v="rmodi@gmail_com"/>
    <s v="6762467197"/>
  </r>
  <r>
    <x v="129"/>
    <s v="Indira Gandhi"/>
    <x v="1"/>
    <s v="Samsung 253L Fridge"/>
    <x v="2"/>
    <x v="1"/>
    <s v="Refrigerators"/>
    <n v="25900"/>
    <n v="1"/>
    <n v="25900"/>
    <n v="0"/>
    <x v="2"/>
    <n v="25900"/>
    <n v="5"/>
    <n v="1295"/>
    <n v="0"/>
    <n v="27195"/>
    <x v="2"/>
    <s v="Standard"/>
    <x v="0"/>
    <x v="3"/>
    <s v="Raj Kumar"/>
    <s v="North"/>
    <s v="Hyderabad"/>
    <s v="Telangana"/>
    <x v="2"/>
    <s v="188980"/>
    <s v="Festive20"/>
    <n v="3"/>
    <s v="No"/>
    <s v="other"/>
    <s v="WH-09"/>
    <s v="Delhivery"/>
    <d v="2024-03-14T00:00:00"/>
    <x v="118"/>
    <d v="2024-03-24T00:00:00"/>
    <s v="indira_gandhi@gmail_com"/>
    <s v="6905696591"/>
  </r>
  <r>
    <x v="130"/>
    <s v="Bhavani Shankar"/>
    <x v="1"/>
    <s v="Prestige Induction"/>
    <x v="29"/>
    <x v="1"/>
    <s v="Kitchen"/>
    <n v="3540"/>
    <n v="1"/>
    <n v="3540"/>
    <n v="10"/>
    <x v="102"/>
    <n v="3186"/>
    <n v="5"/>
    <n v="159.30000000000001"/>
    <n v="149"/>
    <n v="3345.3"/>
    <x v="4"/>
    <s v="Standard"/>
    <x v="0"/>
    <x v="3"/>
    <s v="Ankit Sharma"/>
    <s v="North"/>
    <s v="Jodhpur"/>
    <s v="Rajasthan"/>
    <x v="0"/>
    <s v="177558"/>
    <s v="None"/>
    <n v="5"/>
    <s v="No"/>
    <s v="other"/>
    <s v="WH-07"/>
    <s v="Delhivery"/>
    <d v="2023-04-05T00:00:00"/>
    <x v="119"/>
    <d v="2023-04-14T00:00:00"/>
    <s v="bhavani_shankar@yahoo_com"/>
    <s v="6208297374"/>
  </r>
  <r>
    <x v="131"/>
    <s v="Eswaran Murugan"/>
    <x v="3"/>
    <s v="Nikon D3500"/>
    <x v="3"/>
    <x v="0"/>
    <s v="Cameras"/>
    <n v="33930"/>
    <n v="5"/>
    <n v="169650"/>
    <n v="5"/>
    <x v="103"/>
    <n v="161167.5"/>
    <n v="18"/>
    <n v="29010.15"/>
    <n v="0"/>
    <n v="190177.65"/>
    <x v="5"/>
    <s v="Standard"/>
    <x v="5"/>
    <x v="4"/>
    <s v="Suraj Verma"/>
    <s v="East"/>
    <s v="Warangal"/>
    <s v="Telangana"/>
    <x v="2"/>
    <s v="630567"/>
    <s v="Summer15"/>
    <n v="2"/>
    <s v="No"/>
    <s v="other"/>
    <s v="WH-04"/>
    <s v="Dtdc"/>
    <d v="2023-04-27T00:00:00"/>
    <x v="120"/>
    <d v="2023-05-04T00:00:00"/>
    <s v="eswaran_murugan@rediffmail_com"/>
    <s v="9001594165"/>
  </r>
  <r>
    <x v="132"/>
    <s v="Chandra Sekar"/>
    <x v="1"/>
    <s v="Amul Butter 500G"/>
    <x v="38"/>
    <x v="5"/>
    <s v="Dairy"/>
    <n v="300"/>
    <n v="1"/>
    <n v="300"/>
    <n v="5"/>
    <x v="104"/>
    <n v="285"/>
    <n v="5"/>
    <n v="14.25"/>
    <n v="99"/>
    <n v="299.25"/>
    <x v="2"/>
    <s v="Economy"/>
    <x v="3"/>
    <x v="0"/>
    <s v="Ritu Singh"/>
    <s v="Central"/>
    <s v="Hyderabad"/>
    <s v="Telangana"/>
    <x v="2"/>
    <s v="425505"/>
    <s v="Diwali25"/>
    <n v="4"/>
    <s v="No"/>
    <s v="other"/>
    <s v="WH-04"/>
    <s v="Delhivery"/>
    <d v="2023-08-30T00:00:00"/>
    <x v="121"/>
    <d v="2023-09-08T00:00:00"/>
    <s v="chandras@gmail_com"/>
    <s v="7409003486"/>
  </r>
  <r>
    <x v="133"/>
    <s v="Mitesh Gandhi"/>
    <x v="0"/>
    <s v="Durian Sofa 3-Seat"/>
    <x v="24"/>
    <x v="4"/>
    <s v="Sofas"/>
    <n v="47010"/>
    <n v="1"/>
    <n v="47010"/>
    <n v="5"/>
    <x v="105"/>
    <n v="44659.5"/>
    <n v="5"/>
    <n v="2232.9699999999998"/>
    <n v="0"/>
    <n v="46892.47"/>
    <x v="4"/>
    <s v="Same Day"/>
    <x v="1"/>
    <x v="2"/>
    <s v="Ritu Singh"/>
    <s v="Central"/>
    <s v="Chennai"/>
    <s v="Tamil Nadu"/>
    <x v="2"/>
    <s v="249996"/>
    <s v="Festive20"/>
    <n v="5"/>
    <s v="No"/>
    <s v="other"/>
    <s v="WH-11"/>
    <s v="Dtdc"/>
    <d v="2024-02-21T00:00:00"/>
    <x v="122"/>
    <d v="2024-03-01T00:00:00"/>
    <s v="mgandhi@gmail_com"/>
    <s v="9027206345"/>
  </r>
  <r>
    <x v="134"/>
    <s v="Vijay Pillai"/>
    <x v="0"/>
    <s v="Bajaj Mixer 750W"/>
    <x v="5"/>
    <x v="1"/>
    <s v="Kitchen"/>
    <n v="2830"/>
    <n v="1"/>
    <n v="2830"/>
    <n v="10"/>
    <x v="106"/>
    <n v="2547"/>
    <n v="5"/>
    <n v="127.35"/>
    <n v="79"/>
    <n v="2674.35"/>
    <x v="5"/>
    <s v="Express"/>
    <x v="4"/>
    <x v="3"/>
    <s v="Priya Sinha"/>
    <s v="West"/>
    <s v="Salem"/>
    <s v="Tamil Nadu"/>
    <x v="2"/>
    <s v="414290"/>
    <s v="Summer15"/>
    <n v="4"/>
    <s v="Yes"/>
    <s v="Late Delivery"/>
    <s v="WH-10"/>
    <s v="Bluedart"/>
    <d v="2024-02-07T00:00:00"/>
    <x v="123"/>
    <d v="2024-02-16T00:00:00"/>
    <s v="vijayp@gmail_com"/>
    <s v="7086771333"/>
  </r>
  <r>
    <x v="135"/>
    <s v="Kannappan Ponnusamy"/>
    <x v="0"/>
    <s v="Adidas Ultraboost 22"/>
    <x v="18"/>
    <x v="2"/>
    <s v="Footwear"/>
    <n v="13360"/>
    <n v="2"/>
    <n v="26720"/>
    <n v="5"/>
    <x v="107"/>
    <n v="25384"/>
    <n v="12"/>
    <n v="3046.08"/>
    <n v="0"/>
    <n v="28430.080000000002"/>
    <x v="6"/>
    <s v="Same Day"/>
    <x v="0"/>
    <x v="1"/>
    <s v="Anjali Mehta"/>
    <s v="South"/>
    <s v="Gurugram"/>
    <s v="Haryana"/>
    <x v="0"/>
    <s v="244083"/>
    <s v="Festive20"/>
    <n v="4"/>
    <s v="No"/>
    <s v="other"/>
    <s v="WH-05"/>
    <s v="Ekart"/>
    <d v="2024-04-25T00:00:00"/>
    <x v="88"/>
    <d v="2024-05-04T00:00:00"/>
    <s v="ponnusamy_kannappan@gmail_com"/>
    <s v="9048964652"/>
  </r>
  <r>
    <x v="136"/>
    <s v="Geetha Devi"/>
    <x v="0"/>
    <s v="Tata Tea Premium 1Kg"/>
    <x v="17"/>
    <x v="5"/>
    <s v="Beverages"/>
    <n v="470"/>
    <n v="20"/>
    <n v="9400"/>
    <n v="0"/>
    <x v="2"/>
    <n v="9400"/>
    <n v="5"/>
    <n v="470"/>
    <n v="0"/>
    <n v="9870"/>
    <x v="1"/>
    <s v="Economy"/>
    <x v="3"/>
    <x v="1"/>
    <s v="Deepa Menon"/>
    <s v="South"/>
    <s v="Bengaluru"/>
    <s v="Karnataka"/>
    <x v="2"/>
    <s v="546647"/>
    <s v="Flat500"/>
    <n v="4"/>
    <s v="No"/>
    <s v="other"/>
    <s v="WH-04"/>
    <s v="Ekart"/>
    <d v="2023-11-17T00:00:00"/>
    <x v="124"/>
    <d v="2023-11-25T00:00:00"/>
    <s v="geetha_devigmail_com"/>
    <s v="8877712151"/>
  </r>
  <r>
    <x v="137"/>
    <s v="Tarun Bansal"/>
    <x v="2"/>
    <s v="Kurl-On King Bed"/>
    <x v="15"/>
    <x v="4"/>
    <s v="Beds"/>
    <n v="51310"/>
    <n v="1"/>
    <n v="51310"/>
    <n v="15"/>
    <x v="108"/>
    <n v="43613.5"/>
    <n v="5"/>
    <n v="2180.6799999999998"/>
    <n v="0"/>
    <n v="45794.18"/>
    <x v="5"/>
    <s v="Same Day"/>
    <x v="1"/>
    <x v="0"/>
    <s v="Raj Kumar"/>
    <s v="North"/>
    <s v="Surat"/>
    <s v="Gujarat"/>
    <x v="4"/>
    <s v="624689"/>
    <s v="None"/>
    <n v="4"/>
    <s v="Yes"/>
    <s v="other"/>
    <s v="WH-11"/>
    <s v="Dtdc"/>
    <d v="2024-02-08T00:00:00"/>
    <x v="123"/>
    <d v="2024-02-14T00:00:00"/>
    <s v="bansal_tarun@outlook_com"/>
    <s v="7450189616"/>
  </r>
  <r>
    <x v="138"/>
    <s v="Paramjit Brar"/>
    <x v="0"/>
    <s v="Sony Wh-1000Xm5"/>
    <x v="1"/>
    <x v="0"/>
    <s v="Audio"/>
    <n v="31220"/>
    <n v="2"/>
    <n v="62440"/>
    <n v="15"/>
    <x v="109"/>
    <n v="53074"/>
    <n v="18"/>
    <n v="9553.32"/>
    <n v="0"/>
    <n v="62627.32"/>
    <x v="5"/>
    <s v="Economy"/>
    <x v="1"/>
    <x v="1"/>
    <s v="Karim Sheikh"/>
    <s v="North"/>
    <s v="Thrissur"/>
    <s v="Kerala"/>
    <x v="2"/>
    <s v="375689"/>
    <s v="Save10"/>
    <n v="4"/>
    <s v="Yes"/>
    <s v="Wrong Item"/>
    <s v="WH-09"/>
    <s v="Delhivery"/>
    <d v="2024-02-02T00:00:00"/>
    <x v="32"/>
    <d v="2024-02-12T00:00:00"/>
    <s v="brar_paramjit@gmail_com"/>
    <s v="7147617422"/>
  </r>
  <r>
    <x v="139"/>
    <s v="Vishal Chaudhary"/>
    <x v="0"/>
    <s v="Boat Rockerz 450"/>
    <x v="8"/>
    <x v="0"/>
    <s v="Audio"/>
    <n v="1560"/>
    <n v="4"/>
    <n v="6240"/>
    <n v="5"/>
    <x v="110"/>
    <n v="5928"/>
    <n v="18"/>
    <n v="1067.04"/>
    <n v="0"/>
    <n v="6995.04"/>
    <x v="3"/>
    <s v="Express"/>
    <x v="2"/>
    <x v="4"/>
    <s v="Anjali Mehta"/>
    <s v="South"/>
    <s v="Warangal"/>
    <s v="Telangana"/>
    <x v="2"/>
    <s v="766471"/>
    <s v="Summer15"/>
    <n v="4"/>
    <s v="Yes"/>
    <s v="other"/>
    <s v="WH-04"/>
    <s v="Delhivery"/>
    <d v="2023-03-27T00:00:00"/>
    <x v="125"/>
    <d v="2023-04-06T00:00:00"/>
    <s v="vishal_chaudhary@yahoo_co_in"/>
    <s v="6776974995"/>
  </r>
  <r>
    <x v="140"/>
    <s v="Kunal Oberoi"/>
    <x v="0"/>
    <s v="Milton Water Purifier"/>
    <x v="22"/>
    <x v="1"/>
    <s v="Kitchen"/>
    <n v="10570"/>
    <n v="2"/>
    <n v="21140"/>
    <n v="10"/>
    <x v="111"/>
    <n v="19026"/>
    <n v="5"/>
    <n v="951.3"/>
    <n v="0"/>
    <n v="19977.3"/>
    <x v="6"/>
    <s v="Economy"/>
    <x v="0"/>
    <x v="1"/>
    <s v="Raj Kumar"/>
    <s v="North"/>
    <s v="Pune"/>
    <s v="Maharashtra"/>
    <x v="4"/>
    <s v="131818"/>
    <s v="Diwali25"/>
    <n v="4"/>
    <s v="No"/>
    <s v="other"/>
    <s v="WH-12"/>
    <s v="Delhivery"/>
    <d v="2023-06-20T00:00:00"/>
    <x v="53"/>
    <d v="2023-07-01T00:00:00"/>
    <s v="oberoi_kunal@gmail_com"/>
    <s v="9076789973"/>
  </r>
  <r>
    <x v="141"/>
    <s v="Manoj Tomar"/>
    <x v="3"/>
    <s v="Lavie Handbag"/>
    <x v="12"/>
    <x v="2"/>
    <s v="Bags"/>
    <n v="2760"/>
    <n v="2"/>
    <n v="5520"/>
    <n v="20"/>
    <x v="112"/>
    <n v="4416"/>
    <n v="12"/>
    <n v="529.91999999999996"/>
    <n v="99"/>
    <n v="4945.92"/>
    <x v="4"/>
    <s v="Express"/>
    <x v="2"/>
    <x v="0"/>
    <s v="Arjun Das"/>
    <s v="East"/>
    <s v="Surat"/>
    <s v="Gujarat"/>
    <x v="4"/>
    <s v="158944"/>
    <s v="Flat500"/>
    <n v="2"/>
    <s v="No"/>
    <s v="other"/>
    <s v="WH-09"/>
    <s v="Delhivery"/>
    <d v="2024-04-24T00:00:00"/>
    <x v="126"/>
    <d v="2024-05-02T00:00:00"/>
    <s v="manoj_tomar@yahoo_com"/>
    <s v="8433800545"/>
  </r>
  <r>
    <x v="142"/>
    <s v="Paramjit Brar"/>
    <x v="3"/>
    <s v="Nilkamal Chair"/>
    <x v="11"/>
    <x v="4"/>
    <s v="Seating"/>
    <n v="4840"/>
    <n v="5"/>
    <n v="24200"/>
    <n v="15"/>
    <x v="113"/>
    <n v="20570"/>
    <n v="5"/>
    <n v="1028.5"/>
    <n v="0"/>
    <n v="21598.5"/>
    <x v="4"/>
    <s v="Standard"/>
    <x v="1"/>
    <x v="0"/>
    <s v="Raj Kumar"/>
    <s v="North"/>
    <s v="Ahmedabad"/>
    <s v="Gujarat"/>
    <x v="4"/>
    <s v="552208"/>
    <s v="Save10"/>
    <n v="4"/>
    <s v="No"/>
    <s v="other"/>
    <s v="WH-03"/>
    <s v="Ekart"/>
    <d v="2023-02-21T00:00:00"/>
    <x v="24"/>
    <d v="2023-03-06T00:00:00"/>
    <s v="paramjit_brar@gmail_com"/>
    <s v="9125521376"/>
  </r>
  <r>
    <x v="143"/>
    <s v="Parag Soni"/>
    <x v="0"/>
    <s v="Peter England Suit"/>
    <x v="37"/>
    <x v="2"/>
    <s v="Clothing"/>
    <n v="9020"/>
    <n v="4"/>
    <n v="36080"/>
    <n v="0"/>
    <x v="2"/>
    <n v="36080"/>
    <n v="12"/>
    <n v="4329.6000000000004"/>
    <n v="0"/>
    <n v="40409.599999999999"/>
    <x v="5"/>
    <s v="Express"/>
    <x v="0"/>
    <x v="2"/>
    <s v="Arjun Das"/>
    <s v="East"/>
    <s v="Surat"/>
    <s v="Gujarat"/>
    <x v="4"/>
    <s v="426179"/>
    <s v="Save10"/>
    <n v="3"/>
    <s v="No"/>
    <s v="other"/>
    <s v="WH-09"/>
    <s v="Bluedart"/>
    <d v="2023-01-31T00:00:00"/>
    <x v="127"/>
    <d v="2023-02-08T00:00:00"/>
    <s v="soni_parag@gmail_com"/>
    <s v="8684550489"/>
  </r>
  <r>
    <x v="144"/>
    <s v="Kiran Rao"/>
    <x v="3"/>
    <s v="Peter England Suit"/>
    <x v="37"/>
    <x v="2"/>
    <s v="Clothing"/>
    <n v="9370"/>
    <n v="3"/>
    <n v="28110"/>
    <n v="0"/>
    <x v="2"/>
    <n v="28110"/>
    <n v="12"/>
    <n v="3373.2"/>
    <n v="0"/>
    <n v="31483.200000000001"/>
    <x v="4"/>
    <s v="Overnight"/>
    <x v="0"/>
    <x v="0"/>
    <s v="Neha Kulkarni"/>
    <s v="West"/>
    <s v="Durgapur"/>
    <s v="West Bengal"/>
    <x v="1"/>
    <s v="710589"/>
    <s v="Newuser"/>
    <n v="4"/>
    <s v="No"/>
    <s v="other"/>
    <s v="WH-12"/>
    <s v="Bluedart"/>
    <d v="2023-08-07T00:00:00"/>
    <x v="128"/>
    <d v="2023-08-18T00:00:00"/>
    <s v="krao@gmail_com"/>
    <s v="7510174907"/>
  </r>
  <r>
    <x v="145"/>
    <s v="Arjun Nair"/>
    <x v="0"/>
    <s v="Lavie Handbag"/>
    <x v="12"/>
    <x v="2"/>
    <s v="Bags"/>
    <n v="2760"/>
    <n v="2"/>
    <n v="5520"/>
    <n v="0"/>
    <x v="2"/>
    <n v="5520"/>
    <n v="12"/>
    <n v="662.4"/>
    <n v="0"/>
    <n v="6182.4"/>
    <x v="0"/>
    <s v="Economy"/>
    <x v="0"/>
    <x v="4"/>
    <s v="Vinay Joshi"/>
    <s v="Central"/>
    <s v="Chandigarh"/>
    <s v="Punjab"/>
    <x v="0"/>
    <s v="225696"/>
    <s v="None"/>
    <n v="4"/>
    <s v="No"/>
    <s v="other"/>
    <s v="WH-10"/>
    <s v="Delhivery"/>
    <d v="2024-01-05T00:00:00"/>
    <x v="129"/>
    <d v="2024-01-12T00:00:00"/>
    <s v="nair_arjun@gmail_com"/>
    <s v="8776228277"/>
  </r>
  <r>
    <x v="146"/>
    <s v="Jyoti Narayan"/>
    <x v="1"/>
    <s v="Voltas 1.5T Ac"/>
    <x v="19"/>
    <x v="1"/>
    <s v="Air Conditioners"/>
    <n v="35260"/>
    <n v="3"/>
    <n v="105780"/>
    <n v="20"/>
    <x v="114"/>
    <n v="84624"/>
    <n v="5"/>
    <n v="4231.2"/>
    <n v="0"/>
    <n v="88855.2"/>
    <x v="0"/>
    <s v="Express"/>
    <x v="3"/>
    <x v="2"/>
    <s v="Neha Kulkarni"/>
    <s v="West"/>
    <s v="Hubballi"/>
    <s v="Karnataka"/>
    <x v="2"/>
    <s v="136009"/>
    <s v="Save10"/>
    <n v="4"/>
    <s v="No"/>
    <s v="other"/>
    <s v="WH-12"/>
    <s v="Bluedart"/>
    <d v="2024-05-12T00:00:00"/>
    <x v="130"/>
    <d v="2024-05-17T00:00:00"/>
    <s v="jnarayan@yahoo_com"/>
    <s v="9922877725"/>
  </r>
  <r>
    <x v="147"/>
    <s v="Meenakshi Sundaram"/>
    <x v="0"/>
    <s v="Hp Pavilion 15"/>
    <x v="0"/>
    <x v="0"/>
    <s v="Laptops"/>
    <n v="65940"/>
    <n v="2"/>
    <n v="131880"/>
    <n v="0"/>
    <x v="2"/>
    <n v="131880"/>
    <n v="18"/>
    <n v="23738.400000000001"/>
    <n v="0"/>
    <n v="155618.4"/>
    <x v="0"/>
    <s v="Standard"/>
    <x v="4"/>
    <x v="3"/>
    <s v="Ankit Sharma"/>
    <s v="North"/>
    <s v="Chandigarh"/>
    <s v="Punjab"/>
    <x v="0"/>
    <s v="451093"/>
    <s v="Flat500"/>
    <n v="4"/>
    <s v="Yes"/>
    <s v="Defective"/>
    <s v="WH-05"/>
    <s v="Bluedart"/>
    <d v="2023-02-24T00:00:00"/>
    <x v="131"/>
    <d v="2023-03-11T00:00:00"/>
    <s v="sundaram_meenakshi@gmail_com"/>
    <s v="7070562608"/>
  </r>
  <r>
    <x v="148"/>
    <s v="Prakash Dubey"/>
    <x v="0"/>
    <s v="Tata Tea Premium 1Kg"/>
    <x v="17"/>
    <x v="5"/>
    <s v="Beverages"/>
    <n v="420"/>
    <n v="2"/>
    <n v="840"/>
    <n v="0"/>
    <x v="2"/>
    <n v="840"/>
    <n v="5"/>
    <n v="42"/>
    <n v="149"/>
    <n v="882"/>
    <x v="2"/>
    <s v="Economy"/>
    <x v="1"/>
    <x v="1"/>
    <s v="Ankit Sharma"/>
    <s v="North"/>
    <s v="Patna"/>
    <s v="Bihar"/>
    <x v="1"/>
    <s v="615609"/>
    <s v="None"/>
    <n v="4"/>
    <s v="No"/>
    <s v="other"/>
    <s v="WH-05"/>
    <s v="Ekart"/>
    <d v="2023-08-31T00:00:00"/>
    <x v="132"/>
    <d v="2023-09-14T00:00:00"/>
    <s v="dubey_prakash@rediffmail_com"/>
    <s v="8496718325"/>
  </r>
  <r>
    <x v="149"/>
    <s v="Indira Gandhi"/>
    <x v="0"/>
    <s v="Jbl Flip 6"/>
    <x v="27"/>
    <x v="0"/>
    <s v="Audio"/>
    <n v="9310"/>
    <n v="3"/>
    <n v="27930"/>
    <n v="0"/>
    <x v="2"/>
    <n v="27930"/>
    <n v="18"/>
    <n v="5027.3999999999996"/>
    <n v="0"/>
    <n v="32957.4"/>
    <x v="4"/>
    <s v="Express"/>
    <x v="1"/>
    <x v="0"/>
    <s v="Vinay Joshi"/>
    <s v="Central"/>
    <s v="Cuttack"/>
    <s v="Odisha"/>
    <x v="1"/>
    <s v="790628"/>
    <s v="Newuser"/>
    <n v="5"/>
    <s v="No"/>
    <s v="other"/>
    <s v="WH-09"/>
    <s v="Delhivery"/>
    <d v="2024-06-06T00:00:00"/>
    <x v="133"/>
    <d v="2024-06-11T00:00:00"/>
    <s v="igandhi@gmail_com"/>
    <s v="8435537950"/>
  </r>
  <r>
    <x v="150"/>
    <s v="Mitesh Gandhi"/>
    <x v="1"/>
    <s v="Kurl-On King Bed"/>
    <x v="15"/>
    <x v="4"/>
    <s v="Beds"/>
    <n v="57740"/>
    <n v="6"/>
    <n v="346440"/>
    <n v="25"/>
    <x v="115"/>
    <n v="259830"/>
    <n v="5"/>
    <n v="12991.5"/>
    <n v="0"/>
    <n v="272821.5"/>
    <x v="3"/>
    <s v="Express"/>
    <x v="0"/>
    <x v="2"/>
    <s v="Arjun Das"/>
    <s v="East"/>
    <s v="Faridabad"/>
    <s v="Haryana"/>
    <x v="0"/>
    <s v="726736"/>
    <s v="Save10"/>
    <n v="4"/>
    <s v="No"/>
    <s v="other"/>
    <s v="WH-02"/>
    <s v="Delhivery"/>
    <d v="2024-01-21T00:00:00"/>
    <x v="134"/>
    <d v="2024-02-04T00:00:00"/>
    <s v="gandhi_mitesh@gmail_com"/>
    <s v="8375047930"/>
  </r>
  <r>
    <x v="151"/>
    <s v="Seema Kapoor"/>
    <x v="0"/>
    <s v="Sony Wh-1000Xm5"/>
    <x v="1"/>
    <x v="0"/>
    <s v="Audio"/>
    <n v="27600"/>
    <n v="7"/>
    <n v="193200"/>
    <n v="5"/>
    <x v="116"/>
    <n v="183540"/>
    <n v="18"/>
    <n v="33037.199999999997"/>
    <n v="0"/>
    <n v="216577.2"/>
    <x v="1"/>
    <s v="Standard"/>
    <x v="1"/>
    <x v="3"/>
    <s v="Anjali Mehta"/>
    <s v="South"/>
    <s v="Surat"/>
    <s v="Gujarat"/>
    <x v="4"/>
    <m/>
    <s v="None"/>
    <n v="5"/>
    <s v="No"/>
    <s v="other"/>
    <s v="WH-07"/>
    <s v="Ekart"/>
    <d v="2024-06-29T00:00:00"/>
    <x v="135"/>
    <d v="2024-07-10T00:00:00"/>
    <s v="seema_kapoor@gmail_com"/>
    <s v="704687506"/>
  </r>
  <r>
    <x v="152"/>
    <s v="Naveen Bajaj"/>
    <x v="0"/>
    <s v="Nikon D3500"/>
    <x v="3"/>
    <x v="0"/>
    <s v="Cameras"/>
    <n v="33520"/>
    <n v="3"/>
    <n v="100560"/>
    <n v="0"/>
    <x v="2"/>
    <n v="100560"/>
    <n v="18"/>
    <n v="18100.8"/>
    <n v="0"/>
    <n v="118660.8"/>
    <x v="5"/>
    <s v="Standard"/>
    <x v="1"/>
    <x v="2"/>
    <s v="Karim Sheikh"/>
    <s v="North"/>
    <s v="Noida"/>
    <s v="Uttar Pradesh"/>
    <x v="0"/>
    <s v="216198"/>
    <s v="None"/>
    <n v="4"/>
    <s v="Yes"/>
    <s v="Defective"/>
    <s v="WH-08"/>
    <s v="Dtdc"/>
    <d v="2023-09-02T00:00:00"/>
    <x v="136"/>
    <d v="2023-09-07T00:00:00"/>
    <s v="naveenb@gmail_com__"/>
    <s v="7049611080"/>
  </r>
  <r>
    <x v="153"/>
    <s v="Uma Shankar"/>
    <x v="0"/>
    <s v="Dell Xps 15 Laptop"/>
    <x v="23"/>
    <x v="0"/>
    <s v="Laptops"/>
    <n v="123420"/>
    <n v="1"/>
    <n v="123420"/>
    <n v="15"/>
    <x v="117"/>
    <n v="104907"/>
    <n v="18"/>
    <n v="18883.259999999998"/>
    <n v="0"/>
    <n v="123790.26"/>
    <x v="0"/>
    <s v="Express"/>
    <x v="0"/>
    <x v="1"/>
    <s v="Ritu Singh"/>
    <s v="Central"/>
    <s v="Cuttack"/>
    <s v="Odisha"/>
    <x v="1"/>
    <s v="600107"/>
    <s v="Save10"/>
    <n v="4"/>
    <s v="No"/>
    <s v="other"/>
    <s v="WH-06"/>
    <s v="Amazon Logistics"/>
    <d v="2023-07-18T00:00:00"/>
    <x v="81"/>
    <d v="2023-07-27T00:00:00"/>
    <s v="shankar_uma@gmail_com"/>
    <s v=" 8749545089"/>
  </r>
  <r>
    <x v="154"/>
    <s v="Anita Bhatt"/>
    <x v="0"/>
    <s v="Adidas Ultraboost 22"/>
    <x v="18"/>
    <x v="2"/>
    <s v="Footwear"/>
    <n v="13360"/>
    <n v="3"/>
    <n v="40080"/>
    <n v="5"/>
    <x v="107"/>
    <n v="25384"/>
    <n v="12"/>
    <n v="3046.08"/>
    <n v="0"/>
    <n v="28430.080000000002"/>
    <x v="4"/>
    <s v="Same Day"/>
    <x v="2"/>
    <x v="2"/>
    <s v="Karim Sheikh"/>
    <s v="North"/>
    <s v="Nagpur"/>
    <s v="Maharashtra"/>
    <x v="4"/>
    <s v="226360"/>
    <s v="Flat500"/>
    <n v="3"/>
    <s v="No"/>
    <s v="other"/>
    <s v="WH-04"/>
    <s v="Bluedart"/>
    <d v="2023-07-18T00:00:00"/>
    <x v="81"/>
    <d v="2023-08-19T00:00:00"/>
    <s v="anitab@outlook_com"/>
    <s v="7950033423"/>
  </r>
  <r>
    <x v="155"/>
    <s v="Muthukrishnan Arunachalam"/>
    <x v="1"/>
    <s v="Samsung 65-Inch Qled"/>
    <x v="2"/>
    <x v="0"/>
    <s v="Televisions"/>
    <n v="89390"/>
    <n v="7"/>
    <n v="625730"/>
    <n v="0"/>
    <x v="2"/>
    <n v="625730"/>
    <n v="18"/>
    <n v="112631.4"/>
    <n v="0"/>
    <n v="738361.4"/>
    <x v="1"/>
    <s v="Same Day"/>
    <x v="0"/>
    <x v="3"/>
    <s v="Ritu Singh"/>
    <s v="Central"/>
    <s v="Howrah"/>
    <s v="West Bengal"/>
    <x v="1"/>
    <s v="616774"/>
    <s v="None"/>
    <n v="3"/>
    <s v="No"/>
    <s v="other"/>
    <s v="WH-08"/>
    <s v="Bluedart"/>
    <d v="2024-03-20T00:00:00"/>
    <x v="137"/>
    <d v="2024-03-29T00:00:00"/>
    <s v="marunachalam@gmail_com"/>
    <s v="6304289731"/>
  </r>
  <r>
    <x v="156"/>
    <s v="Rohit Singh"/>
    <x v="0"/>
    <s v="Jbl Flip 6"/>
    <x v="27"/>
    <x v="0"/>
    <s v="Audio"/>
    <n v="10620"/>
    <n v="2"/>
    <n v="21240"/>
    <n v="10"/>
    <x v="118"/>
    <n v="19116"/>
    <n v="18"/>
    <n v="3440.88"/>
    <n v="0"/>
    <n v="22556.880000000001"/>
    <x v="3"/>
    <s v="Same Day"/>
    <x v="4"/>
    <x v="0"/>
    <s v="Suraj Verma"/>
    <s v="East"/>
    <s v="Jodhpur"/>
    <s v="Rajasthan"/>
    <x v="0"/>
    <s v="234349"/>
    <s v="Festive20"/>
    <n v="4"/>
    <s v="Yes"/>
    <s v="Defective"/>
    <s v="WH-09"/>
    <s v="Delhivery"/>
    <d v="2024-04-07T00:00:00"/>
    <x v="138"/>
    <d v="2024-04-19T00:00:00"/>
    <s v="rohit_singh@outlook_com"/>
    <s v="66776 65754"/>
  </r>
  <r>
    <x v="157"/>
    <s v="Parvati Devi"/>
    <x v="0"/>
    <s v="Hp Laserjet 1020"/>
    <x v="0"/>
    <x v="0"/>
    <s v="Printers"/>
    <n v="12100"/>
    <n v="1"/>
    <n v="12100"/>
    <n v="15"/>
    <x v="119"/>
    <n v="10285"/>
    <n v="18"/>
    <n v="1851.3"/>
    <n v="0"/>
    <n v="12136.3"/>
    <x v="5"/>
    <s v="Economy"/>
    <x v="2"/>
    <x v="0"/>
    <s v="Aman Bhatia"/>
    <s v="West"/>
    <s v="Chandigarh"/>
    <s v="Punjab"/>
    <x v="0"/>
    <s v="549508"/>
    <s v="None"/>
    <n v="4"/>
    <s v="No"/>
    <s v="other"/>
    <s v="WH-07"/>
    <s v="Ekart"/>
    <d v="2023-05-22T00:00:00"/>
    <x v="0"/>
    <d v="2023-08-06T00:00:00"/>
    <s v="parvatid@gmail_com"/>
    <s v="6987751536"/>
  </r>
  <r>
    <x v="158"/>
    <s v="Amit Kumar"/>
    <x v="0"/>
    <s v="Wildcraft Backpack"/>
    <x v="28"/>
    <x v="2"/>
    <s v="Bags"/>
    <n v="1960"/>
    <n v="1"/>
    <n v="1960"/>
    <n v="10"/>
    <x v="120"/>
    <n v="1764"/>
    <n v="12"/>
    <n v="211.68"/>
    <n v="79"/>
    <n v="1975.68"/>
    <x v="3"/>
    <s v="Overnight"/>
    <x v="0"/>
    <x v="2"/>
    <s v="Priya Sinha"/>
    <s v="West"/>
    <s v="Nagpur"/>
    <s v="Maharashtra"/>
    <x v="4"/>
    <s v="326510"/>
    <s v="None"/>
    <n v="5"/>
    <s v="No"/>
    <s v="other"/>
    <s v="WH-04"/>
    <s v="Bluedart"/>
    <d v="2023-06-07T00:00:00"/>
    <x v="139"/>
    <d v="2023-08-06T00:00:00"/>
    <s v="amit_kumar@hotmail_com"/>
    <s v="9164334817"/>
  </r>
  <r>
    <x v="159"/>
    <s v="Kunal Oberoi"/>
    <x v="3"/>
    <s v="Samsung 65-Inch Qled"/>
    <x v="2"/>
    <x v="0"/>
    <s v="Televisions"/>
    <n v="91590"/>
    <n v="4"/>
    <n v="366360"/>
    <n v="0"/>
    <x v="2"/>
    <n v="366360"/>
    <n v="18"/>
    <n v="65944.800000000003"/>
    <n v="0"/>
    <n v="432304.8"/>
    <x v="2"/>
    <s v="Economy"/>
    <x v="0"/>
    <x v="0"/>
    <s v="Ankit Sharma"/>
    <s v="North"/>
    <s v="Patna"/>
    <s v="Bihar"/>
    <x v="1"/>
    <s v="179987"/>
    <s v="Flat500"/>
    <n v="4"/>
    <s v="No"/>
    <s v="other"/>
    <s v="WH-12"/>
    <s v="Amazon Logistics"/>
    <d v="2023-11-14T00:00:00"/>
    <x v="140"/>
    <d v="2023-11-24T00:00:00"/>
    <s v="koberoi@gmail_com"/>
    <s v="6546926329"/>
  </r>
  <r>
    <x v="160"/>
    <s v="Chandni Gupta"/>
    <x v="3"/>
    <s v="Titan Raga"/>
    <x v="26"/>
    <x v="2"/>
    <s v="Accessories"/>
    <n v="8870"/>
    <n v="3"/>
    <n v="26610"/>
    <n v="0"/>
    <x v="2"/>
    <n v="44350"/>
    <n v="12"/>
    <n v="5322"/>
    <n v="0"/>
    <n v="49672"/>
    <x v="2"/>
    <s v="Economy"/>
    <x v="0"/>
    <x v="1"/>
    <s v="Arjun Das"/>
    <s v="East"/>
    <s v="Faridabad"/>
    <s v="Haryana"/>
    <x v="0"/>
    <s v="396526"/>
    <s v="Festive20"/>
    <n v="4"/>
    <s v="No"/>
    <s v="other"/>
    <s v="WH-06"/>
    <s v="Delhivery"/>
    <d v="2023-03-20T00:00:00"/>
    <x v="141"/>
    <d v="2023-03-30T00:00:00"/>
    <s v="chandni_gupta@gmail_com"/>
    <s v="6257771183"/>
  </r>
  <r>
    <x v="161"/>
    <s v="Divya Krishnan"/>
    <x v="3"/>
    <s v="Nike Air Max 270"/>
    <x v="21"/>
    <x v="2"/>
    <s v="Footwear"/>
    <n v="10210"/>
    <n v="2"/>
    <n v="20420"/>
    <n v="0"/>
    <x v="2"/>
    <n v="20420"/>
    <n v="12"/>
    <n v="2450.4"/>
    <n v="0"/>
    <n v="22870.400000000001"/>
    <x v="4"/>
    <s v="Express"/>
    <x v="2"/>
    <x v="4"/>
    <s v="Anjali Mehta"/>
    <s v="South"/>
    <s v="Vadodara"/>
    <s v="Gujarat"/>
    <x v="4"/>
    <s v="340788"/>
    <s v="Diwali25"/>
    <n v="5"/>
    <s v="No"/>
    <s v="other"/>
    <s v="WH-05"/>
    <s v="Dtdc"/>
    <d v="2024-06-19T00:00:00"/>
    <x v="141"/>
    <d v="2023-03-30T00:00:00"/>
    <s v="divya_krishnan@gmail_com"/>
    <s v="8220681558"/>
  </r>
  <r>
    <x v="162"/>
    <s v="Dinesh Thakur"/>
    <x v="1"/>
    <s v="Maggi Noodles 12-Pack"/>
    <x v="40"/>
    <x v="5"/>
    <s v="Instant Foods"/>
    <n v="180"/>
    <n v="8"/>
    <n v="1440"/>
    <n v="0"/>
    <x v="2"/>
    <n v="1440"/>
    <n v="5"/>
    <n v="72"/>
    <n v="49"/>
    <n v="1512"/>
    <x v="1"/>
    <s v="Economy"/>
    <x v="1"/>
    <x v="4"/>
    <s v="Karim Sheikh"/>
    <s v="North"/>
    <s v="Patna"/>
    <s v="Bihar"/>
    <x v="1"/>
    <s v="737128"/>
    <s v="Diwali25"/>
    <n v="4"/>
    <s v="No"/>
    <s v="other"/>
    <s v="WH-08"/>
    <s v="Ekart"/>
    <d v="2023-04-15T00:00:00"/>
    <x v="142"/>
    <d v="2023-05-01T00:00:00"/>
    <s v="dinesh_thakur@gmail_com"/>
    <s v="9768389030"/>
  </r>
  <r>
    <x v="163"/>
    <s v="Chandni Gupta"/>
    <x v="0"/>
    <s v="Oneplus 12"/>
    <x v="32"/>
    <x v="0"/>
    <s v="Mobile Phones"/>
    <n v="67420"/>
    <n v="1"/>
    <n v="67420"/>
    <n v="5"/>
    <x v="121"/>
    <n v="64049"/>
    <n v="18"/>
    <n v="11528.82"/>
    <n v="0"/>
    <n v="75577.820000000007"/>
    <x v="2"/>
    <s v="Express"/>
    <x v="0"/>
    <x v="4"/>
    <s v="Ritu Singh"/>
    <s v="Central"/>
    <s v="Howrah"/>
    <s v="West Bengal"/>
    <x v="1"/>
    <s v="614545"/>
    <s v="None"/>
    <n v="5"/>
    <s v="No"/>
    <s v="other"/>
    <s v="WH-06"/>
    <s v="Bluedart"/>
    <d v="2024-02-29T00:00:00"/>
    <x v="18"/>
    <d v="2024-03-12T00:00:00"/>
    <s v="chandnig@gmail_com__"/>
    <s v="9321298338"/>
  </r>
  <r>
    <x v="164"/>
    <s v="Balwinder Sandhu"/>
    <x v="0"/>
    <s v="Godrej Interio Desk"/>
    <x v="14"/>
    <x v="4"/>
    <s v="Desks"/>
    <n v="19020"/>
    <n v="2"/>
    <n v="38040"/>
    <n v="15"/>
    <x v="122"/>
    <n v="32334"/>
    <n v="5"/>
    <n v="1616.7"/>
    <n v="0"/>
    <n v="33950.699999999997"/>
    <x v="6"/>
    <s v="Overnight"/>
    <x v="4"/>
    <x v="4"/>
    <s v="Sneha Reddy"/>
    <s v="South"/>
    <s v="Indore"/>
    <s v="Madhya Pradesh"/>
    <x v="3"/>
    <s v="703084"/>
    <s v="None"/>
    <n v="4"/>
    <s v="Yes"/>
    <s v="other"/>
    <s v="WH-05"/>
    <s v="Ekart"/>
    <d v="2023-06-09T00:00:00"/>
    <x v="143"/>
    <d v="2023-06-25T00:00:00"/>
    <s v="sandhu_balwinder@gmail_com"/>
    <s v="6273230085"/>
  </r>
  <r>
    <x v="165"/>
    <s v="Harpreet Singh"/>
    <x v="0"/>
    <s v="Durian Sofa 3-Seat"/>
    <x v="24"/>
    <x v="4"/>
    <s v="Sofas"/>
    <n v="43140"/>
    <n v="4"/>
    <n v="172560"/>
    <n v="0"/>
    <x v="2"/>
    <n v="172560"/>
    <n v="5"/>
    <n v="8628"/>
    <n v="0"/>
    <n v="181188"/>
    <x v="1"/>
    <s v="Standard"/>
    <x v="2"/>
    <x v="4"/>
    <s v="Arjun Das"/>
    <s v="East"/>
    <s v="Vadodara"/>
    <s v="Gujarat"/>
    <x v="4"/>
    <s v="471123"/>
    <s v="Newuser"/>
    <n v="4"/>
    <s v="No"/>
    <s v="other"/>
    <s v="WH-05"/>
    <s v="Ekart"/>
    <d v="2023-01-03T00:00:00"/>
    <x v="144"/>
    <d v="2023-03-15T00:00:00"/>
    <s v="harpreets@gmail_com"/>
    <s v="7669183626"/>
  </r>
  <r>
    <x v="166"/>
    <s v="Jyoti Narayan"/>
    <x v="0"/>
    <s v="Iphone 15 Pro"/>
    <x v="13"/>
    <x v="0"/>
    <s v="Mobile Phones"/>
    <n v="90360"/>
    <n v="4"/>
    <n v="361440"/>
    <n v="10"/>
    <x v="123"/>
    <n v="325296"/>
    <n v="18"/>
    <n v="58553.279999999999"/>
    <n v="0"/>
    <n v="383849.28"/>
    <x v="0"/>
    <s v="Express"/>
    <x v="1"/>
    <x v="3"/>
    <s v="Vinay Joshi"/>
    <s v="Central"/>
    <s v="Lucknow"/>
    <s v="Uttar Pradesh"/>
    <x v="0"/>
    <s v="153893"/>
    <s v="Summer15"/>
    <n v="4"/>
    <s v="No"/>
    <s v="other"/>
    <s v="WH-09"/>
    <s v="Ekart"/>
    <d v="2024-05-18T00:00:00"/>
    <x v="16"/>
    <d v="2024-05-22T00:00:00"/>
    <s v="jyotin@yahoo_com"/>
    <s v="9346791214"/>
  </r>
  <r>
    <x v="167"/>
    <s v="Harish Malhotra"/>
    <x v="1"/>
    <s v="Levi'S 511 Jeans"/>
    <x v="10"/>
    <x v="2"/>
    <s v="Clothing"/>
    <n v="3120"/>
    <n v="4"/>
    <n v="12480"/>
    <n v="5"/>
    <x v="124"/>
    <n v="11856"/>
    <n v="12"/>
    <n v="1422.72"/>
    <n v="0"/>
    <n v="13278.72"/>
    <x v="3"/>
    <s v="Economy"/>
    <x v="0"/>
    <x v="2"/>
    <s v="Ritu Singh"/>
    <s v="Central"/>
    <s v="Kozhikode"/>
    <s v="Kerala"/>
    <x v="2"/>
    <s v="752350"/>
    <s v="None"/>
    <n v="4"/>
    <s v="No"/>
    <s v="other"/>
    <s v="WH-06"/>
    <s v="Bluedart"/>
    <d v="2023-12-12T00:00:00"/>
    <x v="145"/>
    <d v="2023-12-25T00:00:00"/>
    <s v="harishm@gmail_com"/>
    <s v="88435 79786"/>
  </r>
  <r>
    <x v="168"/>
    <s v="Muthukrishnan Arunachalam"/>
    <x v="1"/>
    <s v="Classmate Notebook"/>
    <x v="9"/>
    <x v="3"/>
    <s v="Books"/>
    <n v="130"/>
    <n v="6"/>
    <n v="780"/>
    <n v="15"/>
    <x v="125"/>
    <n v="663"/>
    <n v="5"/>
    <n v="33.15"/>
    <n v="49"/>
    <n v="696.15"/>
    <x v="4"/>
    <s v="Standard"/>
    <x v="0"/>
    <x v="3"/>
    <s v="Aman Bhatia"/>
    <s v="West"/>
    <s v="Noida"/>
    <s v="Uttar Pradesh"/>
    <x v="0"/>
    <s v="713951"/>
    <s v="None"/>
    <n v="5"/>
    <s v="Yes"/>
    <s v="Wrong Item"/>
    <s v="WH-11"/>
    <s v="Bluedart"/>
    <d v="2024-01-30T00:00:00"/>
    <x v="146"/>
    <d v="2024-02-07T00:00:00"/>
    <s v="arunachalam_muthukrishnan@gmail_com"/>
    <s v="8211602564"/>
  </r>
  <r>
    <x v="169"/>
    <s v="Zubair Khan"/>
    <x v="3"/>
    <s v="Camlin Art Kit"/>
    <x v="34"/>
    <x v="3"/>
    <s v="Art Supplies"/>
    <n v="560"/>
    <n v="1"/>
    <n v="560"/>
    <n v="0"/>
    <x v="2"/>
    <n v="560"/>
    <n v="5"/>
    <n v="28"/>
    <n v="79"/>
    <n v="588"/>
    <x v="2"/>
    <s v="Overnight"/>
    <x v="1"/>
    <x v="3"/>
    <s v="Pooja Nair"/>
    <s v="South"/>
    <s v="Hyderabad"/>
    <s v="Telangana"/>
    <x v="2"/>
    <s v="445691"/>
    <s v="Summer15"/>
    <n v="5"/>
    <s v="Yes"/>
    <s v="Wrong Item"/>
    <s v="WH-05"/>
    <s v="India Post"/>
    <d v="2024-03-23T00:00:00"/>
    <x v="146"/>
    <d v="2024-04-04T00:00:00"/>
    <s v="zubair_khan@gmail_com"/>
    <s v="6528993160"/>
  </r>
  <r>
    <x v="170"/>
    <s v="Divya Krishnan"/>
    <x v="0"/>
    <s v="Levi'S 511 Jeans"/>
    <x v="10"/>
    <x v="2"/>
    <s v="Clothing"/>
    <n v="3380"/>
    <n v="4"/>
    <n v="13520"/>
    <n v="20"/>
    <x v="126"/>
    <n v="10816"/>
    <n v="12"/>
    <n v="1297.92"/>
    <n v="0"/>
    <n v="12113.92"/>
    <x v="1"/>
    <s v="Standard"/>
    <x v="0"/>
    <x v="4"/>
    <s v="Aman Bhatia"/>
    <s v="West"/>
    <s v="Mangaluru"/>
    <s v="Karnataka"/>
    <x v="2"/>
    <s v="261858"/>
    <s v="None"/>
    <n v="4"/>
    <s v="No"/>
    <s v="other"/>
    <s v="WH-12"/>
    <s v="Delhivery"/>
    <d v="2024-01-21T00:00:00"/>
    <x v="147"/>
    <d v="2024-01-29T00:00:00"/>
    <s v="divya_krishnan@gmail_com"/>
    <s v="656618443"/>
  </r>
  <r>
    <x v="171"/>
    <s v="Venugopal Krishnan"/>
    <x v="0"/>
    <s v="Wildcraft Backpack"/>
    <x v="28"/>
    <x v="2"/>
    <s v="Bags"/>
    <n v="1860"/>
    <n v="1"/>
    <n v="1860"/>
    <n v="5"/>
    <x v="127"/>
    <n v="1767"/>
    <n v="12"/>
    <n v="212.04"/>
    <n v="149"/>
    <n v="1979.04"/>
    <x v="2"/>
    <s v="Standard"/>
    <x v="0"/>
    <x v="0"/>
    <s v="Pooja Nair"/>
    <s v="South"/>
    <s v="Noida"/>
    <s v="Uttar Pradesh"/>
    <x v="0"/>
    <s v="512612"/>
    <s v="None"/>
    <n v="3"/>
    <s v="No"/>
    <s v="other"/>
    <s v="WH-11"/>
    <s v="Ekart"/>
    <d v="2023-06-01T00:00:00"/>
    <x v="148"/>
    <d v="2023-06-13T00:00:00"/>
    <s v="venugopal_krishnan@gmail_com"/>
    <s v="9261764750"/>
  </r>
  <r>
    <x v="172"/>
    <s v="Preeti Deshpande"/>
    <x v="0"/>
    <s v="Dell Xps 15 Laptop"/>
    <x v="23"/>
    <x v="0"/>
    <s v="Laptops"/>
    <n v="130670"/>
    <n v="5"/>
    <n v="653350"/>
    <n v="10"/>
    <x v="128"/>
    <n v="588015"/>
    <n v="18"/>
    <n v="105842.7"/>
    <n v="0"/>
    <n v="693857.7"/>
    <x v="4"/>
    <s v="Overnight"/>
    <x v="0"/>
    <x v="0"/>
    <s v="Vinay Joshi"/>
    <s v="South"/>
    <s v="Rajkot"/>
    <s v="Gujarat"/>
    <x v="4"/>
    <s v="654676"/>
    <s v="None"/>
    <n v="4"/>
    <s v="No"/>
    <s v="other"/>
    <s v="WH-05"/>
    <s v="Ekart"/>
    <d v="2023-07-09T00:00:00"/>
    <x v="149"/>
    <d v="2023-07-15T00:00:00"/>
    <s v="preetid@gmail_com"/>
    <s v="7510293218"/>
  </r>
  <r>
    <x v="173"/>
    <s v="Ramachandran Pillai"/>
    <x v="1"/>
    <s v="Lg 8Kg Front Load"/>
    <x v="33"/>
    <x v="1"/>
    <s v="Washing Machines"/>
    <n v="44440"/>
    <n v="1"/>
    <n v="44440"/>
    <n v="0"/>
    <x v="2"/>
    <n v="44440"/>
    <n v="5"/>
    <n v="2222"/>
    <n v="0"/>
    <n v="46662"/>
    <x v="0"/>
    <s v="Express"/>
    <x v="3"/>
    <x v="0"/>
    <s v="Arjun Das"/>
    <s v="East"/>
    <s v="Howrah"/>
    <s v="West Bengal"/>
    <x v="1"/>
    <s v="137169"/>
    <s v="None"/>
    <n v="4"/>
    <s v="No"/>
    <s v="other"/>
    <s v="WH-04"/>
    <s v="Delhivery"/>
    <d v="2024-06-06T00:00:00"/>
    <x v="150"/>
    <d v="2024-06-11T00:00:00"/>
    <s v="ramachandran_pillai@gmail_com"/>
    <s v="7671462831"/>
  </r>
  <r>
    <x v="174"/>
    <s v="Parvati Devi"/>
    <x v="3"/>
    <s v="Titan Raga"/>
    <x v="26"/>
    <x v="2"/>
    <s v="Accessories"/>
    <n v="8670"/>
    <n v="2"/>
    <n v="17340"/>
    <n v="20"/>
    <x v="129"/>
    <n v="13872"/>
    <n v="12"/>
    <n v="1664.64"/>
    <n v="0"/>
    <n v="15536.64"/>
    <x v="2"/>
    <s v="Standard"/>
    <x v="0"/>
    <x v="2"/>
    <s v="Raj Kumar"/>
    <s v="North"/>
    <s v="Visakhapatnam"/>
    <s v="Andhra Pradesh"/>
    <x v="2"/>
    <s v="799505"/>
    <s v="Flat500"/>
    <n v="3"/>
    <s v="No"/>
    <s v="other"/>
    <s v="WH-07"/>
    <s v="Dtdc"/>
    <d v="2023-12-04T00:00:00"/>
    <x v="151"/>
    <d v="2023-12-13T00:00:00"/>
    <s v="parvati_devi@gmail_com"/>
    <s v="6948491025"/>
  </r>
  <r>
    <x v="175"/>
    <s v="Janaki Ramanathan"/>
    <x v="3"/>
    <s v="Voltas 1.5T Ac"/>
    <x v="19"/>
    <x v="1"/>
    <s v="Air Conditioners"/>
    <n v="40960"/>
    <n v="1"/>
    <n v="40960"/>
    <n v="15"/>
    <x v="130"/>
    <n v="34816"/>
    <n v="5"/>
    <n v="1740.8"/>
    <n v="0"/>
    <n v="36556.800000000003"/>
    <x v="3"/>
    <s v="Economy"/>
    <x v="0"/>
    <x v="0"/>
    <s v="Ritu Singh"/>
    <s v="South"/>
    <s v="Rajkot"/>
    <s v="Gujarat"/>
    <x v="4"/>
    <s v="117645"/>
    <s v="Flat500"/>
    <n v="2"/>
    <s v="No"/>
    <s v="other"/>
    <s v="WH-12"/>
    <s v="Dtdc"/>
    <d v="2023-09-13T00:00:00"/>
    <x v="152"/>
    <d v="2023-09-27T00:00:00"/>
    <s v="janaki_ramanathan@gmail_com"/>
    <s v="6129014870"/>
  </r>
  <r>
    <x v="176"/>
    <s v="Muthukrishnan Arunachalam"/>
    <x v="3"/>
    <s v="Peter England Suit"/>
    <x v="37"/>
    <x v="2"/>
    <s v="Clothing"/>
    <n v="9550"/>
    <n v="4"/>
    <n v="38200"/>
    <n v="10"/>
    <x v="131"/>
    <n v="34380"/>
    <n v="12"/>
    <n v="4125.6000000000004"/>
    <n v="0"/>
    <n v="38505.599999999999"/>
    <x v="2"/>
    <s v="Same Day"/>
    <x v="0"/>
    <x v="4"/>
    <s v="Ankit Sharma"/>
    <s v="North"/>
    <s v="Surat"/>
    <s v="Gujarat"/>
    <x v="4"/>
    <s v="422844"/>
    <s v="None"/>
    <n v="3"/>
    <s v="No"/>
    <s v="other"/>
    <s v="WH-01"/>
    <s v="Bluedart"/>
    <d v="2023-02-13T00:00:00"/>
    <x v="153"/>
    <d v="2023-02-27T00:00:00"/>
    <s v="muthukrishnana@gmail_com"/>
    <s v="8447443096"/>
  </r>
  <r>
    <x v="177"/>
    <s v="Varsha Shinde"/>
    <x v="0"/>
    <s v="Iphone 15 Pro"/>
    <x v="13"/>
    <x v="0"/>
    <s v="Mobile Phones"/>
    <n v="88710"/>
    <n v="7"/>
    <n v="620970"/>
    <n v="20"/>
    <x v="132"/>
    <n v="496776"/>
    <n v="18"/>
    <n v="89419.68"/>
    <n v="0"/>
    <n v="586195.67999999993"/>
    <x v="4"/>
    <s v="Same Day"/>
    <x v="0"/>
    <x v="4"/>
    <s v="Sneha Reddy"/>
    <s v="South"/>
    <s v="Noida"/>
    <s v="Uttar Pradesh"/>
    <x v="0"/>
    <s v="243625"/>
    <s v="None"/>
    <n v="3"/>
    <s v="No"/>
    <s v="other"/>
    <s v="WH-07"/>
    <s v="Dtdc"/>
    <d v="2024-05-18T00:00:00"/>
    <x v="154"/>
    <d v="2024-05-23T00:00:00"/>
    <s v="varsha_shinde@yahoo_co_in"/>
    <s v="72256 05313"/>
  </r>
  <r>
    <x v="178"/>
    <s v="Kiran Rao"/>
    <x v="0"/>
    <s v="Macbook Air M2"/>
    <x v="13"/>
    <x v="0"/>
    <s v="Laptops"/>
    <n v="118290"/>
    <n v="1"/>
    <n v="118290"/>
    <n v="0"/>
    <x v="2"/>
    <n v="118290"/>
    <n v="18"/>
    <n v="21292.2"/>
    <n v="0"/>
    <n v="139582.20000000001"/>
    <x v="5"/>
    <s v="Overnight"/>
    <x v="2"/>
    <x v="1"/>
    <s v="Ritu Singh"/>
    <s v="Central"/>
    <s v="Noida"/>
    <s v="Uttar Pradesh"/>
    <x v="0"/>
    <s v="163431"/>
    <s v="None"/>
    <n v="4"/>
    <s v="No"/>
    <s v="other"/>
    <s v="WH-09"/>
    <s v="Bluedart"/>
    <d v="2023-01-22T00:00:00"/>
    <x v="155"/>
    <d v="2023-01-28T00:00:00"/>
    <s v="kiranr@gmail_com"/>
    <s v="8436371892"/>
  </r>
  <r>
    <x v="179"/>
    <s v="Simran Bajwa"/>
    <x v="0"/>
    <s v="Realme Gt 5"/>
    <x v="25"/>
    <x v="0"/>
    <s v="Mobile Phones"/>
    <n v="27330"/>
    <n v="1"/>
    <n v="27330"/>
    <n v="5"/>
    <x v="133"/>
    <n v="25963.5"/>
    <n v="18"/>
    <n v="4673.43"/>
    <n v="0"/>
    <n v="30636.93"/>
    <x v="2"/>
    <s v="Express"/>
    <x v="0"/>
    <x v="1"/>
    <s v="Sneha Reddy"/>
    <s v="South"/>
    <s v="Kolkata"/>
    <s v="West Bengal"/>
    <x v="1"/>
    <s v="236201"/>
    <s v="Save10"/>
    <n v="4"/>
    <s v="No"/>
    <s v="other"/>
    <s v="WH-11"/>
    <s v="Ekart"/>
    <d v="2023-02-22T00:00:00"/>
    <x v="24"/>
    <d v="2023-02-28T00:00:00"/>
    <s v="simranb@yahoo_com"/>
    <s v="7554110825"/>
  </r>
  <r>
    <x v="180"/>
    <s v="Suresh Gupta"/>
    <x v="3"/>
    <s v="Dell Xps 15 Laptop"/>
    <x v="23"/>
    <x v="0"/>
    <s v="Laptops"/>
    <n v="129420"/>
    <n v="1"/>
    <n v="129420"/>
    <n v="0"/>
    <x v="2"/>
    <n v="129420"/>
    <n v="18"/>
    <n v="23295.599999999999"/>
    <n v="0"/>
    <n v="152715.6"/>
    <x v="6"/>
    <s v="Same Day"/>
    <x v="0"/>
    <x v="0"/>
    <s v="Ankit Sharma"/>
    <s v="North"/>
    <s v="Durgapur"/>
    <s v="West Bengal"/>
    <x v="1"/>
    <s v="338388"/>
    <s v="Diwali25"/>
    <n v="5"/>
    <s v="No"/>
    <s v="other"/>
    <s v="WH-01"/>
    <s v="Amazon Logistics"/>
    <d v="2023-12-18T00:00:00"/>
    <x v="156"/>
    <d v="2023-12-30T00:00:00"/>
    <s v="gupta_suresh@gmail_com"/>
    <s v="6942409036"/>
  </r>
  <r>
    <x v="181"/>
    <s v="Thiruvengadam Natarajan"/>
    <x v="1"/>
    <s v="Camlin Art Kit"/>
    <x v="34"/>
    <x v="3"/>
    <s v="Art Supplies"/>
    <n v="560"/>
    <n v="1"/>
    <n v="560"/>
    <n v="0"/>
    <x v="2"/>
    <n v="560"/>
    <n v="5"/>
    <n v="28"/>
    <n v="79"/>
    <n v="588"/>
    <x v="1"/>
    <s v="Express"/>
    <x v="0"/>
    <x v="3"/>
    <s v="Neha Kulkarni"/>
    <s v="West"/>
    <s v="Howrah"/>
    <s v="West Bengal"/>
    <x v="1"/>
    <s v="721594"/>
    <s v="Summer15"/>
    <n v="2"/>
    <s v="No"/>
    <s v="other"/>
    <s v="WH-12"/>
    <s v="Ekart"/>
    <d v="2023-11-07T00:00:00"/>
    <x v="157"/>
    <d v="2023-11-19T00:00:00"/>
    <s v="thiruvengadam_natarajan@outlook_com"/>
    <s v="7551842694"/>
  </r>
  <r>
    <x v="182"/>
    <s v="Janaki Ramanathan"/>
    <x v="0"/>
    <s v="Nilkamal Chair"/>
    <x v="11"/>
    <x v="4"/>
    <s v="Seating"/>
    <n v="4720"/>
    <n v="3"/>
    <n v="14160"/>
    <n v="15"/>
    <x v="118"/>
    <n v="12036"/>
    <n v="5"/>
    <n v="601.79999999999995"/>
    <n v="0"/>
    <n v="12637.8"/>
    <x v="0"/>
    <s v="Economy"/>
    <x v="0"/>
    <x v="3"/>
    <s v="Suraj Verma"/>
    <s v="East"/>
    <s v="Asansol"/>
    <s v="West Bengal"/>
    <x v="1"/>
    <s v="124211"/>
    <s v="Summer15"/>
    <n v="5"/>
    <s v="No"/>
    <s v="other"/>
    <s v="WH-11"/>
    <s v="Amazon Logistics"/>
    <d v="2024-03-28T00:00:00"/>
    <x v="86"/>
    <d v="2024-04-06T00:00:00"/>
    <s v="janaki_ramanathan@gmail_com"/>
    <s v=" 8404226931"/>
  </r>
  <r>
    <x v="183"/>
    <s v="Vijay Pillai"/>
    <x v="0"/>
    <s v="Hp Laserjet 1020"/>
    <x v="0"/>
    <x v="0"/>
    <s v="Printers"/>
    <n v="12970"/>
    <n v="1"/>
    <n v="12970"/>
    <n v="5"/>
    <x v="134"/>
    <n v="12321.5"/>
    <n v="18"/>
    <n v="2217.87"/>
    <n v="0"/>
    <n v="14539.369999999999"/>
    <x v="0"/>
    <s v="Express"/>
    <x v="1"/>
    <x v="2"/>
    <s v="Pooja Nair"/>
    <s v="South"/>
    <s v="Agra"/>
    <s v="Uttar Pradesh"/>
    <x v="0"/>
    <s v="287796"/>
    <s v="None"/>
    <n v="5"/>
    <s v="No"/>
    <s v="other"/>
    <s v="WH-04"/>
    <s v="Delhivery"/>
    <d v="2023-01-14T00:00:00"/>
    <x v="158"/>
    <d v="2023-01-23T00:00:00"/>
    <s v="vpillai@gmail_com"/>
    <s v="9001841862"/>
  </r>
  <r>
    <x v="184"/>
    <s v="Nisha Jain"/>
    <x v="0"/>
    <s v="Godrej Interio Desk"/>
    <x v="14"/>
    <x v="4"/>
    <s v="Desks"/>
    <n v="18090"/>
    <n v="1"/>
    <n v="18090"/>
    <n v="10"/>
    <x v="135"/>
    <n v="16281"/>
    <n v="5"/>
    <n v="814.05"/>
    <n v="0"/>
    <n v="17095.05"/>
    <x v="0"/>
    <s v="Same Day"/>
    <x v="1"/>
    <x v="0"/>
    <s v="Raj Kumar"/>
    <s v="North"/>
    <s v="Coimbatore"/>
    <s v="Tamil Nadu"/>
    <x v="2"/>
    <s v="459664"/>
    <s v="Newuser"/>
    <n v="3"/>
    <s v="No"/>
    <s v="other"/>
    <s v="WH-11"/>
    <s v="Amazon Logistics"/>
    <d v="2024-01-05T00:00:00"/>
    <x v="159"/>
    <d v="2024-01-08T00:00:00"/>
    <s v="nisha_jain@gmail_com"/>
    <s v="6252677119"/>
  </r>
  <r>
    <x v="185"/>
    <s v="Gurpreet Kaur"/>
    <x v="0"/>
    <s v="Fastrack Watch"/>
    <x v="6"/>
    <x v="2"/>
    <s v="Accessories"/>
    <n v="2470"/>
    <n v="3"/>
    <n v="7410"/>
    <n v="10"/>
    <x v="136"/>
    <n v="6669"/>
    <n v="12"/>
    <n v="800.28"/>
    <n v="0"/>
    <n v="7469.28"/>
    <x v="1"/>
    <s v="Express"/>
    <x v="1"/>
    <x v="1"/>
    <s v="Karim Sheikh"/>
    <s v="North"/>
    <s v="Durgapur"/>
    <s v="West Bengal"/>
    <x v="1"/>
    <s v="732777"/>
    <s v="Flat500"/>
    <n v="3"/>
    <s v="No"/>
    <s v="other"/>
    <s v="WH-01"/>
    <s v="Delhivery"/>
    <d v="2024-06-29T00:00:00"/>
    <x v="135"/>
    <d v="2024-07-09T00:00:00"/>
    <s v="gurpreet_kaur@outlook_com__"/>
    <s v=" 8524728633"/>
  </r>
  <r>
    <x v="186"/>
    <s v="Priya Patel"/>
    <x v="2"/>
    <s v="Wildcraft Backpack"/>
    <x v="28"/>
    <x v="2"/>
    <s v="Bags"/>
    <n v="1930"/>
    <n v="4"/>
    <n v="7720"/>
    <n v="5"/>
    <x v="137"/>
    <n v="7334"/>
    <n v="12"/>
    <n v="880.08"/>
    <n v="0"/>
    <n v="8214.08"/>
    <x v="4"/>
    <s v="Standard"/>
    <x v="0"/>
    <x v="3"/>
    <s v="Priya Sinha"/>
    <s v="West"/>
    <s v="Visakhapatnam"/>
    <s v="Andhra Pradesh"/>
    <x v="2"/>
    <s v="601191"/>
    <s v="Festive20"/>
    <n v="4"/>
    <s v="No"/>
    <s v="other"/>
    <s v="WH-11"/>
    <s v="Dtdc"/>
    <d v="2023-07-06T00:00:00"/>
    <x v="46"/>
    <d v="2023-07-14T00:00:00"/>
    <s v="priya_patel@yahoo_co_in"/>
    <s v="9849843624"/>
  </r>
  <r>
    <x v="187"/>
    <s v="Deepak Nair"/>
    <x v="3"/>
    <s v="Voltas 1.5T Ac"/>
    <x v="19"/>
    <x v="1"/>
    <s v="Air Conditioners"/>
    <n v="39700"/>
    <n v="2"/>
    <n v="79400"/>
    <n v="5"/>
    <x v="138"/>
    <n v="75430"/>
    <n v="5"/>
    <n v="3771.5"/>
    <n v="0"/>
    <n v="79201.5"/>
    <x v="0"/>
    <s v="Overnight"/>
    <x v="0"/>
    <x v="1"/>
    <s v="Sneha Reddy"/>
    <s v="South"/>
    <s v="Jamshedpur"/>
    <s v="Jharkhand"/>
    <x v="1"/>
    <s v="638041"/>
    <s v="Festive20"/>
    <n v="4"/>
    <s v="No"/>
    <s v="other"/>
    <s v="WH-03"/>
    <s v="Delhivery"/>
    <d v="2023-07-19T00:00:00"/>
    <x v="160"/>
    <d v="2023-07-25T00:00:00"/>
    <s v="deepakn@yahoo_com"/>
    <s v="9909700514"/>
  </r>
  <r>
    <x v="188"/>
    <s v="Rohit Singh"/>
    <x v="0"/>
    <s v="Epson L3250"/>
    <x v="39"/>
    <x v="0"/>
    <s v="Printers"/>
    <n v="15270"/>
    <n v="1"/>
    <n v="15270"/>
    <n v="10"/>
    <x v="139"/>
    <n v="13743"/>
    <n v="18"/>
    <n v="2473.7399999999998"/>
    <n v="0"/>
    <n v="16216.74"/>
    <x v="1"/>
    <s v="Express"/>
    <x v="0"/>
    <x v="0"/>
    <s v="Priya Sinha"/>
    <s v="West"/>
    <s v="Lucknow"/>
    <s v="Uttar Pradesh"/>
    <x v="0"/>
    <s v="181473"/>
    <s v="None"/>
    <n v="5"/>
    <s v="No"/>
    <s v="other"/>
    <s v="WH-06"/>
    <s v="Bluedart"/>
    <d v="2024-04-19T00:00:00"/>
    <x v="161"/>
    <d v="2024-04-23T00:00:00"/>
    <s v="rsingh@outlook_com"/>
    <s v="606339912"/>
  </r>
  <r>
    <x v="189"/>
    <s v="Parag Soni"/>
    <x v="3"/>
    <s v="Logitech Mx Master 3"/>
    <x v="41"/>
    <x v="0"/>
    <s v="Accessories"/>
    <n v="8980"/>
    <n v="10"/>
    <n v="89800"/>
    <n v="5"/>
    <x v="140"/>
    <n v="85310"/>
    <n v="18"/>
    <n v="15355.8"/>
    <n v="0"/>
    <n v="100665.8"/>
    <x v="5"/>
    <s v="Overnight"/>
    <x v="0"/>
    <x v="4"/>
    <s v="Neha Kulkarni"/>
    <s v="West"/>
    <s v="Kozhikode"/>
    <s v="Kerala"/>
    <x v="2"/>
    <s v="223612"/>
    <s v="None"/>
    <n v="3"/>
    <s v="No"/>
    <s v="other"/>
    <s v="WH-07"/>
    <s v="Ekart"/>
    <d v="2024-03-28T00:00:00"/>
    <x v="162"/>
    <d v="2024-07-04T00:00:00"/>
    <s v="psoni@gmail_com"/>
    <s v="8903802146"/>
  </r>
  <r>
    <x v="190"/>
    <s v="Arun Das"/>
    <x v="1"/>
    <s v="Lg 8Kg Front Load"/>
    <x v="33"/>
    <x v="1"/>
    <s v="Washing Machines"/>
    <n v="48350"/>
    <n v="2"/>
    <n v="96700"/>
    <n v="20"/>
    <x v="141"/>
    <n v="77360"/>
    <n v="5"/>
    <n v="3868"/>
    <n v="0"/>
    <n v="81228"/>
    <x v="0"/>
    <s v="Same Day"/>
    <x v="0"/>
    <x v="0"/>
    <s v="Ankit Sharma"/>
    <s v="North"/>
    <s v="Coimbatore"/>
    <s v="Tamil Nadu"/>
    <x v="2"/>
    <s v="282526"/>
    <s v="Save10"/>
    <n v="5"/>
    <s v="No"/>
    <s v="other"/>
    <s v="WH-07"/>
    <s v="Bluedart"/>
    <d v="2024-05-12T00:00:00"/>
    <x v="163"/>
    <d v="2024-05-23T00:00:00"/>
    <s v="arund@rediffmail_com__"/>
    <s v="9644212146"/>
  </r>
  <r>
    <x v="191"/>
    <s v="Sanjay Mishra"/>
    <x v="0"/>
    <s v="Classmate Notebook"/>
    <x v="9"/>
    <x v="3"/>
    <s v="Books"/>
    <n v="110"/>
    <n v="7"/>
    <n v="770"/>
    <n v="15"/>
    <x v="142"/>
    <n v="654.5"/>
    <n v="5"/>
    <n v="32.729999999999997"/>
    <n v="79"/>
    <n v="687.23"/>
    <x v="4"/>
    <s v="Same Day"/>
    <x v="0"/>
    <x v="1"/>
    <s v="Arjun Das"/>
    <s v="East"/>
    <s v="Vijayawada"/>
    <s v="Andhra Pradesh"/>
    <x v="2"/>
    <s v="240805"/>
    <s v="Summer15"/>
    <n v="5"/>
    <s v="No"/>
    <s v="other"/>
    <s v="WH-11"/>
    <s v="India Post"/>
    <d v="2024-02-03T00:00:00"/>
    <x v="164"/>
    <d v="2024-02-12T00:00:00"/>
    <s v="smishra@gmail_com"/>
    <s v="8727910336"/>
  </r>
  <r>
    <x v="192"/>
    <s v="Varsha Shinde"/>
    <x v="0"/>
    <s v="Fastrack Watch"/>
    <x v="6"/>
    <x v="2"/>
    <s v="Accessories"/>
    <n v="2520"/>
    <n v="2"/>
    <n v="5040"/>
    <n v="0"/>
    <x v="2"/>
    <n v="5040"/>
    <n v="12"/>
    <n v="604.79999999999995"/>
    <n v="0"/>
    <n v="5644.8"/>
    <x v="3"/>
    <s v="Economy"/>
    <x v="0"/>
    <x v="3"/>
    <s v="Deepa Menon"/>
    <s v="South"/>
    <s v="Vijayawada"/>
    <s v="Andhra Pradesh"/>
    <x v="2"/>
    <s v="786185"/>
    <s v="None"/>
    <n v="5"/>
    <s v="No"/>
    <s v="other"/>
    <s v="WH-12"/>
    <s v="Bluedart"/>
    <d v="2023-12-10T00:00:00"/>
    <x v="165"/>
    <d v="2023-12-15T00:00:00"/>
    <s v="varsha_shinde@yahoo_co_in"/>
    <s v="7179817890"/>
  </r>
  <r>
    <x v="193"/>
    <s v="Manoj Tomar"/>
    <x v="3"/>
    <s v="Van Heusen Shirt"/>
    <x v="42"/>
    <x v="2"/>
    <s v="Clothing"/>
    <n v="1700"/>
    <n v="1"/>
    <n v="1700"/>
    <n v="0"/>
    <x v="2"/>
    <n v="1700"/>
    <n v="12"/>
    <n v="204"/>
    <n v="49"/>
    <n v="1904"/>
    <x v="3"/>
    <s v="Overnight"/>
    <x v="0"/>
    <x v="0"/>
    <s v="Neha Kulkarni"/>
    <s v="West"/>
    <s v="Mangaluru"/>
    <s v="Karnataka"/>
    <x v="2"/>
    <m/>
    <s v="Diwali25"/>
    <n v="3"/>
    <s v="Yes"/>
    <s v="Defective"/>
    <s v="WH-11"/>
    <s v="Ekart"/>
    <d v="2023-09-28T00:00:00"/>
    <x v="106"/>
    <d v="2023-10-09T00:00:00"/>
    <s v="manoj_tomar@yahoo_com"/>
    <s v="862626582"/>
  </r>
  <r>
    <x v="194"/>
    <s v="Thiruvengadam Natarajan"/>
    <x v="0"/>
    <s v="Fastrack Watch"/>
    <x v="6"/>
    <x v="2"/>
    <s v="Accessories"/>
    <n v="2610"/>
    <n v="3"/>
    <n v="7830"/>
    <n v="0"/>
    <x v="2"/>
    <n v="7830"/>
    <n v="12"/>
    <n v="939.6"/>
    <n v="0"/>
    <n v="8769.6"/>
    <x v="0"/>
    <s v="Same Day"/>
    <x v="1"/>
    <x v="4"/>
    <s v="Ankit Sharma"/>
    <s v="North"/>
    <s v="Gurugram"/>
    <s v="Haryana"/>
    <x v="0"/>
    <s v="550305"/>
    <s v="None"/>
    <n v="5"/>
    <s v="No"/>
    <s v="other"/>
    <s v="WH-06"/>
    <s v="Dtdc"/>
    <d v="2024-01-27T00:00:00"/>
    <x v="134"/>
    <d v="2024-02-01T00:00:00"/>
    <s v="thiruvengadam_natarajan@outlook_com"/>
    <s v="7911791124"/>
  </r>
  <r>
    <x v="195"/>
    <s v="Anand Swaminathan"/>
    <x v="3"/>
    <s v="Durian Sofa 3-Seat"/>
    <x v="24"/>
    <x v="4"/>
    <s v="Sofas"/>
    <n v="45820"/>
    <n v="2"/>
    <n v="91640"/>
    <n v="10"/>
    <x v="143"/>
    <n v="82476"/>
    <n v="5"/>
    <n v="4123.8"/>
    <n v="0"/>
    <n v="86599.8"/>
    <x v="1"/>
    <s v="Same Day"/>
    <x v="0"/>
    <x v="1"/>
    <s v="Vinay Joshi"/>
    <s v="Central"/>
    <s v="Patna"/>
    <s v="Bihar"/>
    <x v="1"/>
    <s v="726122"/>
    <s v="Flat500"/>
    <n v="4"/>
    <s v="No"/>
    <s v="other"/>
    <s v="WH-04"/>
    <s v="India Post"/>
    <d v="2023-02-02T00:00:00"/>
    <x v="54"/>
    <d v="2023-02-10T00:00:00"/>
    <s v="anands@gmail_com"/>
    <s v="7312447315"/>
  </r>
  <r>
    <x v="196"/>
    <s v="Eswaran Murugan"/>
    <x v="0"/>
    <s v="Amul Butter 500G"/>
    <x v="38"/>
    <x v="5"/>
    <s v="Dairy"/>
    <n v="280"/>
    <n v="2"/>
    <n v="560"/>
    <n v="5"/>
    <x v="144"/>
    <n v="532"/>
    <n v="5"/>
    <n v="26.6"/>
    <n v="49"/>
    <n v="558.6"/>
    <x v="2"/>
    <s v="Overnight"/>
    <x v="0"/>
    <x v="3"/>
    <s v="Vinay Joshi"/>
    <s v="Central"/>
    <s v="Mysuru"/>
    <s v="Karnataka"/>
    <x v="2"/>
    <s v="217920"/>
    <s v="None"/>
    <n v="3"/>
    <s v="No"/>
    <s v="other"/>
    <s v="WH-12"/>
    <s v="Dtdc"/>
    <d v="2023-11-23T00:00:00"/>
    <x v="166"/>
    <d v="2023-12-01T00:00:00"/>
    <s v="eswaran_murugan@rediffmail_com"/>
    <s v="7625313552"/>
  </r>
  <r>
    <x v="197"/>
    <s v="Nisha Jain"/>
    <x v="3"/>
    <s v="Wildcraft Backpack"/>
    <x v="28"/>
    <x v="2"/>
    <s v="Bags"/>
    <n v="2000"/>
    <n v="1"/>
    <n v="2000"/>
    <n v="0"/>
    <x v="2"/>
    <n v="2000"/>
    <n v="12"/>
    <n v="240"/>
    <n v="99"/>
    <n v="2240"/>
    <x v="2"/>
    <s v="Economy"/>
    <x v="0"/>
    <x v="4"/>
    <s v="Sneha Reddy"/>
    <s v="South"/>
    <s v="Jamshedpur"/>
    <s v="Jharkhand"/>
    <x v="1"/>
    <s v="586664"/>
    <s v="None"/>
    <n v="3"/>
    <s v="No"/>
    <s v="other"/>
    <s v="WH-11"/>
    <s v="India Post"/>
    <d v="2024-03-21T00:00:00"/>
    <x v="167"/>
    <d v="2024-03-31T00:00:00"/>
    <s v="nisha_jain@gmail_com"/>
    <s v="626088050"/>
  </r>
  <r>
    <x v="198"/>
    <s v="Hussain Ali"/>
    <x v="3"/>
    <s v="Lenovo Thinkpad E14"/>
    <x v="4"/>
    <x v="0"/>
    <s v="Laptops"/>
    <n v="61350"/>
    <n v="20"/>
    <n v="1227000"/>
    <n v="15"/>
    <x v="145"/>
    <n v="1042950"/>
    <n v="18"/>
    <n v="187731"/>
    <n v="0"/>
    <n v="1230681"/>
    <x v="2"/>
    <s v="Express"/>
    <x v="0"/>
    <x v="3"/>
    <s v="Suraj Verma"/>
    <s v="East"/>
    <s v="Pune"/>
    <s v="Maharashtra"/>
    <x v="4"/>
    <s v="447549"/>
    <s v="None"/>
    <n v="5"/>
    <s v="No"/>
    <s v="other"/>
    <s v="WH-08"/>
    <s v="Delhivery"/>
    <d v="2023-02-18T00:00:00"/>
    <x v="24"/>
    <d v="2023-02-27T00:00:00"/>
    <s v="hali@yahoo_co_in"/>
    <s v="7964229712"/>
  </r>
  <r>
    <x v="199"/>
    <s v="Vijay Pillai"/>
    <x v="0"/>
    <s v="Godrej 236L Fridge"/>
    <x v="14"/>
    <x v="1"/>
    <s v="Refrigerators"/>
    <n v="21980"/>
    <n v="1"/>
    <n v="21980"/>
    <n v="0"/>
    <x v="2"/>
    <n v="21980"/>
    <n v="5"/>
    <n v="1099"/>
    <n v="0"/>
    <n v="23079"/>
    <x v="5"/>
    <s v="Economy"/>
    <x v="1"/>
    <x v="4"/>
    <s v="Vinay Joshi"/>
    <s v="Central"/>
    <s v="Asansol"/>
    <s v="West Bengal"/>
    <x v="1"/>
    <s v="593233"/>
    <s v="None"/>
    <n v="4"/>
    <s v="No"/>
    <s v="other"/>
    <s v="WH-01"/>
    <s v="Bluedart"/>
    <d v="2023-09-06T00:00:00"/>
    <x v="168"/>
    <d v="2023-09-17T00:00:00"/>
    <s v="vpillai@gmail_com"/>
    <s v="8812356798"/>
  </r>
  <r>
    <x v="200"/>
    <s v="Usha Chopra"/>
    <x v="3"/>
    <s v="Macbook Air M2"/>
    <x v="13"/>
    <x v="0"/>
    <s v="Laptops"/>
    <n v="115050"/>
    <n v="3"/>
    <n v="345150"/>
    <n v="0"/>
    <x v="2"/>
    <n v="345150"/>
    <n v="18"/>
    <n v="62127"/>
    <n v="0"/>
    <n v="407277"/>
    <x v="2"/>
    <s v="Standard"/>
    <x v="0"/>
    <x v="2"/>
    <s v="Raj Kumar"/>
    <s v="North"/>
    <s v="Asansol"/>
    <s v="West Bengal"/>
    <x v="1"/>
    <s v="777838"/>
    <s v="None"/>
    <n v="4"/>
    <s v="No"/>
    <s v="other"/>
    <s v="WH-10"/>
    <s v="Delhivery"/>
    <d v="2023-12-29T00:00:00"/>
    <x v="169"/>
    <d v="2024-01-07T00:00:00"/>
    <s v="usha_chopra@yahoo_co_in"/>
    <s v="9131009431"/>
  </r>
  <r>
    <x v="43"/>
    <s v="Balwinder Sandhu"/>
    <x v="0"/>
    <s v="Classmate Notebook"/>
    <x v="9"/>
    <x v="3"/>
    <s v="Books"/>
    <n v="110"/>
    <n v="4"/>
    <n v="440"/>
    <n v="5"/>
    <x v="146"/>
    <n v="418"/>
    <n v="5"/>
    <n v="20.9"/>
    <n v="149"/>
    <n v="438.9"/>
    <x v="2"/>
    <s v="Economy"/>
    <x v="0"/>
    <x v="2"/>
    <s v="Karim Sheikh"/>
    <s v="North"/>
    <s v="Gaya"/>
    <s v="Bihar"/>
    <x v="1"/>
    <s v="491986"/>
    <s v="Diwali25"/>
    <n v="4"/>
    <s v="Yes"/>
    <s v="other"/>
    <s v="WH-05"/>
    <s v="Ekart"/>
    <d v="2023-11-09T00:00:00"/>
    <x v="170"/>
    <d v="2023-11-21T00:00:00"/>
    <s v="bsandhu@gmail_com"/>
    <s v="8073710094"/>
  </r>
  <r>
    <x v="201"/>
    <s v="Muthukrishnan Arunachalam"/>
    <x v="0"/>
    <s v="Nilkamal Chair"/>
    <x v="11"/>
    <x v="4"/>
    <s v="Seating"/>
    <n v="4840"/>
    <n v="1"/>
    <n v="4840"/>
    <n v="20"/>
    <x v="147"/>
    <n v="3872"/>
    <n v="5"/>
    <n v="193.6"/>
    <n v="79"/>
    <n v="4065.6"/>
    <x v="2"/>
    <s v="Express"/>
    <x v="0"/>
    <x v="0"/>
    <s v="Raj Kumar"/>
    <s v="North"/>
    <s v="Kozhikode"/>
    <s v="Kerala"/>
    <x v="2"/>
    <s v="264279"/>
    <s v="None"/>
    <n v="3"/>
    <s v="No"/>
    <s v="other"/>
    <s v="WH-03"/>
    <s v="Dtdc"/>
    <d v="2023-10-04T00:00:00"/>
    <x v="171"/>
    <d v="2023-10-20T00:00:00"/>
    <s v="arunachalam_muthukrishnan@gmail_com"/>
    <s v="7824556964"/>
  </r>
  <r>
    <x v="202"/>
    <s v="Nagalakshmi Venkatesh"/>
    <x v="0"/>
    <s v="Samsung 65-Inch Qled"/>
    <x v="2"/>
    <x v="0"/>
    <s v="Televisions"/>
    <n v="91700"/>
    <n v="1"/>
    <n v="91700"/>
    <n v="10"/>
    <x v="148"/>
    <n v="82530"/>
    <n v="18"/>
    <n v="14855.4"/>
    <n v="0"/>
    <n v="97385.4"/>
    <x v="3"/>
    <s v="Standard"/>
    <x v="0"/>
    <x v="2"/>
    <s v="Karim Sheikh"/>
    <s v="North"/>
    <s v="Hubballi"/>
    <s v="Karnataka"/>
    <x v="2"/>
    <s v="448145"/>
    <s v="Diwali25"/>
    <n v="4"/>
    <s v="No"/>
    <s v="other"/>
    <s v="WH-03"/>
    <s v="Ekart"/>
    <d v="2023-10-23T00:00:00"/>
    <x v="55"/>
    <d v="2023-10-30T00:00:00"/>
    <s v="venkatesh_nagalakshmi@yahoo_com"/>
    <s v="6423691430"/>
  </r>
  <r>
    <x v="203"/>
    <s v="Dinesh Thakur"/>
    <x v="3"/>
    <s v="Whirlpool 7Kg Washer"/>
    <x v="35"/>
    <x v="1"/>
    <s v="Washing Machines"/>
    <n v="31680"/>
    <n v="6"/>
    <n v="190080"/>
    <n v="0"/>
    <x v="2"/>
    <n v="190080"/>
    <n v="5"/>
    <n v="9504"/>
    <n v="0"/>
    <n v="199584"/>
    <x v="3"/>
    <s v="Overnight"/>
    <x v="0"/>
    <x v="3"/>
    <s v="Neha Kulkarni"/>
    <s v="West"/>
    <s v="Gurugram"/>
    <s v="Haryana"/>
    <x v="0"/>
    <s v="222249"/>
    <s v="None"/>
    <n v="3"/>
    <s v="No"/>
    <s v="other"/>
    <s v="WH-02"/>
    <s v="Ekart"/>
    <d v="2024-04-17T00:00:00"/>
    <x v="172"/>
    <d v="2024-04-26T00:00:00"/>
    <s v="dinesh_thakur@gmail_com"/>
    <s v=" 7943985298"/>
  </r>
  <r>
    <x v="204"/>
    <s v="Chandra Sekar"/>
    <x v="3"/>
    <s v="Kurl-On King Bed"/>
    <x v="15"/>
    <x v="4"/>
    <s v="Beds"/>
    <n v="59110"/>
    <n v="3"/>
    <n v="177330"/>
    <n v="0"/>
    <x v="2"/>
    <n v="177330"/>
    <n v="5"/>
    <n v="8866.5"/>
    <n v="0"/>
    <n v="186196.5"/>
    <x v="1"/>
    <s v="Express"/>
    <x v="4"/>
    <x v="3"/>
    <s v="Aman Bhatia"/>
    <s v="West"/>
    <s v="Kolkata"/>
    <s v="West Bengal"/>
    <x v="1"/>
    <s v="239181"/>
    <s v="None"/>
    <n v="2"/>
    <s v="Yes"/>
    <s v="Defective"/>
    <s v="WH-03"/>
    <s v="Delhivery"/>
    <d v="2023-02-24T00:00:00"/>
    <x v="172"/>
    <d v="2023-03-07T00:00:00"/>
    <s v="chandra_sekar@gmail_com__"/>
    <s v="6918133170"/>
  </r>
  <r>
    <x v="205"/>
    <s v="Paramjit Brar"/>
    <x v="3"/>
    <s v="Amul Butter 500G"/>
    <x v="38"/>
    <x v="5"/>
    <s v="Dairy"/>
    <n v="300"/>
    <n v="4"/>
    <n v="1200"/>
    <n v="5"/>
    <x v="149"/>
    <n v="1140"/>
    <n v="5"/>
    <n v="57"/>
    <n v="99"/>
    <n v="1197"/>
    <x v="1"/>
    <s v="Standard"/>
    <x v="0"/>
    <x v="2"/>
    <s v="Deepa Menon"/>
    <s v="South"/>
    <s v="Vadodara"/>
    <s v="Gujarat"/>
    <x v="4"/>
    <s v="256842"/>
    <s v="None"/>
    <n v="5"/>
    <s v="No"/>
    <s v="other"/>
    <s v="WH-11"/>
    <s v="Bluedart"/>
    <d v="2023-07-25T00:00:00"/>
    <x v="173"/>
    <d v="2023-08-07T00:00:00"/>
    <s v="paramjit_brar@gmail_com"/>
    <s v="7705277402"/>
  </r>
  <r>
    <x v="206"/>
    <s v="Simran Bajwa"/>
    <x v="3"/>
    <s v="Daikin 1.5T Inverter"/>
    <x v="30"/>
    <x v="1"/>
    <s v="Air Conditioners"/>
    <n v="43270"/>
    <n v="3"/>
    <n v="129810"/>
    <n v="5"/>
    <x v="150"/>
    <n v="123319.5"/>
    <n v="5"/>
    <n v="6165.98"/>
    <n v="0"/>
    <n v="129485.48"/>
    <x v="3"/>
    <s v="Overnight"/>
    <x v="4"/>
    <x v="0"/>
    <s v="Ankit Sharma"/>
    <s v="North"/>
    <s v="Kozhikode"/>
    <s v="Kerala"/>
    <x v="2"/>
    <s v="711652"/>
    <s v="None"/>
    <n v="4"/>
    <s v="Yes"/>
    <s v="Late Delivery"/>
    <s v="WH-05"/>
    <s v="Bluedart"/>
    <d v="2023-07-04T00:00:00"/>
    <x v="31"/>
    <d v="2023-07-19T00:00:00"/>
    <s v="simran_bajwa@yahoo_com"/>
    <s v="7533126610"/>
  </r>
  <r>
    <x v="207"/>
    <s v="Sanjay Mishra"/>
    <x v="0"/>
    <s v="Milton Water Purifier"/>
    <x v="22"/>
    <x v="1"/>
    <s v="Kitchen"/>
    <n v="9520"/>
    <n v="4"/>
    <n v="38080"/>
    <n v="15"/>
    <x v="151"/>
    <n v="32368"/>
    <n v="5"/>
    <n v="1618.4"/>
    <n v="0"/>
    <n v="33986.400000000001"/>
    <x v="3"/>
    <s v="Economy"/>
    <x v="4"/>
    <x v="0"/>
    <s v="Ritu Singh"/>
    <s v="Central"/>
    <s v="Howrah"/>
    <s v="West Bengal"/>
    <x v="1"/>
    <s v="413979"/>
    <s v="None"/>
    <n v="5"/>
    <s v="Yes"/>
    <s v="other"/>
    <s v="WH-07"/>
    <s v="Ekart"/>
    <d v="2023-07-16T00:00:00"/>
    <x v="174"/>
    <d v="2023-07-19T00:00:00"/>
    <s v="mishra_sanjay@gmail_com"/>
    <s v="6978559821"/>
  </r>
  <r>
    <x v="208"/>
    <s v="Prakash Dubey"/>
    <x v="0"/>
    <s v="Peter England Suit"/>
    <x v="37"/>
    <x v="2"/>
    <s v="Clothing"/>
    <n v="9120"/>
    <n v="7"/>
    <n v="63840"/>
    <n v="20"/>
    <x v="152"/>
    <n v="51072"/>
    <n v="12"/>
    <n v="6128.64"/>
    <n v="0"/>
    <n v="57200.639999999999"/>
    <x v="1"/>
    <s v="Standard"/>
    <x v="5"/>
    <x v="1"/>
    <s v="Deepa Menon"/>
    <s v="South"/>
    <s v="Gaya"/>
    <s v="Bihar"/>
    <x v="1"/>
    <m/>
    <s v="Diwali25"/>
    <n v="3"/>
    <s v="No"/>
    <s v="other"/>
    <s v="WH-01"/>
    <s v="Delhivery"/>
    <d v="2023-11-16T00:00:00"/>
    <x v="175"/>
    <d v="2023-11-22T00:00:00"/>
    <s v="pdubey@rediffmail_com"/>
    <s v="9371990516"/>
  </r>
  <r>
    <x v="209"/>
    <s v="Parvati Devi"/>
    <x v="0"/>
    <s v="Kurl-On King Bed"/>
    <x v="15"/>
    <x v="4"/>
    <s v="Beds"/>
    <n v="54380"/>
    <n v="4"/>
    <n v="217520"/>
    <n v="5"/>
    <x v="153"/>
    <n v="206644"/>
    <n v="5"/>
    <n v="10332.200000000001"/>
    <n v="0"/>
    <n v="216976.2"/>
    <x v="5"/>
    <s v="Standard"/>
    <x v="0"/>
    <x v="0"/>
    <s v="Anjali Mehta"/>
    <s v="South"/>
    <s v="Indore"/>
    <s v="Madhya Pradesh"/>
    <x v="3"/>
    <s v="325861"/>
    <s v="Diwali25"/>
    <n v="3"/>
    <s v="No"/>
    <s v="other"/>
    <s v="WH-12"/>
    <s v="Ekart"/>
    <d v="2024-05-08T00:00:00"/>
    <x v="176"/>
    <d v="2024-05-17T00:00:00"/>
    <s v="parvati_devi@gmail_com"/>
    <s v="8900301027"/>
  </r>
  <r>
    <x v="210"/>
    <s v="Venkatesan  Rajan"/>
    <x v="0"/>
    <s v="Epson L3250"/>
    <x v="39"/>
    <x v="0"/>
    <s v="Printers"/>
    <n v="14860"/>
    <n v="3"/>
    <n v="44580"/>
    <n v="20"/>
    <x v="154"/>
    <n v="35664"/>
    <n v="18"/>
    <n v="6419.52"/>
    <n v="0"/>
    <n v="42083.520000000004"/>
    <x v="6"/>
    <s v="Economy"/>
    <x v="1"/>
    <x v="3"/>
    <s v="Suraj Verma"/>
    <s v="East"/>
    <s v="Jamshedpur"/>
    <s v="Jharkhand"/>
    <x v="1"/>
    <s v="562026"/>
    <s v="Festive20"/>
    <n v="4"/>
    <s v="No"/>
    <s v="other"/>
    <s v="WH-11"/>
    <s v="Bluedart"/>
    <d v="2024-06-23T00:00:00"/>
    <x v="177"/>
    <d v="2024-07-03T00:00:00"/>
    <s v="vrajan@gmail_com"/>
    <s v="7037710704"/>
  </r>
  <r>
    <x v="211"/>
    <s v="Sunita Verma"/>
    <x v="3"/>
    <s v="Nilkamal Chair"/>
    <x v="11"/>
    <x v="4"/>
    <s v="Seating"/>
    <n v="4740"/>
    <n v="2"/>
    <n v="9480"/>
    <n v="5"/>
    <x v="155"/>
    <n v="9006"/>
    <n v="5"/>
    <n v="450.3"/>
    <n v="0"/>
    <n v="9456.2999999999993"/>
    <x v="1"/>
    <s v="Standard"/>
    <x v="0"/>
    <x v="1"/>
    <s v="Arjun Das"/>
    <s v="East"/>
    <s v="Jabalpur"/>
    <s v="Madhya Pradesh"/>
    <x v="3"/>
    <s v="431803"/>
    <s v="None"/>
    <n v="3"/>
    <s v="No"/>
    <s v="other"/>
    <s v="WH-06"/>
    <s v="Ekart"/>
    <d v="2023-09-26T00:00:00"/>
    <x v="178"/>
    <d v="2023-10-08T00:00:00"/>
    <s v="verma_sunita@gmail_com"/>
    <s v="9426732044"/>
  </r>
  <r>
    <x v="212"/>
    <s v="Roshni Modi"/>
    <x v="1"/>
    <s v="Samsung Galaxy S24"/>
    <x v="2"/>
    <x v="0"/>
    <s v="Mobile Phones"/>
    <n v="71610"/>
    <n v="6"/>
    <n v="429660"/>
    <n v="0"/>
    <x v="2"/>
    <n v="429660"/>
    <n v="18"/>
    <n v="77338.8"/>
    <n v="0"/>
    <n v="506998.8"/>
    <x v="3"/>
    <s v="Overnight"/>
    <x v="4"/>
    <x v="0"/>
    <s v="Anjali Mehta"/>
    <s v="South"/>
    <s v="Kochi"/>
    <s v="Kerala"/>
    <x v="2"/>
    <s v="476719"/>
    <s v="Diwali25"/>
    <n v="5"/>
    <s v="Yes"/>
    <s v="other"/>
    <s v="WH-08"/>
    <s v="Delhivery"/>
    <d v="2024-04-22T00:00:00"/>
    <x v="179"/>
    <d v="2024-04-30T00:00:00"/>
    <s v="roshni_modi@gmail_com"/>
    <s v="72903 10287"/>
  </r>
  <r>
    <x v="213"/>
    <s v="Foram Trivedi"/>
    <x v="2"/>
    <s v="Dell Xps 15 Laptop"/>
    <x v="23"/>
    <x v="0"/>
    <s v="Laptops"/>
    <n v="121700"/>
    <n v="5"/>
    <n v="608500"/>
    <n v="5"/>
    <x v="156"/>
    <n v="578075"/>
    <n v="18"/>
    <n v="104053.5"/>
    <n v="0"/>
    <n v="682128.5"/>
    <x v="5"/>
    <s v="Same Day"/>
    <x v="1"/>
    <x v="0"/>
    <s v="Sneha Reddy"/>
    <s v="South"/>
    <s v="Jamshedpur"/>
    <s v="Jharkhand"/>
    <x v="1"/>
    <s v="659924"/>
    <s v="Save10"/>
    <n v="4"/>
    <s v="No"/>
    <s v="other"/>
    <s v="WH-06"/>
    <s v="Delhivery"/>
    <d v="2023-10-17T00:00:00"/>
    <x v="180"/>
    <d v="2024-04-30T00:00:00"/>
    <s v="ftrivedi@gmail_com"/>
    <s v="9953690261"/>
  </r>
  <r>
    <x v="214"/>
    <s v="Sangita Ghosh"/>
    <x v="2"/>
    <s v="Maggi Noodles 12-Pack"/>
    <x v="40"/>
    <x v="5"/>
    <s v="Instant Foods"/>
    <n v="190"/>
    <n v="2"/>
    <n v="380"/>
    <n v="5"/>
    <x v="157"/>
    <n v="361"/>
    <n v="5"/>
    <n v="18.05"/>
    <n v="49"/>
    <n v="379.05"/>
    <x v="6"/>
    <s v="Standard"/>
    <x v="0"/>
    <x v="3"/>
    <s v="Suraj Verma"/>
    <s v="East"/>
    <s v="Salem"/>
    <s v="Tamil Nadu"/>
    <x v="2"/>
    <s v="602685"/>
    <s v="None"/>
    <n v="4"/>
    <s v="No"/>
    <s v="other"/>
    <s v="WH-03"/>
    <s v="Amazon Logistics"/>
    <d v="2024-04-11T00:00:00"/>
    <x v="138"/>
    <d v="2024-04-17T00:00:00"/>
    <s v="ghosh_sangita@gmail_com"/>
    <s v="6929445511"/>
  </r>
  <r>
    <x v="215"/>
    <s v="Ramachandran Pillai"/>
    <x v="0"/>
    <s v="Samsung 65-Inch Qled"/>
    <x v="2"/>
    <x v="0"/>
    <s v="Televisions"/>
    <n v="92790"/>
    <n v="7"/>
    <n v="649530"/>
    <n v="5"/>
    <x v="158"/>
    <n v="617053.5"/>
    <n v="18"/>
    <n v="111069.63"/>
    <n v="0"/>
    <n v="728123.13"/>
    <x v="1"/>
    <s v="Same Day"/>
    <x v="1"/>
    <x v="1"/>
    <s v="Priya Sinha"/>
    <s v="West"/>
    <s v="Delhi"/>
    <s v="Delhi"/>
    <x v="0"/>
    <s v="467688"/>
    <s v="Diwali25"/>
    <n v="5"/>
    <s v="No"/>
    <s v="other"/>
    <s v="WH-09"/>
    <s v="Amazon Logistics"/>
    <d v="2024-11-06T00:00:00"/>
    <x v="181"/>
    <d v="2024-06-28T00:00:00"/>
    <s v="rpillai@gmail_com"/>
    <s v="8764722981"/>
  </r>
  <r>
    <x v="216"/>
    <s v="Saurabh Kulkarni"/>
    <x v="3"/>
    <s v="Tata Tea Premium 1Kg"/>
    <x v="17"/>
    <x v="5"/>
    <s v="Beverages"/>
    <n v="480"/>
    <n v="1"/>
    <n v="480"/>
    <n v="5"/>
    <x v="8"/>
    <n v="456"/>
    <n v="5"/>
    <n v="22.8"/>
    <n v="99"/>
    <n v="478.8"/>
    <x v="2"/>
    <s v="Same Day"/>
    <x v="0"/>
    <x v="3"/>
    <s v="Priya Sinha"/>
    <s v="West"/>
    <s v="Kanpur"/>
    <s v="Uttar Pradesh"/>
    <x v="0"/>
    <s v="235767"/>
    <s v="None"/>
    <n v="3"/>
    <s v="No"/>
    <s v="other"/>
    <s v="WH-07"/>
    <s v="Bluedart"/>
    <d v="2023-02-12T00:00:00"/>
    <x v="182"/>
    <d v="2023-02-24T00:00:00"/>
    <s v="saurabhk@gmail_com"/>
    <s v="81388 20908"/>
  </r>
  <r>
    <x v="217"/>
    <s v="Nagalakshmi Venkatesh"/>
    <x v="1"/>
    <s v="Macbook Air M2"/>
    <x v="13"/>
    <x v="0"/>
    <s v="Laptops"/>
    <n v="115030"/>
    <n v="2"/>
    <n v="230060"/>
    <n v="0"/>
    <x v="2"/>
    <n v="230060"/>
    <n v="18"/>
    <n v="41410.800000000003"/>
    <n v="0"/>
    <n v="271470.8"/>
    <x v="6"/>
    <s v="Standard"/>
    <x v="1"/>
    <x v="3"/>
    <s v="Ritu Singh"/>
    <s v="South"/>
    <s v="Madurai"/>
    <s v="Tamil Nadu"/>
    <x v="2"/>
    <s v="328678"/>
    <s v="Save10"/>
    <n v="3"/>
    <s v="No"/>
    <s v="other"/>
    <s v="WH-01"/>
    <s v="Bluedart"/>
    <d v="2023-03-22T00:00:00"/>
    <x v="25"/>
    <d v="2023-04-02T00:00:00"/>
    <s v="nagalakshmi_venkatesh@yahoo_com"/>
    <s v="6329633472"/>
  </r>
  <r>
    <x v="218"/>
    <s v="Indira Gandhi"/>
    <x v="0"/>
    <s v="Lavie Handbag"/>
    <x v="12"/>
    <x v="2"/>
    <s v="Bags"/>
    <n v="2710"/>
    <n v="1"/>
    <n v="2710"/>
    <n v="0"/>
    <x v="2"/>
    <n v="2710"/>
    <n v="12"/>
    <n v="325.2"/>
    <n v="99"/>
    <n v="3035.2"/>
    <x v="5"/>
    <s v="Economy"/>
    <x v="1"/>
    <x v="0"/>
    <s v="Pooja Nair"/>
    <s v="South"/>
    <s v="Udaipur"/>
    <s v="Rajasthan"/>
    <x v="0"/>
    <s v="448892"/>
    <s v="Diwali25"/>
    <n v="4"/>
    <s v="No"/>
    <s v="other"/>
    <s v="WH-06"/>
    <s v="Bluedart"/>
    <d v="2023-12-24T00:00:00"/>
    <x v="183"/>
    <d v="2024-01-07T00:00:00"/>
    <s v="indira_gandhi@gmail_com"/>
    <s v="8361275156"/>
  </r>
  <r>
    <x v="219"/>
    <s v="Hina Shah"/>
    <x v="3"/>
    <s v="Logitech Mx Master 3"/>
    <x v="41"/>
    <x v="0"/>
    <s v="Accessories"/>
    <n v="8720"/>
    <n v="5"/>
    <n v="43600"/>
    <n v="5"/>
    <x v="159"/>
    <n v="41420"/>
    <n v="18"/>
    <n v="7455.6"/>
    <n v="0"/>
    <n v="48875.6"/>
    <x v="0"/>
    <s v="Overnight"/>
    <x v="1"/>
    <x v="4"/>
    <s v="Neha Kulkarni"/>
    <s v="West"/>
    <s v="Nashik"/>
    <s v="Maharashtra"/>
    <x v="4"/>
    <s v="131002"/>
    <s v="None"/>
    <n v="4"/>
    <s v="Yes"/>
    <s v="other"/>
    <s v="WH-02"/>
    <s v="Dtdc"/>
    <d v="2024-05-12T00:00:00"/>
    <x v="184"/>
    <d v="2024-05-23T00:00:00"/>
    <s v="hina_shah@yahoo_com"/>
    <s v="8558108358"/>
  </r>
  <r>
    <x v="220"/>
    <s v="Sanjay Mishra"/>
    <x v="0"/>
    <s v="Epson L3250"/>
    <x v="39"/>
    <x v="0"/>
    <s v="Printers"/>
    <n v="16800"/>
    <n v="4"/>
    <n v="67200"/>
    <n v="5"/>
    <x v="160"/>
    <n v="63840"/>
    <n v="18"/>
    <n v="11491.2"/>
    <n v="0"/>
    <n v="75331.199999999997"/>
    <x v="4"/>
    <s v="Same Day"/>
    <x v="0"/>
    <x v="1"/>
    <s v="Anjali Mehta"/>
    <s v="South"/>
    <s v="Hubballi"/>
    <s v="Karnataka"/>
    <x v="2"/>
    <s v="669105"/>
    <s v="Festive20"/>
    <n v="4"/>
    <s v="No"/>
    <s v="other"/>
    <s v="WH-07"/>
    <s v="Delhivery"/>
    <d v="2023-08-24T00:00:00"/>
    <x v="185"/>
    <d v="2024-05-23T00:00:00"/>
    <s v="mishra_sanjay@gmail_com"/>
    <s v="7963945680"/>
  </r>
  <r>
    <x v="221"/>
    <s v="Jayalakshmi Kumar"/>
    <x v="0"/>
    <s v="Parker Pen Set"/>
    <x v="36"/>
    <x v="3"/>
    <s v="Writing"/>
    <n v="830"/>
    <n v="1"/>
    <n v="830"/>
    <n v="10"/>
    <x v="161"/>
    <n v="747"/>
    <n v="5"/>
    <n v="37.35"/>
    <n v="99"/>
    <n v="784.35"/>
    <x v="4"/>
    <s v="Standard"/>
    <x v="0"/>
    <x v="1"/>
    <s v="Karim Sheikh"/>
    <s v="North"/>
    <s v="Noida"/>
    <s v="Uttar Pradesh"/>
    <x v="0"/>
    <s v="616459"/>
    <s v="None"/>
    <n v="4"/>
    <s v="No"/>
    <s v="other"/>
    <s v="WH-12"/>
    <s v="India Post"/>
    <d v="2023-08-18T00:00:00"/>
    <x v="186"/>
    <d v="2023-08-25T00:00:00"/>
    <s v="jayalakshmi_kumar@gmail_com"/>
    <s v="7307464520"/>
  </r>
  <r>
    <x v="222"/>
    <s v="Nisha Jain"/>
    <x v="2"/>
    <s v="Daikin 1.5T Inverter"/>
    <x v="30"/>
    <x v="1"/>
    <s v="Air Conditioners"/>
    <n v="45540"/>
    <n v="1"/>
    <n v="45540"/>
    <n v="25"/>
    <x v="162"/>
    <n v="34155"/>
    <n v="5"/>
    <n v="1707.75"/>
    <n v="0"/>
    <n v="35862.75"/>
    <x v="5"/>
    <s v="Economy"/>
    <x v="0"/>
    <x v="4"/>
    <s v="Ritu Singh"/>
    <s v="Central"/>
    <s v="Ghaziabad"/>
    <s v="Uttar Pradesh"/>
    <x v="0"/>
    <m/>
    <s v="None"/>
    <n v="5"/>
    <s v="No"/>
    <s v="other"/>
    <s v="WH-07"/>
    <s v="Delhivery"/>
    <d v="2023-01-14T00:00:00"/>
    <x v="187"/>
    <d v="2023-01-26T00:00:00"/>
    <s v="nisha_jain@gmail_com"/>
    <s v="8859592248"/>
  </r>
  <r>
    <x v="223"/>
    <s v="Jyoti Narayan"/>
    <x v="0"/>
    <s v="Classmate Notebook"/>
    <x v="9"/>
    <x v="3"/>
    <s v="Books"/>
    <n v="120"/>
    <n v="1"/>
    <n v="120"/>
    <n v="0"/>
    <x v="2"/>
    <n v="120"/>
    <n v="5"/>
    <n v="6"/>
    <n v="99"/>
    <n v="126"/>
    <x v="0"/>
    <s v="Same Day"/>
    <x v="1"/>
    <x v="1"/>
    <s v="Suraj Verma"/>
    <s v="East"/>
    <s v="Chandigarh"/>
    <s v="Punjab"/>
    <x v="0"/>
    <s v="606404"/>
    <s v="Flat500"/>
    <n v="2"/>
    <s v="No"/>
    <s v="other"/>
    <s v="WH-01"/>
    <s v="Ekart"/>
    <d v="2023-04-07T00:00:00"/>
    <x v="188"/>
    <d v="2023-04-21T00:00:00"/>
    <s v="jyoti_narayan@yahoo_com"/>
    <s v="7831921342"/>
  </r>
  <r>
    <x v="224"/>
    <s v="Gita Pillai"/>
    <x v="0"/>
    <s v="Sony Bravia 55-Inch"/>
    <x v="1"/>
    <x v="0"/>
    <s v="Televisions"/>
    <n v="29347.846790890268"/>
    <n v="1"/>
    <n v="29347.846790890268"/>
    <n v="5"/>
    <x v="163"/>
    <n v="75192.5"/>
    <n v="18"/>
    <n v="13534.65"/>
    <n v="0"/>
    <n v="88727.15"/>
    <x v="3"/>
    <s v="Same Day"/>
    <x v="1"/>
    <x v="0"/>
    <s v="Karim Sheikh"/>
    <s v="North"/>
    <s v="Lucknow"/>
    <s v="Uttar Pradesh"/>
    <x v="0"/>
    <s v="310262"/>
    <s v="Festive20"/>
    <n v="4"/>
    <s v="No"/>
    <s v="other"/>
    <s v="WH-03"/>
    <s v="Amazon Logistics"/>
    <d v="2023-01-01T00:00:00"/>
    <x v="189"/>
    <d v="2023-07-01T00:00:00"/>
    <s v="gpillai@hotmail_com"/>
    <s v="9324268774"/>
  </r>
  <r>
    <x v="225"/>
    <s v="Sunil Jadhav"/>
    <x v="0"/>
    <s v="Peter England Suit"/>
    <x v="37"/>
    <x v="2"/>
    <s v="Clothing"/>
    <n v="9000"/>
    <n v="8"/>
    <n v="72000"/>
    <n v="0"/>
    <x v="2"/>
    <n v="72000"/>
    <n v="12"/>
    <n v="8640"/>
    <n v="0"/>
    <n v="80640"/>
    <x v="1"/>
    <s v="Same Day"/>
    <x v="0"/>
    <x v="2"/>
    <s v="Anjali Mehta"/>
    <s v="South"/>
    <s v="Chandigarh"/>
    <s v="Punjab"/>
    <x v="0"/>
    <s v="313615"/>
    <s v="None"/>
    <n v="4"/>
    <s v="No"/>
    <s v="other"/>
    <s v="WH-12"/>
    <s v="Delhivery"/>
    <d v="2023-11-14T00:00:00"/>
    <x v="190"/>
    <d v="2023-11-20T00:00:00"/>
    <s v="sunil_jadhav@gmail_com"/>
    <s v="8727810509"/>
  </r>
  <r>
    <x v="226"/>
    <s v="Pooja Agarwal"/>
    <x v="0"/>
    <s v="Lavie Handbag"/>
    <x v="12"/>
    <x v="2"/>
    <s v="Bags"/>
    <n v="2600"/>
    <n v="4"/>
    <n v="10400"/>
    <n v="0"/>
    <x v="2"/>
    <n v="10400"/>
    <n v="12"/>
    <n v="1248"/>
    <n v="0"/>
    <n v="11648"/>
    <x v="0"/>
    <s v="Same Day"/>
    <x v="2"/>
    <x v="1"/>
    <s v="Arjun Das"/>
    <s v="East"/>
    <s v="Bhopal"/>
    <s v="Madhya Pradesh"/>
    <x v="3"/>
    <s v="368718"/>
    <s v="Summer15"/>
    <n v="3"/>
    <s v="No"/>
    <s v="other"/>
    <s v="WH-11"/>
    <s v="Dtdc"/>
    <d v="2024-06-12T00:00:00"/>
    <x v="36"/>
    <d v="2024-06-21T00:00:00"/>
    <s v="pooja_agarwal@gmail_com"/>
    <s v="9515791971"/>
  </r>
  <r>
    <x v="227"/>
    <s v="Bhavesh Patel"/>
    <x v="1"/>
    <s v="Amul Butter 500G"/>
    <x v="38"/>
    <x v="5"/>
    <s v="Dairy"/>
    <n v="270"/>
    <n v="1"/>
    <n v="270"/>
    <n v="0"/>
    <x v="2"/>
    <n v="270"/>
    <n v="5"/>
    <n v="13.5"/>
    <n v="79"/>
    <n v="283.5"/>
    <x v="0"/>
    <s v="Express"/>
    <x v="0"/>
    <x v="3"/>
    <s v="Neha Kulkarni"/>
    <s v="West"/>
    <s v="Ghaziabad"/>
    <s v="Uttar Pradesh"/>
    <x v="0"/>
    <s v="771771"/>
    <s v="Newuser"/>
    <n v="4"/>
    <s v="No"/>
    <s v="other"/>
    <s v="WH-03"/>
    <s v="Bluedart"/>
    <d v="2023-02-24T00:00:00"/>
    <x v="191"/>
    <d v="2023-03-06T00:00:00"/>
    <s v="bhavesh_patel@yahoo_com"/>
    <s v="7096289365"/>
  </r>
  <r>
    <x v="228"/>
    <s v="Abhijeet Sawant"/>
    <x v="3"/>
    <s v="Centuary Mattress"/>
    <x v="16"/>
    <x v="4"/>
    <s v="Beds"/>
    <n v="13820"/>
    <n v="6"/>
    <n v="82920"/>
    <n v="5"/>
    <x v="164"/>
    <n v="78774"/>
    <n v="5"/>
    <n v="3938.7"/>
    <n v="0"/>
    <n v="82712.7"/>
    <x v="1"/>
    <s v="Standard"/>
    <x v="0"/>
    <x v="4"/>
    <s v="Anjali Mehta"/>
    <s v="South"/>
    <s v="Cuttack"/>
    <s v="Odisha"/>
    <x v="1"/>
    <s v="425184"/>
    <s v="Diwali25"/>
    <n v="2"/>
    <s v="No"/>
    <s v="other"/>
    <s v="WH-12"/>
    <s v="Amazon Logistics"/>
    <d v="2023-11-27T00:00:00"/>
    <x v="191"/>
    <d v="2023-12-06T00:00:00"/>
    <s v="sawant_abhijeet@outlook_com"/>
    <s v="9734595764"/>
  </r>
  <r>
    <x v="229"/>
    <s v="Bhavesh  Patel"/>
    <x v="3"/>
    <s v="Lg 43-Inch 4K Tv"/>
    <x v="33"/>
    <x v="0"/>
    <s v="Televisions"/>
    <n v="43790"/>
    <n v="2"/>
    <n v="87580"/>
    <n v="15"/>
    <x v="165"/>
    <n v="74443"/>
    <n v="18"/>
    <n v="13399.74"/>
    <n v="0"/>
    <n v="87842.74"/>
    <x v="0"/>
    <s v="Economy"/>
    <x v="0"/>
    <x v="1"/>
    <s v="Pooja Nair"/>
    <s v="South"/>
    <s v="Ghaziabad"/>
    <s v="Uttar Pradesh"/>
    <x v="0"/>
    <s v="406952"/>
    <s v="None"/>
    <n v="4"/>
    <s v="No"/>
    <s v="other"/>
    <s v="WH-12"/>
    <s v="Amazon Logistics"/>
    <d v="2023-12-08T00:00:00"/>
    <x v="192"/>
    <d v="2023-12-17T00:00:00"/>
    <s v="bhavesh_patel@yahoo_com"/>
    <s v="6850725178"/>
  </r>
  <r>
    <x v="230"/>
    <s v="Nisha Jain"/>
    <x v="0"/>
    <s v="Godrej 236L Fridge"/>
    <x v="14"/>
    <x v="1"/>
    <s v="Refrigerators"/>
    <n v="21440"/>
    <n v="2"/>
    <n v="42880"/>
    <n v="15"/>
    <x v="166"/>
    <n v="36448"/>
    <n v="5"/>
    <n v="1822.4"/>
    <n v="0"/>
    <n v="38270.400000000001"/>
    <x v="4"/>
    <s v="Economy"/>
    <x v="1"/>
    <x v="1"/>
    <s v="Pooja Nair"/>
    <s v="South"/>
    <s v="Thrissur"/>
    <s v="Kerala"/>
    <x v="2"/>
    <s v="619755"/>
    <s v="None"/>
    <n v="4"/>
    <s v="No"/>
    <s v="other"/>
    <s v="WH-11"/>
    <s v="Bluedart"/>
    <d v="2023-01-28T00:00:00"/>
    <x v="193"/>
    <d v="2023-02-03T00:00:00"/>
    <s v="nishaj@gmail_com"/>
    <s v="9467046226"/>
  </r>
  <r>
    <x v="231"/>
    <s v="Usha Chopra"/>
    <x v="1"/>
    <s v="Amul Butter 500G"/>
    <x v="38"/>
    <x v="5"/>
    <s v="Dairy"/>
    <n v="300"/>
    <n v="4"/>
    <n v="1200"/>
    <n v="25"/>
    <x v="167"/>
    <n v="900"/>
    <n v="5"/>
    <n v="45"/>
    <n v="49"/>
    <n v="945"/>
    <x v="5"/>
    <s v="Overnight"/>
    <x v="2"/>
    <x v="2"/>
    <s v="Raj Kumar"/>
    <s v="North"/>
    <s v="Ranchi"/>
    <s v="Jharkhand"/>
    <x v="1"/>
    <s v="776877"/>
    <s v="None"/>
    <n v="4"/>
    <s v="No"/>
    <s v="other"/>
    <s v="WH-02"/>
    <s v="Bluedart"/>
    <d v="2024-04-06T00:00:00"/>
    <x v="48"/>
    <d v="2024-04-18T00:00:00"/>
    <s v="chopra_usha@yahoo_co_in"/>
    <s v="9607401775"/>
  </r>
  <r>
    <x v="232"/>
    <s v="Vikram Mehta"/>
    <x v="0"/>
    <s v="Nikon D3500"/>
    <x v="3"/>
    <x v="0"/>
    <s v="Cameras"/>
    <n v="33730"/>
    <n v="2"/>
    <n v="67460"/>
    <n v="25"/>
    <x v="168"/>
    <n v="50595"/>
    <n v="18"/>
    <n v="9107.1"/>
    <n v="0"/>
    <n v="59702.1"/>
    <x v="0"/>
    <s v="Overnight"/>
    <x v="1"/>
    <x v="0"/>
    <s v="Raj Kumar"/>
    <s v="North"/>
    <s v="Kanpur"/>
    <s v="Uttar Pradesh"/>
    <x v="0"/>
    <s v="398135"/>
    <s v="None"/>
    <n v="4"/>
    <s v="No"/>
    <s v="other"/>
    <s v="WH-03"/>
    <s v="Delhivery"/>
    <d v="2023-04-07T00:00:00"/>
    <x v="194"/>
    <d v="2023-04-13T00:00:00"/>
    <s v="vikram_mehta@gmail_com"/>
    <s v="9546602416"/>
  </r>
  <r>
    <x v="233"/>
    <s v="Neha Saxena"/>
    <x v="0"/>
    <s v="Kurl-On King Bed"/>
    <x v="15"/>
    <x v="4"/>
    <s v="Beds"/>
    <n v="51740"/>
    <n v="2"/>
    <n v="103480"/>
    <n v="0"/>
    <x v="2"/>
    <n v="103480"/>
    <n v="5"/>
    <n v="5174"/>
    <n v="0"/>
    <n v="108654"/>
    <x v="1"/>
    <s v="Same Day"/>
    <x v="1"/>
    <x v="1"/>
    <s v="Neha Kulkarni"/>
    <s v="West"/>
    <s v="Mangaluru"/>
    <s v="Karnataka"/>
    <x v="2"/>
    <s v="620173"/>
    <s v="Flat500"/>
    <n v="4"/>
    <s v="No"/>
    <s v="other"/>
    <s v="WH-06"/>
    <s v="Delhivery"/>
    <d v="2023-01-06T00:00:00"/>
    <x v="195"/>
    <d v="2023-01-15T00:00:00"/>
    <s v="neha_saxena@gmail_com"/>
    <s v="7586780555"/>
  </r>
  <r>
    <x v="234"/>
    <s v="Saurabh Kulkarni"/>
    <x v="0"/>
    <s v="Nike Air Max 270"/>
    <x v="21"/>
    <x v="2"/>
    <s v="Footwear"/>
    <n v="10850"/>
    <n v="3"/>
    <n v="32550"/>
    <n v="15"/>
    <x v="169"/>
    <n v="27667.5"/>
    <n v="12"/>
    <n v="3320.1"/>
    <n v="0"/>
    <n v="30987.599999999999"/>
    <x v="3"/>
    <s v="Overnight"/>
    <x v="2"/>
    <x v="2"/>
    <s v="Karim Sheikh"/>
    <s v="North"/>
    <s v="Surat"/>
    <s v="Gujarat"/>
    <x v="4"/>
    <s v="596450"/>
    <s v="Flat500"/>
    <n v="3"/>
    <s v="No"/>
    <s v="other"/>
    <s v="WH-08"/>
    <s v="Delhivery"/>
    <d v="2023-01-31T00:00:00"/>
    <x v="65"/>
    <d v="2023-02-06T00:00:00"/>
    <s v="saurabhk@gmail_com"/>
    <s v="7422686536"/>
  </r>
  <r>
    <x v="235"/>
    <s v="Roshni Modi"/>
    <x v="1"/>
    <s v="Pepperfry Coffee Table"/>
    <x v="20"/>
    <x v="4"/>
    <s v="Tables"/>
    <n v="12260"/>
    <n v="2"/>
    <n v="24520"/>
    <n v="10"/>
    <x v="170"/>
    <n v="22068"/>
    <n v="5"/>
    <n v="1103.4000000000001"/>
    <n v="0"/>
    <n v="23171.4"/>
    <x v="6"/>
    <s v="Overnight"/>
    <x v="0"/>
    <x v="1"/>
    <s v="Pooja Nair"/>
    <s v="South"/>
    <s v="Kanpur"/>
    <s v="Uttar Pradesh"/>
    <x v="0"/>
    <s v="295470"/>
    <s v="None"/>
    <n v="4"/>
    <s v="No"/>
    <s v="other"/>
    <s v="WH-09"/>
    <s v="Dtdc"/>
    <d v="2023-04-11T00:00:00"/>
    <x v="196"/>
    <d v="2023-04-23T00:00:00"/>
    <s v="roshni_modi@gmail_com"/>
    <s v="8968832753"/>
  </r>
  <r>
    <x v="236"/>
    <s v="Venugopal Krishnan"/>
    <x v="0"/>
    <s v="Dell Xps 15 Laptop"/>
    <x v="23"/>
    <x v="0"/>
    <s v="Laptops"/>
    <n v="132240"/>
    <n v="20"/>
    <n v="2644800"/>
    <n v="0"/>
    <x v="2"/>
    <n v="2644800"/>
    <n v="18"/>
    <n v="476064"/>
    <n v="0"/>
    <n v="3120864"/>
    <x v="3"/>
    <s v="Overnight"/>
    <x v="0"/>
    <x v="1"/>
    <s v="Aman Bhatia"/>
    <s v="West"/>
    <s v="Mumbai"/>
    <s v="Maharashtra"/>
    <x v="4"/>
    <s v="366617"/>
    <s v="None"/>
    <n v="4"/>
    <s v="No"/>
    <s v="other"/>
    <s v="WH-06"/>
    <s v="Delhivery"/>
    <d v="2023-03-02T00:00:00"/>
    <x v="197"/>
    <d v="2023-02-17T00:00:00"/>
    <s v="venugopal_krishnan@gmail_com"/>
    <s v="9568761124"/>
  </r>
  <r>
    <x v="237"/>
    <s v="Saraswathi Rao"/>
    <x v="0"/>
    <s v="Logitech Mx Master 3"/>
    <x v="41"/>
    <x v="0"/>
    <s v="Accessories"/>
    <n v="8590"/>
    <n v="1"/>
    <n v="8590"/>
    <n v="5"/>
    <x v="171"/>
    <n v="8160.5"/>
    <n v="18"/>
    <n v="1468.89"/>
    <n v="0"/>
    <n v="9629.39"/>
    <x v="3"/>
    <s v="Same Day"/>
    <x v="0"/>
    <x v="4"/>
    <s v="Neha Kulkarni"/>
    <s v="West"/>
    <s v="Bhubaneswar"/>
    <s v="Odisha"/>
    <x v="1"/>
    <s v="506340"/>
    <s v="None"/>
    <n v="4"/>
    <s v="No"/>
    <s v="other"/>
    <s v="WH-08"/>
    <s v="Dtdc"/>
    <d v="2023-02-06T00:00:00"/>
    <x v="198"/>
    <d v="2023-02-17T00:00:00"/>
    <s v="saraswathir@gmail_com"/>
    <s v="7430394290"/>
  </r>
  <r>
    <x v="238"/>
    <s v="Vishal Chaudhary"/>
    <x v="0"/>
    <s v="Puma Softride"/>
    <x v="31"/>
    <x v="2"/>
    <s v="Footwear"/>
    <n v="4820"/>
    <n v="1"/>
    <n v="4820"/>
    <n v="15"/>
    <x v="172"/>
    <n v="4097"/>
    <n v="12"/>
    <n v="491.64"/>
    <n v="49"/>
    <n v="4588.6400000000003"/>
    <x v="3"/>
    <s v="Economy"/>
    <x v="1"/>
    <x v="2"/>
    <s v="Anjali Mehta"/>
    <s v="South"/>
    <s v="Hyderabad"/>
    <s v="Telangana"/>
    <x v="2"/>
    <s v="152188"/>
    <s v="None"/>
    <n v="5"/>
    <s v="No"/>
    <s v="other"/>
    <s v="WH-05"/>
    <s v="Dtdc"/>
    <d v="2023-03-08T00:00:00"/>
    <x v="199"/>
    <d v="2023-03-16T00:00:00"/>
    <s v="vishalc@yahoo_co_in"/>
    <s v="9061581488"/>
  </r>
  <r>
    <x v="239"/>
    <s v="Kiran Rao"/>
    <x v="0"/>
    <s v="Peter England Suit"/>
    <x v="37"/>
    <x v="2"/>
    <s v="Clothing"/>
    <n v="8950"/>
    <n v="3"/>
    <n v="26850"/>
    <n v="10"/>
    <x v="173"/>
    <n v="24165"/>
    <n v="12"/>
    <n v="2899.8"/>
    <n v="0"/>
    <n v="27064.799999999999"/>
    <x v="3"/>
    <s v="Standard"/>
    <x v="2"/>
    <x v="4"/>
    <s v="Anjali Mehta"/>
    <s v="South"/>
    <s v="Hubballi"/>
    <s v="Karnataka"/>
    <x v="2"/>
    <s v="571420"/>
    <s v="None"/>
    <n v="4"/>
    <s v="No"/>
    <s v="other"/>
    <s v="WH-03"/>
    <s v="Bluedart"/>
    <d v="2023-08-01T00:00:00"/>
    <x v="200"/>
    <d v="2023-08-08T00:00:00"/>
    <s v="rao_kiran@gmail_com"/>
    <s v="7173997046"/>
  </r>
  <r>
    <x v="240"/>
    <s v="Kunal Oberoi"/>
    <x v="3"/>
    <s v="Levi'S 511 Jeans"/>
    <x v="10"/>
    <x v="2"/>
    <s v="Clothing"/>
    <n v="3380"/>
    <n v="1"/>
    <n v="3380"/>
    <n v="5"/>
    <x v="174"/>
    <n v="3211"/>
    <n v="12"/>
    <n v="385.32"/>
    <n v="79"/>
    <n v="3596.32"/>
    <x v="2"/>
    <s v="Express"/>
    <x v="0"/>
    <x v="4"/>
    <s v="Priya Sinha"/>
    <s v="West"/>
    <s v="Lucknow"/>
    <s v="Uttar Pradesh"/>
    <x v="0"/>
    <s v="440665"/>
    <s v="Newuser"/>
    <n v="4"/>
    <s v="No"/>
    <s v="other"/>
    <s v="WH-07"/>
    <s v="Dtdc"/>
    <d v="2023-03-09T00:00:00"/>
    <x v="108"/>
    <d v="2023-03-24T00:00:00"/>
    <s v="oberoi_kunal@gmail_com"/>
    <s v="6236229258"/>
  </r>
  <r>
    <x v="241"/>
    <s v="Hina Shah"/>
    <x v="0"/>
    <s v="Realme Gt 5"/>
    <x v="25"/>
    <x v="0"/>
    <s v="Mobile Phones"/>
    <n v="26690"/>
    <n v="4"/>
    <n v="106760"/>
    <n v="15"/>
    <x v="175"/>
    <n v="90746"/>
    <n v="18"/>
    <n v="16334.28"/>
    <n v="0"/>
    <n v="107080.28"/>
    <x v="3"/>
    <s v="Standard"/>
    <x v="0"/>
    <x v="3"/>
    <s v="Arjun Das"/>
    <s v="East"/>
    <s v="Visakhapatnam"/>
    <s v="Andhra Pradesh"/>
    <x v="2"/>
    <s v="543878"/>
    <s v="None"/>
    <n v="5"/>
    <s v="No"/>
    <s v="other"/>
    <s v="WH-03"/>
    <s v="Dtdc"/>
    <d v="2023-05-24T00:00:00"/>
    <x v="201"/>
    <d v="2023-06-03T00:00:00"/>
    <s v="hshah@yahoo_com"/>
    <s v="7257970673"/>
  </r>
  <r>
    <x v="242"/>
    <s v="Rekha Menon"/>
    <x v="0"/>
    <s v="Nike Air Max 270"/>
    <x v="21"/>
    <x v="2"/>
    <s v="Footwear"/>
    <n v="10360"/>
    <n v="4"/>
    <n v="41440"/>
    <n v="15"/>
    <x v="176"/>
    <n v="35224"/>
    <n v="12"/>
    <n v="4226.88"/>
    <n v="0"/>
    <n v="39450.879999999997"/>
    <x v="1"/>
    <s v="Same Day"/>
    <x v="3"/>
    <x v="3"/>
    <s v="Arjun Das"/>
    <s v="East"/>
    <s v="Udaipur"/>
    <s v="Rajasthan"/>
    <x v="0"/>
    <s v="695411"/>
    <s v="None"/>
    <n v="4"/>
    <s v="No"/>
    <s v="other"/>
    <s v="WH-09"/>
    <s v="Delhivery"/>
    <d v="2023-09-24T00:00:00"/>
    <x v="202"/>
    <d v="2023-10-09T00:00:00"/>
    <s v="rmenon@yahoo_co_in"/>
    <s v="72166 67080"/>
  </r>
  <r>
    <x v="243"/>
    <s v="Roshni Modi"/>
    <x v="3"/>
    <s v="Godrej Interio Desk"/>
    <x v="14"/>
    <x v="4"/>
    <s v="Desks"/>
    <n v="19120"/>
    <n v="2"/>
    <n v="38240"/>
    <n v="25"/>
    <x v="177"/>
    <n v="28680"/>
    <n v="5"/>
    <n v="1434"/>
    <n v="0"/>
    <n v="30114"/>
    <x v="3"/>
    <s v="Standard"/>
    <x v="0"/>
    <x v="4"/>
    <s v="Suraj Verma"/>
    <s v="East"/>
    <s v="Jamshedpur"/>
    <s v="Jharkhand"/>
    <x v="1"/>
    <s v="265487"/>
    <s v="None"/>
    <n v="4"/>
    <s v="No"/>
    <s v="other"/>
    <s v="WH-03"/>
    <s v="Delhivery"/>
    <d v="2023-03-16T00:00:00"/>
    <x v="203"/>
    <d v="2023-03-31T00:00:00"/>
    <s v="roshni_modi@gmail_com"/>
    <s v="8960035624"/>
  </r>
  <r>
    <x v="244"/>
    <s v="Kiran Rao"/>
    <x v="0"/>
    <s v="Fastrack Watch"/>
    <x v="6"/>
    <x v="2"/>
    <s v="Accessories"/>
    <n v="2380"/>
    <n v="4"/>
    <n v="9520"/>
    <n v="0"/>
    <x v="2"/>
    <n v="9520"/>
    <n v="12"/>
    <n v="1142.4000000000001"/>
    <n v="0"/>
    <n v="10662.4"/>
    <x v="0"/>
    <s v="Express"/>
    <x v="5"/>
    <x v="3"/>
    <s v="Raj Kumar"/>
    <s v="North"/>
    <s v="Madurai"/>
    <s v="Tamil Nadu"/>
    <x v="2"/>
    <s v="643448"/>
    <s v="Save10"/>
    <n v="4"/>
    <s v="No"/>
    <s v="other"/>
    <s v="WH-08"/>
    <s v="Delhivery"/>
    <d v="2023-02-12T00:00:00"/>
    <x v="168"/>
    <d v="2023-12-16T00:00:00"/>
    <s v="kiranr@gmail_com"/>
    <s v="9763369112"/>
  </r>
  <r>
    <x v="245"/>
    <s v="Suresh Gupta"/>
    <x v="3"/>
    <s v="Godrej 236L Fridge"/>
    <x v="14"/>
    <x v="1"/>
    <s v="Refrigerators"/>
    <n v="22530"/>
    <n v="4"/>
    <n v="90120"/>
    <n v="15"/>
    <x v="178"/>
    <n v="76602"/>
    <n v="5"/>
    <n v="3830.1"/>
    <n v="0"/>
    <n v="80432.100000000006"/>
    <x v="2"/>
    <s v="Same Day"/>
    <x v="3"/>
    <x v="3"/>
    <s v="Neha Kulkarni"/>
    <s v="West"/>
    <s v="Salem"/>
    <s v="Tamil Nadu"/>
    <x v="2"/>
    <m/>
    <s v="Save10"/>
    <n v="4"/>
    <s v="No"/>
    <s v="other"/>
    <s v="WH-01"/>
    <s v="Bluedart"/>
    <d v="2023-03-08T00:00:00"/>
    <x v="204"/>
    <d v="2023-03-18T00:00:00"/>
    <s v="suresh_gupta@gmail_com__"/>
    <s v="8459626228"/>
  </r>
  <r>
    <x v="246"/>
    <s v="Gita Pillai"/>
    <x v="0"/>
    <s v="Bajaj Mixer 750W"/>
    <x v="5"/>
    <x v="1"/>
    <s v="Kitchen"/>
    <n v="2730"/>
    <n v="1"/>
    <n v="2730"/>
    <n v="0"/>
    <x v="2"/>
    <n v="2730"/>
    <n v="5"/>
    <n v="136.5"/>
    <n v="149"/>
    <n v="2866.5"/>
    <x v="2"/>
    <s v="Economy"/>
    <x v="5"/>
    <x v="2"/>
    <s v="Deepa Menon"/>
    <s v="South"/>
    <s v="Nagpur"/>
    <s v="Maharashtra"/>
    <x v="4"/>
    <s v="425735"/>
    <s v="None"/>
    <n v="5"/>
    <s v="No"/>
    <s v="other"/>
    <s v="WH-08"/>
    <s v="Ekart"/>
    <d v="2024-01-22T00:00:00"/>
    <x v="205"/>
    <d v="2024-02-08T00:00:00"/>
    <s v="gita_pillai@hotmail_com"/>
    <s v="8258591779"/>
  </r>
  <r>
    <x v="247"/>
    <s v="Harish Malhotra"/>
    <x v="1"/>
    <s v="Tata Tea Premium 1Kg"/>
    <x v="17"/>
    <x v="5"/>
    <s v="Beverages"/>
    <n v="420"/>
    <n v="8"/>
    <n v="3360"/>
    <n v="20"/>
    <x v="179"/>
    <n v="2688"/>
    <n v="5"/>
    <n v="134.4"/>
    <n v="149"/>
    <n v="2822.4"/>
    <x v="4"/>
    <s v="Express"/>
    <x v="1"/>
    <x v="4"/>
    <s v="Arjun Das"/>
    <s v="East"/>
    <s v="Ghaziabad"/>
    <s v="Uttar Pradesh"/>
    <x v="0"/>
    <s v="469007"/>
    <s v="Save10"/>
    <n v="4"/>
    <s v="No"/>
    <s v="other"/>
    <s v="WH-05"/>
    <s v="Delhivery"/>
    <d v="2024-03-08T00:00:00"/>
    <x v="3"/>
    <d v="2024-03-15T00:00:00"/>
    <s v="harish_malhotra@gmail_com"/>
    <s v="9967379487"/>
  </r>
  <r>
    <x v="248"/>
    <s v="Sunita Verma"/>
    <x v="2"/>
    <s v="Fastrack Watch"/>
    <x v="6"/>
    <x v="2"/>
    <s v="Accessories"/>
    <n v="2350"/>
    <n v="4"/>
    <n v="9400"/>
    <n v="5"/>
    <x v="180"/>
    <n v="8930"/>
    <n v="12"/>
    <n v="1071.5999999999999"/>
    <n v="0"/>
    <n v="10001.6"/>
    <x v="6"/>
    <s v="Standard"/>
    <x v="0"/>
    <x v="0"/>
    <s v="Raj Kumar"/>
    <s v="North"/>
    <s v="Ghaziabad"/>
    <s v="Uttar Pradesh"/>
    <x v="0"/>
    <s v="749281"/>
    <s v="Summer15"/>
    <n v="3"/>
    <s v="No"/>
    <s v="other"/>
    <s v="WH-04"/>
    <s v="Delhivery"/>
    <d v="2023-08-21T00:00:00"/>
    <x v="206"/>
    <d v="2023-08-28T00:00:00"/>
    <s v="sunita_verma@gmail_com"/>
    <s v="8892988085"/>
  </r>
  <r>
    <x v="249"/>
    <s v="Arjun Nair"/>
    <x v="0"/>
    <s v="Bajaj Mixer 750W"/>
    <x v="5"/>
    <x v="1"/>
    <s v="Kitchen"/>
    <n v="2820"/>
    <n v="1"/>
    <n v="2820"/>
    <n v="5"/>
    <x v="181"/>
    <n v="2679"/>
    <n v="5"/>
    <n v="133.94999999999999"/>
    <n v="49"/>
    <n v="2812.95"/>
    <x v="5"/>
    <s v="Express"/>
    <x v="0"/>
    <x v="4"/>
    <s v="Karim Sheikh"/>
    <s v="North"/>
    <s v="Kozhikode"/>
    <s v="Kerala"/>
    <x v="2"/>
    <s v="240930"/>
    <s v="None"/>
    <n v="5"/>
    <s v="No"/>
    <s v="other"/>
    <s v="WH-10"/>
    <s v="Bluedart"/>
    <d v="2023-11-26T00:00:00"/>
    <x v="166"/>
    <d v="2023-12-04T00:00:00"/>
    <s v="arjun_nair@gmail_com"/>
    <s v="8351342619"/>
  </r>
  <r>
    <x v="250"/>
    <s v="Roshni Modi"/>
    <x v="0"/>
    <s v="Milton Water Purifier"/>
    <x v="22"/>
    <x v="1"/>
    <s v="Kitchen"/>
    <n v="10800"/>
    <n v="1"/>
    <n v="10800"/>
    <n v="10"/>
    <x v="182"/>
    <n v="9720"/>
    <n v="5"/>
    <n v="486"/>
    <n v="0"/>
    <n v="10206"/>
    <x v="3"/>
    <s v="Express"/>
    <x v="1"/>
    <x v="2"/>
    <s v="Priya Sinha"/>
    <s v="West"/>
    <s v="Cuttack"/>
    <s v="Odisha"/>
    <x v="1"/>
    <s v="154147"/>
    <s v="None"/>
    <n v="3"/>
    <s v="No"/>
    <s v="other"/>
    <s v="WH-10"/>
    <s v="Ekart"/>
    <d v="2024-05-13T00:00:00"/>
    <x v="154"/>
    <d v="2024-05-26T00:00:00"/>
    <s v="rmodi@gmail_com"/>
    <s v="6645101739"/>
  </r>
  <r>
    <x v="251"/>
    <s v="Suresh Gupta"/>
    <x v="3"/>
    <s v="Macbook Air M2"/>
    <x v="13"/>
    <x v="0"/>
    <s v="Laptops"/>
    <n v="106440"/>
    <n v="4"/>
    <n v="425760"/>
    <n v="10"/>
    <x v="183"/>
    <n v="383184"/>
    <n v="18"/>
    <n v="68973.119999999995"/>
    <n v="0"/>
    <n v="452157.12"/>
    <x v="5"/>
    <s v="Overnight"/>
    <x v="0"/>
    <x v="0"/>
    <s v="Suraj Verma"/>
    <s v="East"/>
    <s v="Jabalpur"/>
    <s v="Madhya Pradesh"/>
    <x v="3"/>
    <s v="475470"/>
    <s v="Save10"/>
    <n v="5"/>
    <s v="No"/>
    <s v="other"/>
    <s v="WH-03"/>
    <s v="Ekart"/>
    <d v="2024-01-05T00:00:00"/>
    <x v="207"/>
    <d v="2024-01-18T00:00:00"/>
    <s v="gupta_suresh@gmail_com"/>
    <s v="8146074555"/>
  </r>
  <r>
    <x v="252"/>
    <s v="Geetha Devi"/>
    <x v="0"/>
    <s v="Fastrack Watch"/>
    <x v="6"/>
    <x v="2"/>
    <s v="Accessories"/>
    <n v="2550"/>
    <n v="4"/>
    <n v="10200"/>
    <n v="5"/>
    <x v="184"/>
    <n v="9690"/>
    <n v="12"/>
    <n v="1162.8"/>
    <n v="0"/>
    <n v="10852.8"/>
    <x v="0"/>
    <s v="Economy"/>
    <x v="0"/>
    <x v="4"/>
    <s v="Ritu Singh"/>
    <s v="Central"/>
    <s v="Indore"/>
    <s v="Madhya Pradesh"/>
    <x v="3"/>
    <s v="513954"/>
    <s v="Newuser"/>
    <n v="5"/>
    <s v="No"/>
    <s v="other"/>
    <s v="WH-12"/>
    <s v="Ekart"/>
    <d v="2023-08-22T00:00:00"/>
    <x v="206"/>
    <d v="2023-08-31T00:00:00"/>
    <s v="geethad@gmail_com"/>
    <s v="6394884882"/>
  </r>
  <r>
    <x v="253"/>
    <s v="Sangita Ghosh"/>
    <x v="3"/>
    <s v="Titan Raga"/>
    <x v="26"/>
    <x v="2"/>
    <s v="Accessories"/>
    <n v="8590"/>
    <n v="4"/>
    <n v="34360"/>
    <n v="20"/>
    <x v="185"/>
    <n v="27488"/>
    <n v="12"/>
    <n v="3298.56"/>
    <n v="0"/>
    <n v="30786.560000000001"/>
    <x v="4"/>
    <s v="Express"/>
    <x v="0"/>
    <x v="4"/>
    <s v="Pooja Nair"/>
    <s v="South"/>
    <s v="Agra"/>
    <s v="Uttar Pradesh"/>
    <x v="0"/>
    <s v="211315"/>
    <s v="Save10"/>
    <n v="2"/>
    <s v="Yes"/>
    <s v="other"/>
    <s v="WH-12"/>
    <s v="Bluedart"/>
    <d v="2023-10-08T00:00:00"/>
    <x v="208"/>
    <d v="2023-10-18T00:00:00"/>
    <s v="ghosh_sangita@gmail_com"/>
    <s v="7896964546"/>
  </r>
  <r>
    <x v="254"/>
    <s v="Ritu Chauhan"/>
    <x v="1"/>
    <s v="Camlin Art Kit"/>
    <x v="34"/>
    <x v="3"/>
    <s v="Art Supplies"/>
    <n v="610"/>
    <n v="1"/>
    <n v="610"/>
    <n v="5"/>
    <x v="186"/>
    <n v="579.5"/>
    <n v="5"/>
    <n v="28.98"/>
    <n v="149"/>
    <n v="608.48"/>
    <x v="0"/>
    <s v="Standard"/>
    <x v="0"/>
    <x v="0"/>
    <s v="Aman Bhatia"/>
    <s v="West"/>
    <s v="Madurai"/>
    <s v="Tamil Nadu"/>
    <x v="2"/>
    <s v="749207"/>
    <s v="None"/>
    <n v="4"/>
    <s v="No"/>
    <s v="other"/>
    <s v="WH-06"/>
    <s v="Dtdc"/>
    <d v="2023-08-18T00:00:00"/>
    <x v="209"/>
    <d v="2023-08-28T00:00:00"/>
    <s v="ritu_chauhan@gmail_com"/>
    <s v="6940976263"/>
  </r>
  <r>
    <x v="255"/>
    <s v="Sanjay Mishra"/>
    <x v="0"/>
    <s v="Camlin Art Kit"/>
    <x v="34"/>
    <x v="3"/>
    <s v="Art Supplies"/>
    <n v="620"/>
    <n v="8"/>
    <n v="4960"/>
    <n v="5"/>
    <x v="187"/>
    <n v="4712"/>
    <n v="5"/>
    <n v="235.6"/>
    <n v="49"/>
    <n v="4947.6000000000004"/>
    <x v="6"/>
    <s v="Economy"/>
    <x v="4"/>
    <x v="2"/>
    <s v="Suraj Verma"/>
    <s v="East"/>
    <s v="Chandigarh"/>
    <s v="Punjab"/>
    <x v="0"/>
    <s v="513444"/>
    <s v="None"/>
    <n v="4"/>
    <s v="Yes"/>
    <s v="other"/>
    <s v="WH-02"/>
    <s v="India Post"/>
    <d v="2023-07-03T00:00:00"/>
    <x v="46"/>
    <d v="2023-07-14T00:00:00"/>
    <s v="sanjay_mishra@gmail_com"/>
    <s v="6124633515"/>
  </r>
  <r>
    <x v="256"/>
    <s v="Gurpreet Kaur"/>
    <x v="3"/>
    <s v="Boat Rockerz 450"/>
    <x v="8"/>
    <x v="0"/>
    <s v="Audio"/>
    <n v="1590"/>
    <n v="3"/>
    <n v="4770"/>
    <n v="15"/>
    <x v="188"/>
    <n v="4054.5"/>
    <n v="18"/>
    <n v="729.81"/>
    <n v="79"/>
    <n v="4784.3099999999995"/>
    <x v="4"/>
    <s v="Economy"/>
    <x v="0"/>
    <x v="1"/>
    <s v="Suraj Verma"/>
    <s v="East"/>
    <s v="Durgapur"/>
    <s v="West Bengal"/>
    <x v="1"/>
    <s v="307489"/>
    <s v="None"/>
    <n v="4"/>
    <s v="No"/>
    <s v="other"/>
    <s v="WH-01"/>
    <s v="Bluedart"/>
    <d v="2023-12-20T00:00:00"/>
    <x v="156"/>
    <d v="2023-12-25T00:00:00"/>
    <s v="gkaur@outlook_com"/>
    <s v="7982173929"/>
  </r>
  <r>
    <x v="257"/>
    <s v="Thiruvengadam Natarajan"/>
    <x v="1"/>
    <s v="Tata Tea Premium 1Kg"/>
    <x v="17"/>
    <x v="5"/>
    <s v="Beverages"/>
    <n v="460"/>
    <n v="3"/>
    <n v="1380"/>
    <n v="10"/>
    <x v="189"/>
    <n v="1242"/>
    <n v="5"/>
    <n v="62.1"/>
    <n v="79"/>
    <n v="1304.0999999999999"/>
    <x v="0"/>
    <s v="Economy"/>
    <x v="0"/>
    <x v="4"/>
    <s v="Raj Kumar"/>
    <s v="North"/>
    <s v="Cuttack"/>
    <s v="Odisha"/>
    <x v="1"/>
    <s v="659438"/>
    <s v="Newuser"/>
    <n v="5"/>
    <s v="No"/>
    <s v="other"/>
    <s v="WH-09"/>
    <s v="Bluedart"/>
    <d v="2024-06-16T00:00:00"/>
    <x v="37"/>
    <d v="2023-12-25T00:00:00"/>
    <s v="natarajan_thiruvengadam@outlook_com"/>
    <s v="8474080314"/>
  </r>
  <r>
    <x v="258"/>
    <s v="Suresh Gupta"/>
    <x v="3"/>
    <s v="Adidas Ultraboost 22"/>
    <x v="18"/>
    <x v="2"/>
    <s v="Footwear"/>
    <n v="14250"/>
    <n v="3"/>
    <n v="42750"/>
    <n v="0"/>
    <x v="2"/>
    <n v="42750"/>
    <n v="12"/>
    <n v="5130"/>
    <n v="0"/>
    <n v="47880"/>
    <x v="1"/>
    <s v="Standard"/>
    <x v="0"/>
    <x v="3"/>
    <s v="Suraj Verma"/>
    <s v="East"/>
    <s v="Kanpur"/>
    <s v="Uttar Pradesh"/>
    <x v="0"/>
    <m/>
    <s v="Save10"/>
    <n v="5"/>
    <s v="No"/>
    <s v="other"/>
    <s v="WH-12"/>
    <s v="Bluedart"/>
    <d v="2023-11-24T00:00:00"/>
    <x v="98"/>
    <d v="2023-11-30T00:00:00"/>
    <s v="sureshg@gmail_com"/>
    <s v="7022939469"/>
  </r>
  <r>
    <x v="259"/>
    <s v="Kiran Rao"/>
    <x v="0"/>
    <s v="Centuary Mattress"/>
    <x v="16"/>
    <x v="4"/>
    <s v="Beds"/>
    <n v="14970"/>
    <n v="7"/>
    <n v="104790"/>
    <n v="0"/>
    <x v="2"/>
    <n v="104790"/>
    <n v="5"/>
    <n v="5239.5"/>
    <n v="0"/>
    <n v="110029.5"/>
    <x v="1"/>
    <s v="Same Day"/>
    <x v="0"/>
    <x v="2"/>
    <s v="Suraj Verma"/>
    <s v="East"/>
    <s v="Vadodara"/>
    <s v="Gujarat"/>
    <x v="4"/>
    <s v="638084"/>
    <s v="Newuser"/>
    <n v="4"/>
    <s v="No"/>
    <s v="other"/>
    <s v="WH-04"/>
    <s v="Ekart"/>
    <d v="2023-03-14T00:00:00"/>
    <x v="210"/>
    <d v="2023-03-23T00:00:00"/>
    <s v="kiranr@gmail_com"/>
    <s v="87328 07711"/>
  </r>
  <r>
    <x v="260"/>
    <s v="Priya Patel"/>
    <x v="0"/>
    <s v="Sony Bravia 55-Inch"/>
    <x v="1"/>
    <x v="0"/>
    <s v="Televisions"/>
    <n v="73390"/>
    <n v="7"/>
    <n v="513730"/>
    <n v="5"/>
    <x v="190"/>
    <n v="488043.5"/>
    <n v="18"/>
    <n v="87847.83"/>
    <n v="0"/>
    <n v="575891.32999999996"/>
    <x v="6"/>
    <s v="Standard"/>
    <x v="4"/>
    <x v="4"/>
    <s v="Vinay Joshi"/>
    <s v="Central"/>
    <s v="Coimbatore"/>
    <s v="Tamil Nadu"/>
    <x v="2"/>
    <s v="235454"/>
    <s v="Summer15"/>
    <n v="4"/>
    <s v="Yes"/>
    <s v="Defective"/>
    <s v="WH-10"/>
    <s v="Dtdc"/>
    <d v="2023-09-14T00:00:00"/>
    <x v="211"/>
    <d v="2023-03-23T00:00:00"/>
    <s v="priyap@yahoo_co_in"/>
    <s v="9822850116"/>
  </r>
  <r>
    <x v="236"/>
    <s v="Bhavani Shankar"/>
    <x v="0"/>
    <s v="Pepperfry Coffee Table"/>
    <x v="20"/>
    <x v="4"/>
    <s v="Tables"/>
    <n v="11700"/>
    <n v="3"/>
    <n v="35100"/>
    <n v="25"/>
    <x v="191"/>
    <n v="26325"/>
    <n v="5"/>
    <n v="1316.25"/>
    <n v="0"/>
    <n v="27641.25"/>
    <x v="0"/>
    <s v="Economy"/>
    <x v="0"/>
    <x v="0"/>
    <s v="Neha Kulkarni"/>
    <s v="West"/>
    <s v="Hyderabad"/>
    <s v="Telangana"/>
    <x v="2"/>
    <s v="665679"/>
    <s v="Diwali25"/>
    <n v="4"/>
    <s v="No"/>
    <s v="other"/>
    <s v="WH-04"/>
    <s v="Ekart"/>
    <d v="2024-02-01T00:00:00"/>
    <x v="212"/>
    <d v="2024-02-10T00:00:00"/>
    <s v="bhavanis@yahoo_com"/>
    <s v="8642076836"/>
  </r>
  <r>
    <x v="261"/>
    <s v="Muthukrishnan Arunachalam"/>
    <x v="0"/>
    <s v="Godrej Interio Desk"/>
    <x v="14"/>
    <x v="4"/>
    <s v="Desks"/>
    <n v="16870"/>
    <n v="1"/>
    <n v="16870"/>
    <n v="10"/>
    <x v="192"/>
    <n v="15183"/>
    <n v="5"/>
    <n v="759.15"/>
    <n v="0"/>
    <n v="15942.15"/>
    <x v="4"/>
    <s v="Overnight"/>
    <x v="0"/>
    <x v="2"/>
    <s v="Karim Sheikh"/>
    <s v="North"/>
    <s v="Salem"/>
    <s v="Tamil Nadu"/>
    <x v="2"/>
    <s v="178534"/>
    <s v="Save10"/>
    <n v="4"/>
    <s v="No"/>
    <s v="other"/>
    <s v="WH-01"/>
    <s v="Amazon Logistics"/>
    <d v="2024-02-23T00:00:00"/>
    <x v="213"/>
    <d v="2024-03-03T00:00:00"/>
    <s v="muthukrishnan_arunachalam@gmail_com"/>
    <s v="8692492693"/>
  </r>
  <r>
    <x v="262"/>
    <s v="Ravi Shankar"/>
    <x v="0"/>
    <s v="Jbl Flip 6"/>
    <x v="27"/>
    <x v="0"/>
    <s v="Audio"/>
    <n v="9960"/>
    <n v="5"/>
    <n v="49800"/>
    <n v="15"/>
    <x v="193"/>
    <n v="42330"/>
    <n v="18"/>
    <n v="7619.4"/>
    <n v="0"/>
    <n v="49949.4"/>
    <x v="2"/>
    <s v="Overnight"/>
    <x v="0"/>
    <x v="4"/>
    <s v="Vinay Joshi"/>
    <s v="Central"/>
    <s v="Hubballi"/>
    <s v="Karnataka"/>
    <x v="2"/>
    <s v="466282"/>
    <s v="Summer15"/>
    <n v="4"/>
    <s v="No"/>
    <s v="other"/>
    <s v="WH-06"/>
    <s v="Delhivery"/>
    <d v="2023-03-09T00:00:00"/>
    <x v="204"/>
    <d v="2023-03-19T00:00:00"/>
    <s v="rshankar@gmail_com"/>
    <s v="6127102676"/>
  </r>
  <r>
    <x v="263"/>
    <s v="Obeysekara Fernando"/>
    <x v="0"/>
    <s v="Prestige Induction"/>
    <x v="29"/>
    <x v="1"/>
    <s v="Kitchen"/>
    <n v="3660"/>
    <n v="5"/>
    <n v="18300"/>
    <n v="5"/>
    <x v="194"/>
    <n v="17385"/>
    <n v="5"/>
    <n v="869.25"/>
    <n v="0"/>
    <n v="18254.25"/>
    <x v="5"/>
    <s v="Standard"/>
    <x v="5"/>
    <x v="0"/>
    <s v="Raj Kumar"/>
    <s v="North"/>
    <s v="Agra"/>
    <s v="Uttar Pradesh"/>
    <x v="0"/>
    <s v="393413"/>
    <s v="None"/>
    <n v="3"/>
    <s v="No"/>
    <s v="other"/>
    <s v="WH-06"/>
    <s v="Bluedart"/>
    <d v="2023-07-21T00:00:00"/>
    <x v="214"/>
    <d v="2023-08-03T00:00:00"/>
    <s v="obeysekara_fernando@gmail_com"/>
    <s v="6034476504"/>
  </r>
  <r>
    <x v="264"/>
    <s v="Jayesh Vora"/>
    <x v="0"/>
    <s v="Bajaj Mixer 750W"/>
    <x v="5"/>
    <x v="1"/>
    <s v="Kitchen"/>
    <n v="2700"/>
    <n v="2"/>
    <n v="5400"/>
    <n v="20"/>
    <x v="182"/>
    <n v="4320"/>
    <n v="5"/>
    <n v="216"/>
    <n v="49"/>
    <n v="4536"/>
    <x v="3"/>
    <s v="Overnight"/>
    <x v="2"/>
    <x v="1"/>
    <s v="Arjun Das"/>
    <s v="East"/>
    <s v="Rajkot"/>
    <s v="Gujarat"/>
    <x v="4"/>
    <s v="193270"/>
    <s v="Save10"/>
    <n v="5"/>
    <s v="No"/>
    <s v="other"/>
    <s v="WH-11"/>
    <s v="Dtdc"/>
    <d v="2023-05-16T00:00:00"/>
    <x v="215"/>
    <d v="2023-05-25T00:00:00"/>
    <s v="jayeshv@rediffmail_com"/>
    <s v="9005912975"/>
  </r>
  <r>
    <x v="265"/>
    <s v="Gurpreet Kaur"/>
    <x v="0"/>
    <s v="Nilkamal Chair"/>
    <x v="11"/>
    <x v="4"/>
    <s v="Seating"/>
    <n v="4200"/>
    <n v="3"/>
    <n v="12600"/>
    <n v="25"/>
    <x v="61"/>
    <n v="9450"/>
    <n v="5"/>
    <n v="472.5"/>
    <n v="0"/>
    <n v="9922.5"/>
    <x v="6"/>
    <s v="Overnight"/>
    <x v="0"/>
    <x v="4"/>
    <s v="Priya Sinha"/>
    <s v="West"/>
    <s v="Rajkot"/>
    <s v="Gujarat"/>
    <x v="4"/>
    <s v="202518"/>
    <s v="Festive20"/>
    <n v="4"/>
    <s v="No"/>
    <s v="other"/>
    <s v="WH-06"/>
    <s v="Ekart"/>
    <d v="2024-04-25T00:00:00"/>
    <x v="216"/>
    <d v="2024-04-30T00:00:00"/>
    <s v="kaur_gurpreet@outlook_com"/>
    <s v="7843645380"/>
  </r>
  <r>
    <x v="266"/>
    <s v="Yeswanth Reddy"/>
    <x v="3"/>
    <s v="Lg 8Kg Front Load"/>
    <x v="33"/>
    <x v="1"/>
    <s v="Washing Machines"/>
    <n v="48350"/>
    <n v="2"/>
    <n v="96700"/>
    <n v="15"/>
    <x v="195"/>
    <n v="82195"/>
    <n v="5"/>
    <n v="4109.75"/>
    <n v="0"/>
    <n v="86304.75"/>
    <x v="0"/>
    <s v="Standard"/>
    <x v="0"/>
    <x v="3"/>
    <s v="Arjun Das"/>
    <s v="East"/>
    <s v="Kochi"/>
    <s v="Kerala"/>
    <x v="2"/>
    <s v="276007"/>
    <s v="None"/>
    <n v="3"/>
    <s v="No"/>
    <s v="other"/>
    <s v="WH-09"/>
    <s v="Delhivery"/>
    <d v="2024-05-06T00:00:00"/>
    <x v="176"/>
    <d v="2024-05-18T00:00:00"/>
    <s v="yeswanth_reddy@yahoo_co_in"/>
    <s v="9660256265"/>
  </r>
  <r>
    <x v="267"/>
    <s v="Venugopal Krishnan"/>
    <x v="0"/>
    <s v="Levi'S 511 Jeans"/>
    <x v="10"/>
    <x v="2"/>
    <s v="Clothing"/>
    <n v="3430"/>
    <n v="1"/>
    <n v="3430"/>
    <n v="15"/>
    <x v="196"/>
    <n v="2915.5"/>
    <n v="12"/>
    <n v="349.86"/>
    <n v="99"/>
    <n v="3265.36"/>
    <x v="6"/>
    <s v="Economy"/>
    <x v="0"/>
    <x v="4"/>
    <s v="Sneha Reddy"/>
    <s v="South"/>
    <s v="Vijayawada"/>
    <s v="Andhra Pradesh"/>
    <x v="2"/>
    <s v="715259"/>
    <s v="None"/>
    <n v="4"/>
    <s v="Yes"/>
    <s v="Late Delivery"/>
    <s v="WH-03"/>
    <s v="India Post"/>
    <d v="2023-06-13T00:00:00"/>
    <x v="217"/>
    <d v="2023-06-19T00:00:00"/>
    <s v="krishnan_venugopal@gmail_com"/>
    <s v="9845525971"/>
  </r>
  <r>
    <x v="268"/>
    <s v="Ritu Chauhan"/>
    <x v="3"/>
    <s v="Parker Pen Set"/>
    <x v="36"/>
    <x v="3"/>
    <s v="Writing"/>
    <n v="780"/>
    <n v="2"/>
    <n v="1560"/>
    <n v="10"/>
    <x v="197"/>
    <n v="1404"/>
    <n v="5"/>
    <n v="70.2"/>
    <n v="49"/>
    <n v="1474.2"/>
    <x v="0"/>
    <s v="Overnight"/>
    <x v="0"/>
    <x v="3"/>
    <s v="Ankit Sharma"/>
    <s v="North"/>
    <s v="Cuttack"/>
    <s v="Odisha"/>
    <x v="1"/>
    <s v="419980"/>
    <s v="Festive20"/>
    <n v="4"/>
    <s v="No"/>
    <s v="other"/>
    <s v="WH-12"/>
    <s v="Amazon Logistics"/>
    <d v="2023-08-31T00:00:00"/>
    <x v="218"/>
    <d v="2023-09-12T00:00:00"/>
    <s v="ritu_chauhan@gmail_com"/>
    <s v="6250733055"/>
  </r>
  <r>
    <x v="269"/>
    <s v="Abhijeet Sawant"/>
    <x v="0"/>
    <s v="Milton Water Purifier"/>
    <x v="22"/>
    <x v="1"/>
    <s v="Kitchen"/>
    <n v="9250"/>
    <n v="1"/>
    <n v="9250"/>
    <n v="10"/>
    <x v="198"/>
    <n v="8325"/>
    <n v="5"/>
    <n v="416.25"/>
    <n v="0"/>
    <n v="8741.25"/>
    <x v="3"/>
    <s v="Economy"/>
    <x v="0"/>
    <x v="4"/>
    <s v="Vinay Joshi"/>
    <s v="Central"/>
    <s v="Vadodara"/>
    <s v="Gujarat"/>
    <x v="4"/>
    <s v="406652"/>
    <s v="None"/>
    <n v="4"/>
    <s v="No"/>
    <s v="other"/>
    <s v="WH-10"/>
    <s v="Delhivery"/>
    <d v="2023-01-12T00:00:00"/>
    <x v="219"/>
    <d v="2023-01-21T00:00:00"/>
    <s v="asawant@outlook_com"/>
    <s v="7742925010"/>
  </r>
  <r>
    <x v="270"/>
    <s v="Uma Shankar"/>
    <x v="3"/>
    <s v="Parker Pen Set"/>
    <x v="36"/>
    <x v="3"/>
    <s v="Writing"/>
    <n v="910"/>
    <n v="3"/>
    <n v="2730"/>
    <n v="0"/>
    <x v="2"/>
    <n v="2730"/>
    <n v="5"/>
    <n v="136.5"/>
    <n v="99"/>
    <n v="2866.5"/>
    <x v="3"/>
    <s v="Standard"/>
    <x v="5"/>
    <x v="2"/>
    <s v="Karim Sheikh"/>
    <s v="North"/>
    <s v="Ghaziabad"/>
    <s v="Uttar Pradesh"/>
    <x v="0"/>
    <m/>
    <s v="Diwali25"/>
    <n v="4"/>
    <s v="No"/>
    <s v="other"/>
    <s v="WH-05"/>
    <s v="Bluedart"/>
    <d v="2023-03-07T00:00:00"/>
    <x v="220"/>
    <d v="2023-03-12T00:00:00"/>
    <s v="umas@gmail_com"/>
    <s v=" 9372143308"/>
  </r>
  <r>
    <x v="271"/>
    <s v="Foram Trivedi"/>
    <x v="1"/>
    <s v="Titan Raga"/>
    <x v="26"/>
    <x v="2"/>
    <s v="Accessories"/>
    <n v="8290"/>
    <n v="3"/>
    <n v="24870"/>
    <n v="15"/>
    <x v="199"/>
    <n v="21139.5"/>
    <n v="12"/>
    <n v="2536.7399999999998"/>
    <n v="0"/>
    <n v="23676.239999999998"/>
    <x v="3"/>
    <s v="Overnight"/>
    <x v="1"/>
    <x v="4"/>
    <s v="Anjali Mehta"/>
    <s v="South"/>
    <s v="Delhi"/>
    <s v="Delhi"/>
    <x v="0"/>
    <s v="707906"/>
    <s v="None"/>
    <n v="4"/>
    <s v="No"/>
    <s v="other"/>
    <s v="WH-05"/>
    <s v="Ekart"/>
    <d v="2023-07-24T00:00:00"/>
    <x v="173"/>
    <d v="2023-07-31T00:00:00"/>
    <s v="trivedi_foram@gmail_com"/>
    <s v="69453 54614"/>
  </r>
  <r>
    <x v="272"/>
    <s v="Dinesh Thakur"/>
    <x v="2"/>
    <s v="Voltas 1.5T Ac"/>
    <x v="19"/>
    <x v="1"/>
    <s v="Air Conditioners"/>
    <n v="35040"/>
    <n v="1"/>
    <n v="35040"/>
    <n v="15"/>
    <x v="200"/>
    <n v="29784"/>
    <n v="5"/>
    <n v="1489.2"/>
    <n v="0"/>
    <n v="31273.200000000001"/>
    <x v="0"/>
    <s v="Economy"/>
    <x v="3"/>
    <x v="2"/>
    <s v="Anjali Mehta"/>
    <s v="South"/>
    <s v="Thiruvananthapuram"/>
    <s v="Kerala"/>
    <x v="2"/>
    <s v="146693"/>
    <s v="Diwali25"/>
    <n v="3"/>
    <s v="No"/>
    <s v="other"/>
    <s v="WH-05"/>
    <s v="Delhivery"/>
    <d v="2023-08-24T00:00:00"/>
    <x v="221"/>
    <d v="2023-09-04T00:00:00"/>
    <s v="dinesht@gmail_com"/>
    <s v="6009004047"/>
  </r>
  <r>
    <x v="273"/>
    <s v="Parvati Devi"/>
    <x v="0"/>
    <s v="Samsung Galaxy S24"/>
    <x v="2"/>
    <x v="0"/>
    <s v="Mobile Phones"/>
    <n v="79640"/>
    <n v="2"/>
    <n v="159280"/>
    <n v="10"/>
    <x v="201"/>
    <n v="143352"/>
    <n v="18"/>
    <n v="25803.360000000001"/>
    <n v="0"/>
    <n v="169155.36"/>
    <x v="2"/>
    <s v="Overnight"/>
    <x v="0"/>
    <x v="2"/>
    <s v="Priya Sinha"/>
    <s v="West"/>
    <s v="Kozhikode"/>
    <s v="Kerala"/>
    <x v="2"/>
    <s v="159592"/>
    <s v="Festive20"/>
    <n v="4"/>
    <s v="No"/>
    <s v="other"/>
    <s v="WH-02"/>
    <s v="Dtdc"/>
    <d v="2023-01-15T00:00:00"/>
    <x v="187"/>
    <d v="2023-09-04T00:00:00"/>
    <s v="parvati_devi@gmail_com"/>
    <s v="7901447340"/>
  </r>
  <r>
    <x v="274"/>
    <s v="Jayalakshmi Kumar"/>
    <x v="0"/>
    <s v="Samsung 65-Inch Qled"/>
    <x v="2"/>
    <x v="0"/>
    <s v="Televisions"/>
    <n v="97120"/>
    <n v="2"/>
    <n v="194240"/>
    <n v="5"/>
    <x v="202"/>
    <n v="184528"/>
    <n v="18"/>
    <n v="33215.040000000001"/>
    <n v="0"/>
    <n v="217743.04"/>
    <x v="3"/>
    <s v="Economy"/>
    <x v="1"/>
    <x v="3"/>
    <s v="Pooja Nair"/>
    <s v="South"/>
    <s v="Salem"/>
    <s v="Tamil Nadu"/>
    <x v="2"/>
    <s v="227315"/>
    <s v="Newuser"/>
    <n v="4"/>
    <s v="No"/>
    <s v="other"/>
    <s v="WH-09"/>
    <s v="Delhivery"/>
    <d v="2024-01-16T00:00:00"/>
    <x v="147"/>
    <d v="2024-02-01T00:00:00"/>
    <s v="jayalakshmi_kumar@gmail_com"/>
    <s v="8557782058"/>
  </r>
  <r>
    <x v="275"/>
    <s v="Naveen Bajaj"/>
    <x v="0"/>
    <s v="Titan Raga"/>
    <x v="26"/>
    <x v="2"/>
    <s v="Accessories"/>
    <n v="9480"/>
    <n v="3"/>
    <n v="28440"/>
    <n v="5"/>
    <x v="203"/>
    <n v="18012"/>
    <n v="12"/>
    <n v="2161.44"/>
    <n v="0"/>
    <n v="20173.439999999999"/>
    <x v="6"/>
    <s v="Economy"/>
    <x v="4"/>
    <x v="4"/>
    <s v="Priya Sinha"/>
    <s v="West"/>
    <s v="Ahmedabad"/>
    <s v="Gujarat"/>
    <x v="4"/>
    <s v="234732"/>
    <s v="None"/>
    <n v="3"/>
    <s v="Yes"/>
    <s v="other"/>
    <s v="WH-11"/>
    <s v="Bluedart"/>
    <d v="2023-08-21T00:00:00"/>
    <x v="222"/>
    <d v="2023-09-03T00:00:00"/>
    <s v="naveen_bajaj@gmail_com"/>
    <s v="7081721436"/>
  </r>
  <r>
    <x v="276"/>
    <s v="Smita Patil"/>
    <x v="3"/>
    <s v="Daikin 1.5T Inverter"/>
    <x v="30"/>
    <x v="1"/>
    <s v="Air Conditioners"/>
    <n v="47320"/>
    <n v="3"/>
    <n v="141960"/>
    <n v="25"/>
    <x v="204"/>
    <n v="106470"/>
    <n v="5"/>
    <n v="5323.5"/>
    <n v="0"/>
    <n v="111793.5"/>
    <x v="3"/>
    <s v="Standard"/>
    <x v="0"/>
    <x v="3"/>
    <s v="Suraj Verma"/>
    <s v="East"/>
    <s v="Salem"/>
    <s v="Tamil Nadu"/>
    <x v="2"/>
    <s v="583117"/>
    <s v="None"/>
    <n v="5"/>
    <s v="No"/>
    <s v="other"/>
    <s v="WH-07"/>
    <s v="Delhivery"/>
    <d v="2023-11-08T00:00:00"/>
    <x v="223"/>
    <d v="2023-11-21T00:00:00"/>
    <s v="spatil@gmail_com"/>
    <s v="9060717481"/>
  </r>
  <r>
    <x v="277"/>
    <s v="Obeysekara Fernando"/>
    <x v="0"/>
    <s v="Maggi Noodles 12-Pack"/>
    <x v="40"/>
    <x v="5"/>
    <s v="Instant Foods"/>
    <n v="180"/>
    <n v="1"/>
    <n v="180"/>
    <n v="15"/>
    <x v="205"/>
    <n v="153"/>
    <n v="5"/>
    <n v="7.65"/>
    <n v="49"/>
    <n v="160.65"/>
    <x v="2"/>
    <s v="Overnight"/>
    <x v="0"/>
    <x v="2"/>
    <s v="Deepa Menon"/>
    <s v="South"/>
    <s v="Pune"/>
    <s v="Maharashtra"/>
    <x v="4"/>
    <s v="744605"/>
    <s v="Summer15"/>
    <n v="5"/>
    <s v="No"/>
    <s v="other"/>
    <s v="WH-08"/>
    <s v="Bluedart"/>
    <d v="2024-03-31T00:00:00"/>
    <x v="224"/>
    <d v="2024-04-11T00:00:00"/>
    <s v="obeysekaraf@gmail_com"/>
    <s v="7377306260"/>
  </r>
  <r>
    <x v="278"/>
    <s v="Thiruvengadam Natarajan"/>
    <x v="0"/>
    <s v="Peter England Suit"/>
    <x v="37"/>
    <x v="2"/>
    <s v="Clothing"/>
    <n v="9290"/>
    <n v="2"/>
    <n v="18580"/>
    <n v="0"/>
    <x v="2"/>
    <n v="18580"/>
    <n v="12"/>
    <n v="2229.6"/>
    <n v="0"/>
    <n v="20809.599999999999"/>
    <x v="1"/>
    <s v="Same Day"/>
    <x v="0"/>
    <x v="2"/>
    <s v="Arjun Das"/>
    <s v="East"/>
    <s v="Vadodara"/>
    <s v="Gujarat"/>
    <x v="4"/>
    <s v="119288"/>
    <s v="None"/>
    <n v="4"/>
    <s v="No"/>
    <s v="other"/>
    <s v="WH-03"/>
    <s v="Bluedart"/>
    <d v="2023-04-19T00:00:00"/>
    <x v="225"/>
    <d v="2024-04-11T00:00:00"/>
    <s v="thiruvengadamn@outlook_com"/>
    <s v="9858471296"/>
  </r>
  <r>
    <x v="279"/>
    <s v="Divya Krishnan"/>
    <x v="3"/>
    <s v="Sony Wh-1000Xm5"/>
    <x v="1"/>
    <x v="0"/>
    <s v="Audio"/>
    <n v="30630"/>
    <n v="2"/>
    <n v="61260"/>
    <n v="10"/>
    <x v="206"/>
    <n v="55134"/>
    <n v="18"/>
    <n v="9924.1200000000008"/>
    <n v="0"/>
    <n v="65058.12"/>
    <x v="0"/>
    <s v="Express"/>
    <x v="2"/>
    <x v="0"/>
    <s v="Karim Sheikh"/>
    <s v="North"/>
    <s v="Ahmedabad"/>
    <s v="Gujarat"/>
    <x v="4"/>
    <s v="776207"/>
    <s v="Summer15"/>
    <n v="5"/>
    <s v="No"/>
    <s v="other"/>
    <s v="WH-10"/>
    <s v="Dtdc"/>
    <d v="2024-05-04T00:00:00"/>
    <x v="226"/>
    <d v="2024-05-13T00:00:00"/>
    <s v="divya_krishnan@gmail_com"/>
    <s v="8346060560"/>
  </r>
  <r>
    <x v="280"/>
    <s v="Eswaran Murugan"/>
    <x v="0"/>
    <s v="Samsung Galaxy S24"/>
    <x v="2"/>
    <x v="0"/>
    <s v="Mobile Phones"/>
    <n v="72330"/>
    <n v="1"/>
    <n v="72330"/>
    <n v="0"/>
    <x v="2"/>
    <n v="72330"/>
    <n v="18"/>
    <n v="13019.4"/>
    <n v="0"/>
    <n v="85349.4"/>
    <x v="3"/>
    <s v="Same Day"/>
    <x v="1"/>
    <x v="0"/>
    <s v="Raj Kumar"/>
    <s v="North"/>
    <s v="Visakhapatnam"/>
    <s v="Andhra Pradesh"/>
    <x v="2"/>
    <s v="461272"/>
    <s v="None"/>
    <n v="3"/>
    <s v="No"/>
    <s v="other"/>
    <s v="WH-07"/>
    <s v="Delhivery"/>
    <d v="2023-03-28T00:00:00"/>
    <x v="227"/>
    <d v="2023-04-07T00:00:00"/>
    <s v="murugan_eswaran@rediffmail_com"/>
    <s v="9992751758"/>
  </r>
  <r>
    <x v="281"/>
    <s v="Geetha Devi"/>
    <x v="3"/>
    <s v="Lg 43-Inch 4K Tv"/>
    <x v="33"/>
    <x v="0"/>
    <s v="Televisions"/>
    <n v="29347.846790890268"/>
    <n v="3"/>
    <n v="88043.540372670803"/>
    <n v="5"/>
    <x v="207"/>
    <n v="114028.5"/>
    <n v="18"/>
    <n v="20525.13"/>
    <n v="0"/>
    <n v="134553.63"/>
    <x v="2"/>
    <s v="Same Day"/>
    <x v="0"/>
    <x v="4"/>
    <s v="Aman Bhatia"/>
    <s v="West"/>
    <s v="Raipur"/>
    <s v="Chhattisgarh"/>
    <x v="3"/>
    <s v="705019"/>
    <s v="Flat500"/>
    <n v="4"/>
    <s v="No"/>
    <s v="other"/>
    <s v="WH-05"/>
    <s v="Delhivery"/>
    <d v="2023-10-30T00:00:00"/>
    <x v="228"/>
    <d v="2023-11-08T00:00:00"/>
    <s v="geetha_devi@gmail_com"/>
    <s v="9978524914"/>
  </r>
  <r>
    <x v="282"/>
    <s v="Anita Bhatt"/>
    <x v="0"/>
    <s v="Puma Softride"/>
    <x v="31"/>
    <x v="2"/>
    <s v="Footwear"/>
    <n v="29347.846790890268"/>
    <n v="2"/>
    <n v="58695.693581780535"/>
    <n v="0"/>
    <x v="2"/>
    <n v="10480"/>
    <n v="12"/>
    <n v="1257.5999999999999"/>
    <n v="0"/>
    <n v="11737.6"/>
    <x v="3"/>
    <s v="Standard"/>
    <x v="3"/>
    <x v="0"/>
    <s v="Sneha Reddy"/>
    <s v="South"/>
    <s v="Vijayawada"/>
    <s v="Andhra Pradesh"/>
    <x v="2"/>
    <s v="278188"/>
    <s v="None"/>
    <n v="1"/>
    <s v="No"/>
    <s v="other"/>
    <s v="WH-12"/>
    <s v="Dtdc"/>
    <d v="2023-11-17T00:00:00"/>
    <x v="229"/>
    <d v="2023-11-22T00:00:00"/>
    <s v="bhatt_anita@outlook_com__"/>
    <s v="7594463339"/>
  </r>
  <r>
    <x v="283"/>
    <s v="Manoj Tomar"/>
    <x v="0"/>
    <s v="Nikon D3500"/>
    <x v="3"/>
    <x v="0"/>
    <s v="Cameras"/>
    <n v="35950"/>
    <n v="1"/>
    <n v="35950"/>
    <n v="5"/>
    <x v="208"/>
    <n v="34152.5"/>
    <n v="18"/>
    <n v="6147.45"/>
    <n v="0"/>
    <n v="40299.949999999997"/>
    <x v="4"/>
    <s v="Economy"/>
    <x v="3"/>
    <x v="2"/>
    <s v="Ankit Sharma"/>
    <s v="North"/>
    <s v="Thiruvananthapuram"/>
    <s v="Kerala"/>
    <x v="2"/>
    <s v="480426"/>
    <s v="Flat500"/>
    <n v="4"/>
    <s v="No"/>
    <s v="other"/>
    <s v="WH-04"/>
    <s v="Ekart"/>
    <d v="2023-06-19T00:00:00"/>
    <x v="230"/>
    <d v="2023-06-26T00:00:00"/>
    <s v="tomar_manoj@yahoo_com"/>
    <s v="6843768550"/>
  </r>
  <r>
    <x v="284"/>
    <s v="Eswaran Murugan"/>
    <x v="0"/>
    <s v="Puma Softride"/>
    <x v="31"/>
    <x v="2"/>
    <s v="Footwear"/>
    <n v="4910"/>
    <n v="5"/>
    <n v="24550"/>
    <n v="5"/>
    <x v="209"/>
    <n v="23322.5"/>
    <n v="12"/>
    <n v="2798.7"/>
    <n v="0"/>
    <n v="26121.200000000001"/>
    <x v="5"/>
    <s v="Economy"/>
    <x v="0"/>
    <x v="2"/>
    <s v="Pooja Nair"/>
    <s v="South"/>
    <s v="Pune"/>
    <s v="Maharashtra"/>
    <x v="4"/>
    <s v="305057"/>
    <s v="None"/>
    <n v="4"/>
    <s v="No"/>
    <s v="other"/>
    <s v="WH-05"/>
    <s v="Delhivery"/>
    <d v="2023-09-07T00:00:00"/>
    <x v="231"/>
    <d v="2023-09-16T00:00:00"/>
    <s v="eswaranm@rediffmail_com"/>
    <s v="9898306503"/>
  </r>
  <r>
    <x v="285"/>
    <s v="Deepak Nair"/>
    <x v="0"/>
    <s v="Wildcraft Backpack"/>
    <x v="28"/>
    <x v="2"/>
    <s v="Bags"/>
    <n v="1890"/>
    <n v="2"/>
    <n v="3780"/>
    <n v="0"/>
    <x v="2"/>
    <n v="3780"/>
    <n v="12"/>
    <n v="453.6"/>
    <n v="79"/>
    <n v="4233.6000000000004"/>
    <x v="2"/>
    <s v="Standard"/>
    <x v="1"/>
    <x v="1"/>
    <s v="Ritu Singh"/>
    <s v="Central"/>
    <s v="Jamshedpur"/>
    <s v="Jharkhand"/>
    <x v="1"/>
    <s v="370273"/>
    <s v="Newuser"/>
    <n v="5"/>
    <s v="No"/>
    <s v="other"/>
    <s v="WH-10"/>
    <s v="Ekart"/>
    <d v="2023-06-30T00:00:00"/>
    <x v="144"/>
    <d v="2023-07-13T00:00:00"/>
    <s v="deepakn@yahoo_com"/>
    <s v="9305248088"/>
  </r>
  <r>
    <x v="286"/>
    <s v="Farhan Khan"/>
    <x v="0"/>
    <s v="Iphone 15 Pro"/>
    <x v="13"/>
    <x v="0"/>
    <s v="Mobile Phones"/>
    <n v="90600"/>
    <n v="2"/>
    <n v="181200"/>
    <n v="5"/>
    <x v="210"/>
    <n v="172140"/>
    <n v="18"/>
    <n v="30985.200000000001"/>
    <n v="0"/>
    <n v="203125.2"/>
    <x v="1"/>
    <s v="Overnight"/>
    <x v="0"/>
    <x v="3"/>
    <s v="Karim Sheikh"/>
    <s v="North"/>
    <s v="Mangaluru"/>
    <s v="Karnataka"/>
    <x v="2"/>
    <s v="426641"/>
    <s v="None"/>
    <n v="4"/>
    <s v="No"/>
    <s v="other"/>
    <s v="WH-03"/>
    <s v="Delhivery"/>
    <d v="2024-06-25T00:00:00"/>
    <x v="232"/>
    <d v="2024-07-11T00:00:00"/>
    <s v="farhan_khan@gmail_com"/>
    <s v="6319541966"/>
  </r>
  <r>
    <x v="287"/>
    <s v="Naveen Bajaj"/>
    <x v="0"/>
    <s v="Levi'S 511 Jeans"/>
    <x v="10"/>
    <x v="2"/>
    <s v="Clothing"/>
    <n v="2970"/>
    <n v="2"/>
    <n v="5940"/>
    <n v="20"/>
    <x v="211"/>
    <n v="4752"/>
    <n v="12"/>
    <n v="570.24"/>
    <n v="0"/>
    <n v="5322.24"/>
    <x v="2"/>
    <s v="Same Day"/>
    <x v="4"/>
    <x v="3"/>
    <s v="Karim Sheikh"/>
    <s v="North"/>
    <s v="Warangal"/>
    <s v="Telangana"/>
    <x v="2"/>
    <s v="473779"/>
    <s v="Save10"/>
    <n v="3"/>
    <s v="Yes"/>
    <s v="other"/>
    <s v="WH-06"/>
    <s v="Delhivery"/>
    <d v="2024-04-21T00:00:00"/>
    <x v="233"/>
    <d v="2024-04-29T00:00:00"/>
    <s v="nbajaj@gmail_com"/>
    <s v="88707 15534"/>
  </r>
  <r>
    <x v="288"/>
    <s v="Harpreet Singh"/>
    <x v="0"/>
    <s v="Milton Water Purifier"/>
    <x v="22"/>
    <x v="1"/>
    <s v="Kitchen"/>
    <n v="29347.846790890268"/>
    <n v="3"/>
    <n v="88043.540372670803"/>
    <n v="25"/>
    <x v="212"/>
    <n v="20947.5"/>
    <n v="5"/>
    <n v="1047.3800000000001"/>
    <n v="0"/>
    <n v="21994.880000000001"/>
    <x v="5"/>
    <s v="Same Day"/>
    <x v="4"/>
    <x v="2"/>
    <s v="Deepa Menon"/>
    <s v="South"/>
    <s v="Jabalpur"/>
    <s v="Madhya Pradesh"/>
    <x v="3"/>
    <s v="627454"/>
    <s v="None"/>
    <n v="1"/>
    <s v="Yes"/>
    <s v="other"/>
    <s v="WH-06"/>
    <s v="Dtdc"/>
    <d v="2023-02-07T00:00:00"/>
    <x v="198"/>
    <d v="2023-02-23T00:00:00"/>
    <s v="harpreet_singh@gmail_com"/>
    <s v="6402369362"/>
  </r>
  <r>
    <x v="289"/>
    <s v="Bhavani Shankar"/>
    <x v="1"/>
    <s v="Titan Raga"/>
    <x v="26"/>
    <x v="2"/>
    <s v="Accessories"/>
    <n v="9480"/>
    <n v="4"/>
    <n v="37920"/>
    <n v="10"/>
    <x v="213"/>
    <n v="34128"/>
    <n v="12"/>
    <n v="4095.36"/>
    <n v="0"/>
    <n v="38223.360000000001"/>
    <x v="4"/>
    <s v="Overnight"/>
    <x v="1"/>
    <x v="4"/>
    <s v="Vinay Joshi"/>
    <s v="Central"/>
    <s v="Asansol"/>
    <s v="West Bengal"/>
    <x v="1"/>
    <s v="439208"/>
    <s v="Flat500"/>
    <n v="5"/>
    <s v="No"/>
    <s v="other"/>
    <s v="WH-01"/>
    <s v="Bluedart"/>
    <d v="2023-12-05T00:00:00"/>
    <x v="165"/>
    <d v="2023-12-18T00:00:00"/>
    <s v="bhavani_shankar@yahoo_com__"/>
    <s v="8441283337"/>
  </r>
  <r>
    <x v="290"/>
    <s v="Kunal Oberoi"/>
    <x v="0"/>
    <s v="Samsung Galaxy S24"/>
    <x v="2"/>
    <x v="0"/>
    <s v="Mobile Phones"/>
    <n v="80130"/>
    <n v="20"/>
    <n v="1602600"/>
    <n v="5"/>
    <x v="214"/>
    <n v="1522470"/>
    <n v="18"/>
    <n v="274044.59999999998"/>
    <n v="0"/>
    <n v="1796514.6"/>
    <x v="5"/>
    <s v="Express"/>
    <x v="0"/>
    <x v="3"/>
    <s v="Arjun Das"/>
    <s v="East"/>
    <s v="Coimbatore"/>
    <s v="Tamil Nadu"/>
    <x v="2"/>
    <s v="721177"/>
    <s v="Flat500"/>
    <n v="4"/>
    <s v="No"/>
    <s v="other"/>
    <s v="WH-01"/>
    <s v="Dtdc"/>
    <d v="2023-05-02T00:00:00"/>
    <x v="234"/>
    <d v="2023-05-10T00:00:00"/>
    <s v="kunal_oberoi@gmail_com"/>
    <s v="82867 12007"/>
  </r>
  <r>
    <x v="291"/>
    <s v="Anita Bhatt"/>
    <x v="0"/>
    <s v="Hp Laserjet 1020"/>
    <x v="0"/>
    <x v="0"/>
    <s v="Printers"/>
    <n v="13200"/>
    <n v="2"/>
    <n v="26400"/>
    <n v="0"/>
    <x v="2"/>
    <n v="26400"/>
    <n v="18"/>
    <n v="4752"/>
    <n v="0"/>
    <n v="31152"/>
    <x v="6"/>
    <s v="Standard"/>
    <x v="2"/>
    <x v="2"/>
    <s v="Neha Kulkarni"/>
    <s v="West"/>
    <s v="Cuttack"/>
    <s v="Odisha"/>
    <x v="1"/>
    <s v="717409"/>
    <s v="None"/>
    <n v="4"/>
    <s v="No"/>
    <s v="other"/>
    <s v="WH-08"/>
    <s v="Bluedart"/>
    <d v="2024-06-22T00:00:00"/>
    <x v="235"/>
    <d v="2024-06-29T00:00:00"/>
    <s v="anita_bhatt@outlook_com"/>
    <s v="6446634533"/>
  </r>
  <r>
    <x v="292"/>
    <s v="Nagalakshmi Venkatesh"/>
    <x v="3"/>
    <s v="Centuary Mattress"/>
    <x v="16"/>
    <x v="4"/>
    <s v="Beds"/>
    <n v="14670"/>
    <n v="4"/>
    <n v="58680"/>
    <n v="5"/>
    <x v="215"/>
    <n v="55746"/>
    <n v="5"/>
    <n v="2787.3"/>
    <n v="0"/>
    <n v="58533.3"/>
    <x v="2"/>
    <s v="Standard"/>
    <x v="0"/>
    <x v="3"/>
    <s v="Aman Bhatia"/>
    <s v="West"/>
    <s v="Asansol"/>
    <s v="West Bengal"/>
    <x v="1"/>
    <s v="754746"/>
    <s v="None"/>
    <n v="4"/>
    <s v="No"/>
    <s v="other"/>
    <s v="WH-01"/>
    <s v="Delhivery"/>
    <d v="2023-06-11T00:00:00"/>
    <x v="165"/>
    <d v="2023-11-17T00:00:00"/>
    <s v="nagalakshmiv@yahoo_com"/>
    <s v="7592024617"/>
  </r>
  <r>
    <x v="293"/>
    <s v="Sushma Yadav"/>
    <x v="3"/>
    <s v="Jbl Flip 6"/>
    <x v="27"/>
    <x v="0"/>
    <s v="Audio"/>
    <n v="10140"/>
    <n v="3"/>
    <n v="30420"/>
    <n v="20"/>
    <x v="216"/>
    <n v="24336"/>
    <n v="18"/>
    <n v="4380.4799999999996"/>
    <n v="0"/>
    <n v="28716.48"/>
    <x v="4"/>
    <s v="Standard"/>
    <x v="0"/>
    <x v="2"/>
    <s v="Arjun Das"/>
    <s v="East"/>
    <s v="Agra"/>
    <s v="Uttar Pradesh"/>
    <x v="0"/>
    <s v="112360"/>
    <s v="None"/>
    <n v="4"/>
    <s v="No"/>
    <s v="other"/>
    <s v="WH-02"/>
    <s v="Ekart"/>
    <d v="2024-06-01T00:00:00"/>
    <x v="236"/>
    <d v="2024-06-14T00:00:00"/>
    <s v="sushma_yadav@gmail_com"/>
    <s v="7799359374"/>
  </r>
  <r>
    <x v="294"/>
    <s v="Janaki Ramanathan"/>
    <x v="3"/>
    <s v="Whirlpool 7Kg Washer"/>
    <x v="35"/>
    <x v="1"/>
    <s v="Washing Machines"/>
    <n v="33430"/>
    <n v="3"/>
    <n v="100290"/>
    <n v="20"/>
    <x v="217"/>
    <n v="80232"/>
    <n v="5"/>
    <n v="4011.6"/>
    <n v="0"/>
    <n v="84243.6"/>
    <x v="5"/>
    <s v="Overnight"/>
    <x v="4"/>
    <x v="3"/>
    <s v="Ankit Sharma"/>
    <s v="North"/>
    <s v="Raipur"/>
    <s v="Chhattisgarh"/>
    <x v="3"/>
    <s v="393170"/>
    <s v="Summer15"/>
    <n v="4"/>
    <s v="Yes"/>
    <s v="Wrong Item"/>
    <s v="WH-08"/>
    <s v="Bluedart"/>
    <d v="2023-02-22T00:00:00"/>
    <x v="237"/>
    <d v="2023-03-03T00:00:00"/>
    <s v="janaki_ramanathan@gmail_com"/>
    <s v="742446263"/>
  </r>
  <r>
    <x v="295"/>
    <s v="Gopal Menon"/>
    <x v="0"/>
    <s v="Adidas Ultraboost 22"/>
    <x v="18"/>
    <x v="2"/>
    <s v="Footwear"/>
    <n v="13090"/>
    <n v="2"/>
    <n v="26180"/>
    <n v="0"/>
    <x v="2"/>
    <n v="26180"/>
    <n v="12"/>
    <n v="3141.6"/>
    <n v="0"/>
    <n v="29321.599999999999"/>
    <x v="6"/>
    <s v="Same Day"/>
    <x v="2"/>
    <x v="1"/>
    <s v="Raj Kumar"/>
    <s v="North"/>
    <s v="Kolkata"/>
    <s v="West Bengal"/>
    <x v="1"/>
    <s v="447866"/>
    <s v="None"/>
    <n v="5"/>
    <s v="No"/>
    <s v="other"/>
    <s v="WH-04"/>
    <s v="Amazon Logistics"/>
    <d v="2024-05-07T00:00:00"/>
    <x v="130"/>
    <d v="2024-05-19T00:00:00"/>
    <s v="menon_gopal@gmail_com"/>
    <s v="8056618632"/>
  </r>
  <r>
    <x v="296"/>
    <s v="Manisha Kadam"/>
    <x v="3"/>
    <s v="Pepperfry Coffee Table"/>
    <x v="20"/>
    <x v="4"/>
    <s v="Tables"/>
    <n v="12180"/>
    <n v="6"/>
    <n v="73080"/>
    <n v="10"/>
    <x v="218"/>
    <n v="65772"/>
    <n v="5"/>
    <n v="3288.6"/>
    <n v="0"/>
    <n v="69060.600000000006"/>
    <x v="0"/>
    <s v="Economy"/>
    <x v="0"/>
    <x v="2"/>
    <s v="Sneha Reddy"/>
    <s v="South"/>
    <s v="Coimbatore"/>
    <s v="Tamil Nadu"/>
    <x v="2"/>
    <s v="207598"/>
    <s v="None"/>
    <n v="5"/>
    <s v="No"/>
    <s v="other"/>
    <s v="WH-09"/>
    <s v="Dtdc"/>
    <d v="2023-01-08T00:00:00"/>
    <x v="115"/>
    <d v="2024-05-19T00:00:00"/>
    <s v="mkadam@gmail_com"/>
    <s v="8640104246"/>
  </r>
  <r>
    <x v="297"/>
    <s v="Usha Chopra"/>
    <x v="0"/>
    <s v="Maggi Noodles 12-Pack"/>
    <x v="40"/>
    <x v="5"/>
    <s v="Instant Foods"/>
    <n v="170"/>
    <n v="1"/>
    <n v="170"/>
    <n v="5"/>
    <x v="219"/>
    <n v="161.5"/>
    <n v="5"/>
    <n v="8.07"/>
    <n v="49"/>
    <n v="169.57"/>
    <x v="6"/>
    <s v="Overnight"/>
    <x v="2"/>
    <x v="0"/>
    <s v="Arjun Das"/>
    <s v="East"/>
    <s v="Coimbatore"/>
    <s v="Tamil Nadu"/>
    <x v="2"/>
    <s v="218920"/>
    <s v="Newuser"/>
    <n v="5"/>
    <s v="No"/>
    <s v="other"/>
    <s v="WH-01"/>
    <s v="Bluedart"/>
    <d v="2023-05-07T00:00:00"/>
    <x v="238"/>
    <d v="2023-05-14T00:00:00"/>
    <s v="usha_chopra@yahoo_co_in"/>
    <s v="9402119017"/>
  </r>
  <r>
    <x v="298"/>
    <s v="Pooja Agarwal"/>
    <x v="0"/>
    <s v="Amul Butter 500G"/>
    <x v="38"/>
    <x v="5"/>
    <s v="Dairy"/>
    <n v="280"/>
    <n v="6"/>
    <n v="1680"/>
    <n v="15"/>
    <x v="220"/>
    <n v="1428"/>
    <n v="5"/>
    <n v="71.400000000000006"/>
    <n v="79"/>
    <n v="1499.4"/>
    <x v="0"/>
    <s v="Standard"/>
    <x v="0"/>
    <x v="2"/>
    <s v="Deepa Menon"/>
    <s v="South"/>
    <s v="Surat"/>
    <s v="Gujarat"/>
    <x v="4"/>
    <s v="158827"/>
    <s v="Flat500"/>
    <n v="4"/>
    <s v="No"/>
    <s v="other"/>
    <s v="WH-11"/>
    <s v="Bluedart"/>
    <d v="2023-09-02T00:00:00"/>
    <x v="239"/>
    <d v="2023-09-08T00:00:00"/>
    <s v="pooja_agarwal@gmail_com"/>
    <s v="9439164970"/>
  </r>
  <r>
    <x v="299"/>
    <s v="Ramesh Bose"/>
    <x v="3"/>
    <s v="Parker Pen Set"/>
    <x v="36"/>
    <x v="3"/>
    <s v="Writing"/>
    <n v="800"/>
    <n v="2"/>
    <n v="1600"/>
    <n v="10"/>
    <x v="221"/>
    <n v="1440"/>
    <n v="5"/>
    <n v="72"/>
    <n v="49"/>
    <n v="1512"/>
    <x v="3"/>
    <s v="Economy"/>
    <x v="3"/>
    <x v="2"/>
    <s v="Vinay Joshi"/>
    <s v="Central"/>
    <s v="Faridabad"/>
    <s v="Haryana"/>
    <x v="0"/>
    <s v="665318"/>
    <s v="None"/>
    <n v="4"/>
    <s v="No"/>
    <s v="other"/>
    <s v="WH-08"/>
    <s v="Bluedart"/>
    <d v="2023-01-15T00:00:00"/>
    <x v="240"/>
    <d v="2023-01-22T00:00:00"/>
    <s v="rameshb@gmail_com"/>
    <s v=" 8774604067"/>
  </r>
  <r>
    <x v="300"/>
    <s v="Seema Kapoor"/>
    <x v="2"/>
    <s v="Puma Softride"/>
    <x v="31"/>
    <x v="2"/>
    <s v="Footwear"/>
    <n v="5220"/>
    <n v="1"/>
    <n v="5220"/>
    <n v="10"/>
    <x v="222"/>
    <n v="4698"/>
    <n v="12"/>
    <n v="563.76"/>
    <n v="0"/>
    <n v="5261.76"/>
    <x v="6"/>
    <s v="Overnight"/>
    <x v="0"/>
    <x v="4"/>
    <s v="Neha Kulkarni"/>
    <s v="South"/>
    <s v="Hyderabad"/>
    <s v="Telangana"/>
    <x v="2"/>
    <s v="431219"/>
    <s v="Festive20"/>
    <n v="1"/>
    <s v="No"/>
    <s v="other"/>
    <s v="WH-07"/>
    <s v="Delhivery"/>
    <d v="2023-06-14T00:00:00"/>
    <x v="241"/>
    <d v="2023-06-23T00:00:00"/>
    <s v="skapoor@gmail_com"/>
    <s v="8191344389"/>
  </r>
  <r>
    <x v="301"/>
    <s v="Sushma Yadav"/>
    <x v="0"/>
    <s v="Durian Sofa 3-Seat"/>
    <x v="24"/>
    <x v="4"/>
    <s v="Sofas"/>
    <n v="43160"/>
    <n v="1"/>
    <n v="43160"/>
    <n v="0"/>
    <x v="2"/>
    <n v="43160"/>
    <n v="5"/>
    <n v="2158"/>
    <n v="0"/>
    <n v="45318"/>
    <x v="5"/>
    <s v="Express"/>
    <x v="0"/>
    <x v="0"/>
    <s v="Pooja Nair"/>
    <s v="South"/>
    <s v="Warangal"/>
    <s v="Telangana"/>
    <x v="2"/>
    <s v="358208"/>
    <s v="Diwali25"/>
    <n v="4"/>
    <s v="No"/>
    <s v="other"/>
    <s v="WH-02"/>
    <s v="Ekart"/>
    <d v="2024-01-01T00:00:00"/>
    <x v="169"/>
    <d v="2024-01-10T00:00:00"/>
    <s v="sushmay@gmail_com"/>
    <s v="8376811872"/>
  </r>
  <r>
    <x v="302"/>
    <s v="Aarav Sharma"/>
    <x v="1"/>
    <s v="Durian Sofa 3-Seat"/>
    <x v="24"/>
    <x v="4"/>
    <s v="Sofas"/>
    <n v="46410"/>
    <n v="4"/>
    <n v="185640"/>
    <n v="0"/>
    <x v="2"/>
    <n v="185640"/>
    <n v="5"/>
    <n v="9282"/>
    <n v="0"/>
    <n v="194922"/>
    <x v="4"/>
    <s v="Express"/>
    <x v="3"/>
    <x v="2"/>
    <s v="Suraj Verma"/>
    <s v="East"/>
    <s v="Jabalpur"/>
    <s v="Madhya Pradesh"/>
    <x v="3"/>
    <s v="324082"/>
    <s v="Diwali25"/>
    <n v="4"/>
    <s v="No"/>
    <s v="other"/>
    <s v="WH-05"/>
    <s v="Ekart"/>
    <d v="2023-02-15T00:00:00"/>
    <x v="182"/>
    <d v="2024-01-10T00:00:00"/>
    <s v="asharma@gmail_com"/>
    <s v="8201904322"/>
  </r>
  <r>
    <x v="303"/>
    <s v="Arun Das"/>
    <x v="3"/>
    <s v="Samsung 65-Inch Qled"/>
    <x v="2"/>
    <x v="0"/>
    <s v="Televisions"/>
    <n v="100210"/>
    <n v="1"/>
    <n v="100210"/>
    <n v="5"/>
    <x v="223"/>
    <n v="95199.5"/>
    <n v="18"/>
    <n v="17135.91"/>
    <n v="0"/>
    <n v="112335.41"/>
    <x v="0"/>
    <s v="Express"/>
    <x v="0"/>
    <x v="1"/>
    <s v="Sneha Reddy"/>
    <s v="South"/>
    <s v="Kozhikode"/>
    <s v="Kerala"/>
    <x v="2"/>
    <s v="597450"/>
    <s v="Summer15"/>
    <n v="3"/>
    <s v="No"/>
    <s v="other"/>
    <s v="WH-10"/>
    <s v="Delhivery"/>
    <d v="2023-01-08T00:00:00"/>
    <x v="195"/>
    <d v="2023-01-17T00:00:00"/>
    <s v="das_arun@rediffmail_com"/>
    <s v="6957298937"/>
  </r>
  <r>
    <x v="304"/>
    <s v="Zubair Khan"/>
    <x v="3"/>
    <s v="Classmate Notebook"/>
    <x v="9"/>
    <x v="3"/>
    <s v="Books"/>
    <n v="120"/>
    <n v="3"/>
    <n v="360"/>
    <n v="15"/>
    <x v="224"/>
    <n v="306"/>
    <n v="5"/>
    <n v="15.3"/>
    <n v="49"/>
    <n v="321.3"/>
    <x v="6"/>
    <s v="Express"/>
    <x v="0"/>
    <x v="4"/>
    <s v="Vinay Joshi"/>
    <s v="Central"/>
    <s v="Durgapur"/>
    <s v="West Bengal"/>
    <x v="1"/>
    <s v="399734"/>
    <s v="Flat500"/>
    <n v="5"/>
    <s v="No"/>
    <s v="other"/>
    <s v="WH-06"/>
    <s v="Delhivery"/>
    <d v="2023-04-26T00:00:00"/>
    <x v="242"/>
    <d v="2023-05-10T00:00:00"/>
    <s v="zkhan@gmail_com"/>
    <s v="8445822067"/>
  </r>
  <r>
    <x v="305"/>
    <s v="Sunita Verma"/>
    <x v="0"/>
    <s v="Maggi Noodles 12-Pack"/>
    <x v="40"/>
    <x v="5"/>
    <s v="Instant Foods"/>
    <n v="190"/>
    <n v="1"/>
    <n v="190"/>
    <n v="10"/>
    <x v="157"/>
    <n v="171"/>
    <n v="5"/>
    <n v="8.5500000000000007"/>
    <n v="49"/>
    <n v="179.55"/>
    <x v="0"/>
    <s v="Economy"/>
    <x v="0"/>
    <x v="1"/>
    <s v="Aman Bhatia"/>
    <s v="West"/>
    <s v="Ahmedabad"/>
    <s v="Gujarat"/>
    <x v="4"/>
    <s v="601651"/>
    <s v="None"/>
    <n v="5"/>
    <s v="No"/>
    <s v="other"/>
    <s v="WH-07"/>
    <s v="Bluedart"/>
    <d v="2023-01-25T00:00:00"/>
    <x v="243"/>
    <d v="2023-02-03T00:00:00"/>
    <s v="sunitav@gmail_com"/>
    <s v="8618444218"/>
  </r>
  <r>
    <x v="306"/>
    <s v="Usha Chopra"/>
    <x v="3"/>
    <s v="Nikon D3500"/>
    <x v="3"/>
    <x v="0"/>
    <s v="Cameras"/>
    <n v="33040"/>
    <n v="1"/>
    <n v="33040"/>
    <n v="5"/>
    <x v="225"/>
    <n v="31388"/>
    <n v="18"/>
    <n v="5649.84"/>
    <n v="0"/>
    <n v="37037.839999999997"/>
    <x v="5"/>
    <s v="Express"/>
    <x v="0"/>
    <x v="3"/>
    <s v="Arjun Das"/>
    <s v="East"/>
    <s v="Hyderabad"/>
    <s v="Telangana"/>
    <x v="2"/>
    <s v="238357"/>
    <s v="None"/>
    <n v="4"/>
    <s v="No"/>
    <s v="other"/>
    <s v="WH-05"/>
    <s v="Ekart"/>
    <d v="2023-12-16T00:00:00"/>
    <x v="145"/>
    <d v="2023-12-24T00:00:00"/>
    <s v="usha_chopra@yahoo_co_in"/>
    <s v="6070633699"/>
  </r>
  <r>
    <x v="307"/>
    <s v="Rahul Sharma"/>
    <x v="3"/>
    <s v="Logitech Mx Master 3"/>
    <x v="41"/>
    <x v="0"/>
    <s v="Accessories"/>
    <n v="9540"/>
    <n v="2"/>
    <n v="19080"/>
    <n v="0"/>
    <x v="2"/>
    <n v="19080"/>
    <n v="18"/>
    <n v="3434.4"/>
    <n v="0"/>
    <n v="22514.400000000001"/>
    <x v="1"/>
    <s v="Express"/>
    <x v="0"/>
    <x v="0"/>
    <s v="Aman Bhatia"/>
    <s v="West"/>
    <s v="Ranchi"/>
    <s v="Jharkhand"/>
    <x v="1"/>
    <s v="274283"/>
    <s v="None"/>
    <n v="4"/>
    <s v="No"/>
    <s v="other"/>
    <s v="WH-06"/>
    <s v="Ekart"/>
    <d v="2023-09-22T00:00:00"/>
    <x v="202"/>
    <d v="2023-10-03T00:00:00"/>
    <s v="rsharma@gmail_com"/>
    <s v="7946420362"/>
  </r>
  <r>
    <x v="308"/>
    <s v="Obeysekara Fernando"/>
    <x v="1"/>
    <s v="Voltas 1.5T Ac"/>
    <x v="19"/>
    <x v="1"/>
    <s v="Air Conditioners"/>
    <n v="35100"/>
    <n v="8"/>
    <n v="280800"/>
    <n v="0"/>
    <x v="2"/>
    <n v="280800"/>
    <n v="5"/>
    <n v="14040"/>
    <n v="0"/>
    <n v="294840"/>
    <x v="5"/>
    <s v="Same Day"/>
    <x v="0"/>
    <x v="3"/>
    <s v="Deepa Menon"/>
    <s v="South"/>
    <s v="Coimbatore"/>
    <s v="Tamil Nadu"/>
    <x v="2"/>
    <s v="238116"/>
    <s v="None"/>
    <n v="4"/>
    <s v="No"/>
    <s v="other"/>
    <s v="WH-04"/>
    <s v="Ekart"/>
    <d v="2023-07-11T00:00:00"/>
    <x v="66"/>
    <d v="2023-07-19T00:00:00"/>
    <s v="ofernando@gmail_com"/>
    <s v="9824527905"/>
  </r>
  <r>
    <x v="309"/>
    <s v="Eswaran Murugan"/>
    <x v="0"/>
    <s v="Adidas Ultraboost 22"/>
    <x v="18"/>
    <x v="2"/>
    <s v="Footwear"/>
    <n v="14210"/>
    <n v="1"/>
    <n v="14210"/>
    <n v="10"/>
    <x v="226"/>
    <n v="12789"/>
    <n v="12"/>
    <n v="1534.68"/>
    <n v="0"/>
    <n v="14323.68"/>
    <x v="0"/>
    <s v="Express"/>
    <x v="0"/>
    <x v="2"/>
    <s v="Karim Sheikh"/>
    <s v="North"/>
    <s v="Howrah"/>
    <s v="West Bengal"/>
    <x v="1"/>
    <s v="505619"/>
    <s v="None"/>
    <n v="3"/>
    <s v="No"/>
    <s v="other"/>
    <s v="WH-11"/>
    <s v="Ekart"/>
    <d v="2023-05-07T00:00:00"/>
    <x v="244"/>
    <d v="2023-05-14T00:00:00"/>
    <s v="murugan_eswaran@rediffmail_com"/>
    <s v="9561786880"/>
  </r>
  <r>
    <x v="310"/>
    <s v="Lalita Shah"/>
    <x v="0"/>
    <s v="Camlin Art Kit"/>
    <x v="34"/>
    <x v="3"/>
    <s v="Art Supplies"/>
    <n v="640"/>
    <n v="2"/>
    <n v="1280"/>
    <n v="0"/>
    <x v="2"/>
    <n v="1280"/>
    <n v="5"/>
    <n v="64"/>
    <n v="49"/>
    <n v="1344"/>
    <x v="4"/>
    <s v="Overnight"/>
    <x v="2"/>
    <x v="0"/>
    <s v="Anjali Mehta"/>
    <s v="South"/>
    <s v="Visakhapatnam"/>
    <s v="Andhra Pradesh"/>
    <x v="2"/>
    <s v="494656"/>
    <s v="Newuser"/>
    <n v="4"/>
    <s v="No"/>
    <s v="other"/>
    <s v="WH-06"/>
    <s v="Delhivery"/>
    <d v="2023-08-07T00:00:00"/>
    <x v="245"/>
    <d v="2023-08-18T00:00:00"/>
    <s v="lalitas@yahoo_com"/>
    <s v="8322399821"/>
  </r>
  <r>
    <x v="311"/>
    <s v="Meena Iyer"/>
    <x v="0"/>
    <s v="Peter England Suit"/>
    <x v="37"/>
    <x v="2"/>
    <s v="Clothing"/>
    <n v="9630"/>
    <n v="6"/>
    <n v="57780"/>
    <n v="20"/>
    <x v="227"/>
    <n v="46224"/>
    <n v="12"/>
    <n v="5546.88"/>
    <n v="0"/>
    <n v="51770.879999999997"/>
    <x v="2"/>
    <s v="Overnight"/>
    <x v="3"/>
    <x v="4"/>
    <s v="Raj Kumar"/>
    <s v="North"/>
    <s v="Vadodara"/>
    <s v="Gujarat"/>
    <x v="4"/>
    <s v="152302"/>
    <s v="Diwali25"/>
    <n v="3"/>
    <s v="No"/>
    <s v="other"/>
    <s v="WH-05"/>
    <s v="Amazon Logistics"/>
    <d v="2023-04-30T00:00:00"/>
    <x v="246"/>
    <d v="2023-08-18T00:00:00"/>
    <s v="meena_iyer@gmail_com"/>
    <s v="8123455068"/>
  </r>
  <r>
    <x v="262"/>
    <s v="Nidhi Joshi"/>
    <x v="0"/>
    <s v="Maggi Noodles 12-Pack"/>
    <x v="40"/>
    <x v="5"/>
    <s v="Instant Foods"/>
    <n v="190"/>
    <n v="8"/>
    <n v="1520"/>
    <n v="10"/>
    <x v="228"/>
    <n v="1368"/>
    <n v="5"/>
    <n v="68.400000000000006"/>
    <n v="149"/>
    <n v="1436.4"/>
    <x v="0"/>
    <s v="Same Day"/>
    <x v="0"/>
    <x v="0"/>
    <s v="Arjun Das"/>
    <s v="East"/>
    <s v="Chandigarh"/>
    <s v="Punjab"/>
    <x v="0"/>
    <s v="739472"/>
    <s v="Festive20"/>
    <n v="4"/>
    <s v="No"/>
    <s v="other"/>
    <s v="WH-11"/>
    <s v="Ekart"/>
    <d v="2023-02-11T00:00:00"/>
    <x v="119"/>
    <d v="2023-11-13T00:00:00"/>
    <s v="njoshi@yahoo_co_in"/>
    <s v="8144920749"/>
  </r>
  <r>
    <x v="312"/>
    <s v="Sunil Jadhav"/>
    <x v="0"/>
    <s v="Lavie Handbag"/>
    <x v="12"/>
    <x v="2"/>
    <s v="Bags"/>
    <n v="2920"/>
    <n v="1"/>
    <n v="2920"/>
    <n v="20"/>
    <x v="229"/>
    <n v="2336"/>
    <n v="12"/>
    <n v="280.32"/>
    <n v="79"/>
    <n v="2616.3200000000002"/>
    <x v="0"/>
    <s v="Standard"/>
    <x v="4"/>
    <x v="4"/>
    <s v="Pooja Nair"/>
    <s v="South"/>
    <s v="Hyderabad"/>
    <s v="Telangana"/>
    <x v="2"/>
    <s v="255252"/>
    <s v="Flat500"/>
    <n v="2"/>
    <s v="Yes"/>
    <s v="other"/>
    <s v="WH-01"/>
    <s v="Ekart"/>
    <d v="2023-09-12T00:00:00"/>
    <x v="247"/>
    <d v="2023-09-21T00:00:00"/>
    <s v="sunil_jadhav@gmail_com"/>
    <s v="8872617607"/>
  </r>
  <r>
    <x v="313"/>
    <s v="Chirag Desai"/>
    <x v="3"/>
    <s v="Centuary Mattress"/>
    <x v="16"/>
    <x v="4"/>
    <s v="Beds"/>
    <n v="14150"/>
    <n v="6"/>
    <n v="84900"/>
    <n v="10"/>
    <x v="230"/>
    <n v="76410"/>
    <n v="5"/>
    <n v="3820.5"/>
    <n v="0"/>
    <n v="80230.5"/>
    <x v="1"/>
    <s v="Express"/>
    <x v="0"/>
    <x v="2"/>
    <s v="Priya Sinha"/>
    <s v="West"/>
    <s v="Faridabad"/>
    <s v="Haryana"/>
    <x v="0"/>
    <s v="282224"/>
    <s v="None"/>
    <n v="1"/>
    <s v="No"/>
    <s v="other"/>
    <s v="WH-04"/>
    <s v="Delhivery"/>
    <d v="2024-03-20T00:00:00"/>
    <x v="90"/>
    <d v="2024-03-25T00:00:00"/>
    <s v="chiragd@gmail_com"/>
    <s v="7612385951"/>
  </r>
  <r>
    <x v="314"/>
    <s v="Eswaran Murugan"/>
    <x v="0"/>
    <s v="Prestige Induction"/>
    <x v="29"/>
    <x v="1"/>
    <s v="Kitchen"/>
    <n v="3590"/>
    <n v="1"/>
    <n v="3590"/>
    <n v="15"/>
    <x v="231"/>
    <n v="3051.5"/>
    <n v="5"/>
    <n v="152.57"/>
    <n v="99"/>
    <n v="3204.07"/>
    <x v="4"/>
    <s v="Standard"/>
    <x v="2"/>
    <x v="1"/>
    <s v="Raj Kumar"/>
    <s v="North"/>
    <s v="Hyderabad"/>
    <s v="Telangana"/>
    <x v="2"/>
    <s v="541643"/>
    <s v="Festive20"/>
    <n v="3"/>
    <s v="No"/>
    <s v="other"/>
    <s v="WH-10"/>
    <s v="Delhivery"/>
    <d v="2023-02-26T00:00:00"/>
    <x v="103"/>
    <d v="2023-03-07T00:00:00"/>
    <s v="emurugan@rediffmail_com__"/>
    <s v="8283976205"/>
  </r>
  <r>
    <x v="43"/>
    <s v="Aarav Sharma"/>
    <x v="3"/>
    <s v="Levi'S 511 Jeans"/>
    <x v="10"/>
    <x v="2"/>
    <s v="Clothing"/>
    <n v="3420"/>
    <n v="3"/>
    <n v="10260"/>
    <n v="0"/>
    <x v="2"/>
    <n v="10260"/>
    <n v="12"/>
    <n v="1231.2"/>
    <n v="0"/>
    <n v="11491.2"/>
    <x v="2"/>
    <s v="Economy"/>
    <x v="2"/>
    <x v="0"/>
    <s v="Pooja Nair"/>
    <s v="South"/>
    <s v="Bhopal"/>
    <s v="Madhya Pradesh"/>
    <x v="3"/>
    <s v="248786"/>
    <s v="None"/>
    <n v="4"/>
    <s v="No"/>
    <s v="other"/>
    <s v="WH-09"/>
    <s v="Dtdc"/>
    <d v="2024-04-30T00:00:00"/>
    <x v="248"/>
    <d v="2024-05-06T00:00:00"/>
    <s v="asharma@gmail_com"/>
    <s v="8356178170"/>
  </r>
  <r>
    <x v="315"/>
    <s v="Ajay Pandey"/>
    <x v="0"/>
    <s v="Jbl Flip 6"/>
    <x v="27"/>
    <x v="0"/>
    <s v="Audio"/>
    <n v="9470"/>
    <n v="4"/>
    <n v="37880"/>
    <n v="10"/>
    <x v="232"/>
    <n v="34092"/>
    <n v="18"/>
    <n v="6136.56"/>
    <n v="0"/>
    <n v="40228.559999999998"/>
    <x v="4"/>
    <s v="Economy"/>
    <x v="0"/>
    <x v="3"/>
    <s v="Raj Kumar"/>
    <s v="North"/>
    <s v="Kochi"/>
    <s v="Kerala"/>
    <x v="2"/>
    <s v="710331"/>
    <s v="None"/>
    <n v="4"/>
    <s v="No"/>
    <s v="other"/>
    <s v="WH-12"/>
    <s v="Ekart"/>
    <d v="2023-10-31T00:00:00"/>
    <x v="249"/>
    <d v="2023-11-09T00:00:00"/>
    <s v="apandey@outlook_com"/>
    <s v="97812 77822"/>
  </r>
  <r>
    <x v="316"/>
    <s v="Fathima Begum"/>
    <x v="0"/>
    <s v="Nike Air Max 270"/>
    <x v="21"/>
    <x v="2"/>
    <s v="Footwear"/>
    <n v="11660"/>
    <n v="3"/>
    <n v="34980"/>
    <n v="15"/>
    <x v="233"/>
    <n v="29733"/>
    <n v="12"/>
    <n v="3567.96"/>
    <n v="0"/>
    <n v="33300.959999999999"/>
    <x v="1"/>
    <s v="Same Day"/>
    <x v="0"/>
    <x v="2"/>
    <s v="Ritu Singh"/>
    <s v="Central"/>
    <s v="Jodhpur"/>
    <s v="Rajasthan"/>
    <x v="0"/>
    <s v="522465"/>
    <s v="Save10"/>
    <n v="3"/>
    <s v="No"/>
    <s v="other"/>
    <s v="WH-11"/>
    <s v="Bluedart"/>
    <d v="2024-12-03T00:00:00"/>
    <x v="250"/>
    <d v="2024-03-24T00:00:00"/>
    <s v="begum_fathima@gmail_com"/>
    <s v="8617706736"/>
  </r>
  <r>
    <x v="317"/>
    <s v="Nidhi Joshi"/>
    <x v="0"/>
    <s v="Lenovo Thinkpad E14"/>
    <x v="4"/>
    <x v="0"/>
    <s v="Laptops"/>
    <n v="60510"/>
    <n v="3"/>
    <n v="181530"/>
    <n v="0"/>
    <x v="2"/>
    <n v="181530"/>
    <n v="18"/>
    <n v="32675.4"/>
    <n v="0"/>
    <n v="214205.4"/>
    <x v="0"/>
    <s v="Same Day"/>
    <x v="5"/>
    <x v="0"/>
    <s v="Neha Kulkarni"/>
    <s v="West"/>
    <s v="Surat"/>
    <s v="Gujarat"/>
    <x v="4"/>
    <s v="647087"/>
    <s v="None"/>
    <n v="5"/>
    <s v="No"/>
    <s v="other"/>
    <s v="WH-02"/>
    <s v="Dtdc"/>
    <d v="2024-02-19T00:00:00"/>
    <x v="251"/>
    <d v="2024-02-28T00:00:00"/>
    <s v="nidhij@yahoo_co_in"/>
    <s v="8848022050"/>
  </r>
  <r>
    <x v="318"/>
    <s v="Jayalakshmi Kumar"/>
    <x v="0"/>
    <s v="Van Heusen Shirt"/>
    <x v="42"/>
    <x v="2"/>
    <s v="Clothing"/>
    <n v="1530"/>
    <n v="8"/>
    <n v="12240"/>
    <n v="10"/>
    <x v="234"/>
    <n v="11016"/>
    <n v="12"/>
    <n v="1321.92"/>
    <n v="0"/>
    <n v="12337.92"/>
    <x v="5"/>
    <s v="Express"/>
    <x v="0"/>
    <x v="0"/>
    <s v="Ritu Singh"/>
    <s v="Central"/>
    <s v="Thiruvananthapuram"/>
    <s v="Kerala"/>
    <x v="2"/>
    <s v="765570"/>
    <s v="None"/>
    <n v="4"/>
    <s v="No"/>
    <s v="other"/>
    <s v="WH-06"/>
    <s v="Delhivery"/>
    <d v="2023-02-06T00:00:00"/>
    <x v="252"/>
    <d v="2023-02-21T00:00:00"/>
    <s v="jayalakshmi_kumar@gmail_com"/>
    <s v="8768299687"/>
  </r>
  <r>
    <x v="319"/>
    <s v="Muthukrishnan Arunachalam"/>
    <x v="0"/>
    <s v="Voltas 1.5T Ac"/>
    <x v="19"/>
    <x v="1"/>
    <s v="Air Conditioners"/>
    <n v="35150"/>
    <n v="3"/>
    <n v="105450"/>
    <n v="0"/>
    <x v="2"/>
    <n v="105450"/>
    <n v="5"/>
    <n v="5272.5"/>
    <n v="0"/>
    <n v="110722.5"/>
    <x v="6"/>
    <s v="Express"/>
    <x v="0"/>
    <x v="3"/>
    <s v="Sneha Reddy"/>
    <s v="South"/>
    <s v="Jabalpur"/>
    <s v="Madhya Pradesh"/>
    <x v="3"/>
    <s v="285825"/>
    <s v="Diwali25"/>
    <n v="1"/>
    <s v="No"/>
    <s v="other"/>
    <s v="WH-03"/>
    <s v="Bluedart"/>
    <d v="2024-01-26T00:00:00"/>
    <x v="19"/>
    <d v="2024-02-08T00:00:00"/>
    <s v="arunachalam_muthukrishnan@gmail_com"/>
    <s v="9289463389"/>
  </r>
  <r>
    <x v="320"/>
    <s v="Manoj Tomar"/>
    <x v="0"/>
    <s v="Samsung 253L Fridge"/>
    <x v="2"/>
    <x v="1"/>
    <s v="Refrigerators"/>
    <n v="25300"/>
    <n v="8"/>
    <n v="202400"/>
    <n v="15"/>
    <x v="235"/>
    <n v="172040"/>
    <n v="5"/>
    <n v="8602"/>
    <n v="0"/>
    <n v="180642"/>
    <x v="2"/>
    <s v="Economy"/>
    <x v="0"/>
    <x v="0"/>
    <s v="Ankit Sharma"/>
    <s v="North"/>
    <s v="Howrah"/>
    <s v="West Bengal"/>
    <x v="1"/>
    <s v="417915"/>
    <s v="Newuser"/>
    <n v="5"/>
    <s v="No"/>
    <s v="other"/>
    <s v="WH-06"/>
    <s v="Ekart"/>
    <d v="2024-01-14T00:00:00"/>
    <x v="19"/>
    <d v="2024-01-20T00:00:00"/>
    <s v="mtomar@yahoo_com"/>
    <s v="6034918911"/>
  </r>
  <r>
    <x v="321"/>
    <s v="Vishal Chaudhary"/>
    <x v="0"/>
    <s v="Voltas 1.5T Ac"/>
    <x v="19"/>
    <x v="1"/>
    <s v="Air Conditioners"/>
    <n v="37680"/>
    <n v="5"/>
    <n v="188400"/>
    <n v="5"/>
    <x v="236"/>
    <n v="178980"/>
    <n v="5"/>
    <n v="8949"/>
    <n v="0"/>
    <n v="187929"/>
    <x v="6"/>
    <s v="Same Day"/>
    <x v="0"/>
    <x v="4"/>
    <s v="Suraj Verma"/>
    <s v="East"/>
    <s v="Gaya"/>
    <s v="Bihar"/>
    <x v="1"/>
    <s v="546295"/>
    <s v="None"/>
    <n v="5"/>
    <s v="No"/>
    <s v="other"/>
    <s v="WH-06"/>
    <s v="Amazon Logistics"/>
    <d v="2024-03-05T00:00:00"/>
    <x v="73"/>
    <d v="2024-03-19T00:00:00"/>
    <s v="vishal_chaudhary@yahoo_co_in"/>
    <s v="7987809270"/>
  </r>
  <r>
    <x v="322"/>
    <s v="Bhavesh Patel"/>
    <x v="3"/>
    <s v="Nike Air Max 270"/>
    <x v="21"/>
    <x v="2"/>
    <s v="Footwear"/>
    <n v="11010"/>
    <n v="4"/>
    <n v="44040"/>
    <n v="25"/>
    <x v="237"/>
    <n v="33030"/>
    <n v="12"/>
    <n v="3963.6"/>
    <n v="0"/>
    <n v="36993.599999999999"/>
    <x v="3"/>
    <s v="Overnight"/>
    <x v="4"/>
    <x v="3"/>
    <s v="Karim Sheikh"/>
    <s v="North"/>
    <s v="Durgapur"/>
    <s v="West Bengal"/>
    <x v="1"/>
    <s v="451814"/>
    <s v="None"/>
    <n v="3"/>
    <s v="Yes"/>
    <s v="Wrong Item"/>
    <s v="WH-04"/>
    <s v="Delhivery"/>
    <d v="2023-10-14T00:00:00"/>
    <x v="253"/>
    <d v="2023-10-21T00:00:00"/>
    <s v="bpatel@yahoo_com"/>
    <s v="94911 65020"/>
  </r>
  <r>
    <x v="323"/>
    <s v="Ramesh Bose"/>
    <x v="0"/>
    <s v="Durian Sofa 3-Seat"/>
    <x v="24"/>
    <x v="4"/>
    <s v="Sofas"/>
    <n v="45140"/>
    <n v="1"/>
    <n v="45140"/>
    <n v="10"/>
    <x v="238"/>
    <n v="40626"/>
    <n v="5"/>
    <n v="2031.3"/>
    <n v="0"/>
    <n v="42657.3"/>
    <x v="6"/>
    <s v="Economy"/>
    <x v="0"/>
    <x v="4"/>
    <s v="Sneha Reddy"/>
    <s v="South"/>
    <s v="Ranchi"/>
    <s v="Jharkhand"/>
    <x v="1"/>
    <s v="429679"/>
    <s v="None"/>
    <n v="5"/>
    <s v="No"/>
    <s v="other"/>
    <s v="WH-01"/>
    <s v="Bluedart"/>
    <d v="2023-07-06T00:00:00"/>
    <x v="62"/>
    <d v="2023-07-15T00:00:00"/>
    <s v="rbose@gmail_com"/>
    <s v="8025825431"/>
  </r>
  <r>
    <x v="33"/>
    <s v="Arjun Nair"/>
    <x v="0"/>
    <s v="Nikon D3500"/>
    <x v="3"/>
    <x v="0"/>
    <s v="Cameras"/>
    <n v="32330"/>
    <n v="2"/>
    <n v="64660"/>
    <n v="0"/>
    <x v="2"/>
    <n v="64660"/>
    <n v="18"/>
    <n v="11638.8"/>
    <n v="0"/>
    <n v="76298.8"/>
    <x v="6"/>
    <s v="Standard"/>
    <x v="0"/>
    <x v="2"/>
    <s v="Neha Kulkarni"/>
    <s v="West"/>
    <s v="Visakhapatnam"/>
    <s v="Andhra Pradesh"/>
    <x v="2"/>
    <s v="317955"/>
    <s v="Summer15"/>
    <n v="5"/>
    <s v="No"/>
    <s v="other"/>
    <s v="WH-12"/>
    <s v="Ekart"/>
    <d v="2024-05-16T00:00:00"/>
    <x v="184"/>
    <d v="2024-05-23T00:00:00"/>
    <s v="anair@gmail_com"/>
    <s v="6290529187"/>
  </r>
  <r>
    <x v="324"/>
    <s v="Sunita Verma"/>
    <x v="3"/>
    <s v="Lg 8Kg Front Load"/>
    <x v="33"/>
    <x v="1"/>
    <s v="Washing Machines"/>
    <n v="51500"/>
    <n v="7"/>
    <n v="360500"/>
    <n v="15"/>
    <x v="239"/>
    <n v="306425"/>
    <n v="5"/>
    <n v="15321.25"/>
    <n v="0"/>
    <n v="321746.25"/>
    <x v="1"/>
    <s v="Overnight"/>
    <x v="2"/>
    <x v="1"/>
    <s v="Priya Sinha"/>
    <s v="West"/>
    <s v="Kanpur"/>
    <s v="Uttar Pradesh"/>
    <x v="0"/>
    <s v="299227"/>
    <s v="None"/>
    <n v="2"/>
    <s v="No"/>
    <s v="other"/>
    <s v="WH-10"/>
    <s v="Ekart"/>
    <d v="2023-06-08T00:00:00"/>
    <x v="254"/>
    <d v="2023-06-18T00:00:00"/>
    <s v="sunitav@gmail_com"/>
    <s v="6358446177"/>
  </r>
  <r>
    <x v="325"/>
    <s v="Bhavani Shankar"/>
    <x v="3"/>
    <s v="Boat Rockerz 450"/>
    <x v="8"/>
    <x v="0"/>
    <s v="Audio"/>
    <n v="1490"/>
    <n v="7"/>
    <n v="10430"/>
    <n v="10"/>
    <x v="240"/>
    <n v="9387"/>
    <n v="18"/>
    <n v="1689.66"/>
    <n v="0"/>
    <n v="11076.66"/>
    <x v="2"/>
    <s v="Express"/>
    <x v="0"/>
    <x v="2"/>
    <s v="Raj Kumar"/>
    <s v="North"/>
    <s v="Kochi"/>
    <s v="Kerala"/>
    <x v="2"/>
    <s v="649319"/>
    <s v="Diwali25"/>
    <n v="4"/>
    <s v="Yes"/>
    <s v="Late Delivery"/>
    <s v="WH-11"/>
    <s v="Dtdc"/>
    <d v="2023-06-15T00:00:00"/>
    <x v="143"/>
    <d v="2023-06-23T00:00:00"/>
    <s v="bhavani_shankar@yahoo_com"/>
    <s v="6608320048"/>
  </r>
  <r>
    <x v="326"/>
    <s v="Meena Iyer"/>
    <x v="0"/>
    <s v="Sony Wh-1000Xm5"/>
    <x v="1"/>
    <x v="0"/>
    <s v="Audio"/>
    <n v="31690"/>
    <n v="5"/>
    <n v="158450"/>
    <n v="10"/>
    <x v="241"/>
    <n v="142605"/>
    <n v="18"/>
    <n v="25668.9"/>
    <n v="0"/>
    <n v="168273.9"/>
    <x v="2"/>
    <s v="Same Day"/>
    <x v="0"/>
    <x v="4"/>
    <s v="Neha Kulkarni"/>
    <s v="West"/>
    <s v="Pune"/>
    <s v="Maharashtra"/>
    <x v="4"/>
    <s v="268264"/>
    <s v="Flat500"/>
    <n v="5"/>
    <s v="No"/>
    <s v="other"/>
    <s v="WH-02"/>
    <s v="Delhivery"/>
    <d v="2023-11-06T00:00:00"/>
    <x v="255"/>
    <d v="2023-11-16T00:00:00"/>
    <s v="meenai@gmail_com"/>
    <s v="9501437483"/>
  </r>
  <r>
    <x v="327"/>
    <s v="Saraswathi Rao"/>
    <x v="1"/>
    <s v="Adidas Ultraboost 22"/>
    <x v="18"/>
    <x v="2"/>
    <s v="Footwear"/>
    <n v="13080"/>
    <n v="4"/>
    <n v="52320"/>
    <n v="0"/>
    <x v="2"/>
    <n v="52320"/>
    <n v="12"/>
    <n v="6278.4"/>
    <n v="0"/>
    <n v="58598.400000000001"/>
    <x v="0"/>
    <s v="Express"/>
    <x v="0"/>
    <x v="1"/>
    <s v="Karim Sheikh"/>
    <s v="North"/>
    <s v="Visakhapatnam"/>
    <s v="Andhra Pradesh"/>
    <x v="2"/>
    <s v="695511"/>
    <s v="Festive20"/>
    <n v="4"/>
    <s v="No"/>
    <s v="other"/>
    <s v="WH-11"/>
    <s v="Dtdc"/>
    <d v="2023-05-23T00:00:00"/>
    <x v="256"/>
    <d v="2023-05-27T00:00:00"/>
    <s v="saraswathi_rao@gmail_com"/>
    <s v="8930493665"/>
  </r>
  <r>
    <x v="328"/>
    <s v="Nagalakshmi Venkatesh"/>
    <x v="0"/>
    <s v="Lg 8Kg Front Load"/>
    <x v="33"/>
    <x v="1"/>
    <s v="Washing Machines"/>
    <n v="45650"/>
    <n v="5"/>
    <n v="228250"/>
    <n v="15"/>
    <x v="242"/>
    <n v="194012.5"/>
    <n v="5"/>
    <n v="9700.6200000000008"/>
    <n v="0"/>
    <n v="203713.12"/>
    <x v="3"/>
    <s v="Economy"/>
    <x v="5"/>
    <x v="1"/>
    <s v="Priya Sinha"/>
    <s v="West"/>
    <s v="Ghaziabad"/>
    <s v="Uttar Pradesh"/>
    <x v="0"/>
    <s v="166430"/>
    <s v="None"/>
    <n v="4"/>
    <s v="No"/>
    <s v="other"/>
    <s v="WH-06"/>
    <s v="Dtdc"/>
    <d v="2023-10-21T00:00:00"/>
    <x v="50"/>
    <d v="2023-10-29T00:00:00"/>
    <s v="venkatesh_nagalakshmi@yahoo_com"/>
    <s v="7137124365"/>
  </r>
  <r>
    <x v="329"/>
    <s v="Gurpreet Kaur"/>
    <x v="0"/>
    <s v="Hp Laserjet 1020"/>
    <x v="0"/>
    <x v="0"/>
    <s v="Printers"/>
    <n v="11540"/>
    <n v="6"/>
    <n v="69240"/>
    <n v="0"/>
    <x v="2"/>
    <n v="69240"/>
    <n v="18"/>
    <n v="12463.2"/>
    <n v="0"/>
    <n v="81703.199999999997"/>
    <x v="3"/>
    <s v="Overnight"/>
    <x v="0"/>
    <x v="1"/>
    <s v="Priya Sinha"/>
    <s v="West"/>
    <s v="Nashik"/>
    <s v="Maharashtra"/>
    <x v="4"/>
    <s v="221595"/>
    <s v="Diwali25"/>
    <n v="2"/>
    <s v="Yes"/>
    <s v="other"/>
    <s v="WH-08"/>
    <s v="Bluedart"/>
    <d v="2023-03-04T00:00:00"/>
    <x v="220"/>
    <d v="2023-03-11T00:00:00"/>
    <s v="gkauroutlook_com"/>
    <s v="6109567975"/>
  </r>
  <r>
    <x v="330"/>
    <s v="Lalita Shah"/>
    <x v="0"/>
    <s v="Van Heusen Shirt"/>
    <x v="42"/>
    <x v="2"/>
    <s v="Clothing"/>
    <n v="1570"/>
    <n v="1"/>
    <n v="1570"/>
    <n v="15"/>
    <x v="243"/>
    <n v="1334.5"/>
    <n v="12"/>
    <n v="160.13999999999999"/>
    <n v="49"/>
    <n v="1494.6399999999999"/>
    <x v="5"/>
    <s v="Overnight"/>
    <x v="0"/>
    <x v="1"/>
    <s v="Anjali Mehta"/>
    <s v="South"/>
    <s v="Faridabad"/>
    <s v="Haryana"/>
    <x v="0"/>
    <m/>
    <s v="None"/>
    <n v="4"/>
    <s v="No"/>
    <s v="other"/>
    <s v="WH-10"/>
    <s v="Bluedart"/>
    <d v="2023-08-01T00:00:00"/>
    <x v="257"/>
    <d v="2023-08-10T00:00:00"/>
    <s v="lalita_shah@yahoo_com"/>
    <s v="9713806713"/>
  </r>
  <r>
    <x v="331"/>
    <s v="Obeysekara Fernando"/>
    <x v="0"/>
    <s v="Godrej 236L Fridge"/>
    <x v="14"/>
    <x v="1"/>
    <s v="Refrigerators"/>
    <n v="22220"/>
    <n v="1"/>
    <n v="22220"/>
    <n v="5"/>
    <x v="244"/>
    <n v="21109"/>
    <n v="5"/>
    <n v="1055.45"/>
    <n v="0"/>
    <n v="22164.45"/>
    <x v="4"/>
    <s v="Express"/>
    <x v="5"/>
    <x v="0"/>
    <s v="Sneha Reddy"/>
    <s v="South"/>
    <s v="Kochi"/>
    <s v="Kerala"/>
    <x v="2"/>
    <s v="240363"/>
    <s v="None"/>
    <n v="4"/>
    <s v="No"/>
    <s v="other"/>
    <s v="WH-01"/>
    <s v="Delhivery"/>
    <d v="2024-03-15T00:00:00"/>
    <x v="258"/>
    <d v="2024-03-26T00:00:00"/>
    <s v="obeysekara_fernando@gmail_com"/>
    <s v="9591832700"/>
  </r>
  <r>
    <x v="332"/>
    <s v="Prakash Dubey"/>
    <x v="1"/>
    <s v="Fastrack Watch"/>
    <x v="6"/>
    <x v="2"/>
    <s v="Accessories"/>
    <n v="2570"/>
    <n v="2"/>
    <n v="5140"/>
    <n v="15"/>
    <x v="245"/>
    <n v="4369"/>
    <n v="12"/>
    <n v="524.28"/>
    <n v="99"/>
    <n v="4893.28"/>
    <x v="2"/>
    <s v="Same Day"/>
    <x v="2"/>
    <x v="0"/>
    <s v="Deepa Menon"/>
    <s v="South"/>
    <s v="Raipur"/>
    <s v="Chhattisgarh"/>
    <x v="3"/>
    <s v="292658"/>
    <s v="None"/>
    <n v="4"/>
    <s v="No"/>
    <s v="other"/>
    <s v="WH-07"/>
    <s v="Delhivery"/>
    <d v="2023-03-11T00:00:00"/>
    <x v="67"/>
    <d v="2023-03-24T00:00:00"/>
    <s v="prakash_dubey@rediffmail_com"/>
    <s v="6731379716"/>
  </r>
  <r>
    <x v="333"/>
    <s v="Nagalakshmi Venkatesh"/>
    <x v="3"/>
    <s v="Lavie Handbag"/>
    <x v="12"/>
    <x v="2"/>
    <s v="Bags"/>
    <n v="2940"/>
    <n v="3"/>
    <n v="8820"/>
    <n v="0"/>
    <x v="2"/>
    <n v="2940"/>
    <n v="12"/>
    <n v="352.8"/>
    <n v="149"/>
    <n v="3292.8"/>
    <x v="1"/>
    <s v="Express"/>
    <x v="3"/>
    <x v="1"/>
    <s v="Neha Kulkarni"/>
    <s v="West"/>
    <s v="Patna"/>
    <s v="Bihar"/>
    <x v="1"/>
    <s v="184040"/>
    <s v="Flat500"/>
    <n v="3"/>
    <s v="No"/>
    <s v="other"/>
    <s v="WH-07"/>
    <s v="Amazon Logistics"/>
    <d v="2023-04-27T00:00:00"/>
    <x v="60"/>
    <d v="2023-05-11T00:00:00"/>
    <s v="nagalakshmi_venkatesh@yahoo_com"/>
    <s v="6418135998"/>
  </r>
  <r>
    <x v="334"/>
    <s v="Lalita Shah"/>
    <x v="0"/>
    <s v="Nike Air Max 270"/>
    <x v="21"/>
    <x v="2"/>
    <s v="Footwear"/>
    <n v="11010"/>
    <n v="2"/>
    <n v="22020"/>
    <n v="5"/>
    <x v="246"/>
    <n v="20919"/>
    <n v="12"/>
    <n v="2510.2800000000002"/>
    <n v="0"/>
    <n v="23429.279999999999"/>
    <x v="0"/>
    <s v="Standard"/>
    <x v="0"/>
    <x v="1"/>
    <s v="Deepa Menon"/>
    <s v="South"/>
    <s v="Madurai"/>
    <s v="Tamil Nadu"/>
    <x v="2"/>
    <s v="162456"/>
    <s v="Newuser"/>
    <n v="4"/>
    <s v="No"/>
    <s v="other"/>
    <s v="WH-10"/>
    <s v="Bluedart"/>
    <d v="2024-06-09T00:00:00"/>
    <x v="259"/>
    <d v="2024-06-20T00:00:00"/>
    <s v="lalitas@yahoo_com"/>
    <s v="7496112879"/>
  </r>
  <r>
    <x v="335"/>
    <s v="Jayesh Vora"/>
    <x v="0"/>
    <s v="Macbook Air M2"/>
    <x v="13"/>
    <x v="0"/>
    <s v="Laptops"/>
    <n v="110930"/>
    <n v="3"/>
    <n v="332790"/>
    <n v="20"/>
    <x v="247"/>
    <n v="88744"/>
    <n v="18"/>
    <n v="15973.92"/>
    <n v="0"/>
    <n v="104717.92"/>
    <x v="6"/>
    <s v="Express"/>
    <x v="1"/>
    <x v="3"/>
    <s v="Sneha Reddy"/>
    <s v="South"/>
    <s v="Madurai"/>
    <s v="Tamil Nadu"/>
    <x v="2"/>
    <s v="770935"/>
    <s v="None"/>
    <n v="3"/>
    <s v="No"/>
    <s v="other"/>
    <s v="WH-09"/>
    <s v="Dtdc"/>
    <d v="2023-02-15T00:00:00"/>
    <x v="182"/>
    <d v="2023-03-01T00:00:00"/>
    <s v="jayesh_vora@rediffmail_com"/>
    <s v="69649 66834"/>
  </r>
  <r>
    <x v="285"/>
    <s v="Manoj  Tomar"/>
    <x v="0"/>
    <s v="Hp Laserjet 1020"/>
    <x v="0"/>
    <x v="0"/>
    <s v="Printers"/>
    <n v="12370"/>
    <n v="1"/>
    <n v="12370"/>
    <n v="25"/>
    <x v="248"/>
    <n v="9277.5"/>
    <n v="18"/>
    <n v="1669.95"/>
    <n v="0"/>
    <n v="10947.45"/>
    <x v="0"/>
    <s v="Overnight"/>
    <x v="0"/>
    <x v="2"/>
    <s v="Sneha Reddy"/>
    <s v="South"/>
    <s v="Durgapur"/>
    <s v="West Bengal"/>
    <x v="1"/>
    <s v="401942"/>
    <s v="None"/>
    <n v="4"/>
    <s v="No"/>
    <s v="other"/>
    <s v="WH-08"/>
    <s v="Delhivery"/>
    <d v="2024-06-29T00:00:00"/>
    <x v="260"/>
    <d v="2024-07-15T00:00:00"/>
    <s v="manoj_tomar@yahoo_com"/>
    <s v="6592361337"/>
  </r>
  <r>
    <x v="336"/>
    <s v="Jayesh Vora"/>
    <x v="3"/>
    <s v="Lg 8Kg Front Load"/>
    <x v="33"/>
    <x v="1"/>
    <s v="Washing Machines"/>
    <n v="47360"/>
    <n v="5"/>
    <n v="236800"/>
    <n v="15"/>
    <x v="249"/>
    <n v="201280"/>
    <n v="5"/>
    <n v="10064"/>
    <n v="0"/>
    <n v="211344"/>
    <x v="1"/>
    <s v="Economy"/>
    <x v="0"/>
    <x v="1"/>
    <s v="Anjali Mehta"/>
    <s v="South"/>
    <s v="Jamshedpur"/>
    <s v="Jharkhand"/>
    <x v="1"/>
    <s v="720030"/>
    <s v="None"/>
    <n v="4"/>
    <s v="No"/>
    <s v="other"/>
    <s v="WH-10"/>
    <s v="Dtdc"/>
    <d v="2023-07-17T00:00:00"/>
    <x v="81"/>
    <d v="2023-07-29T00:00:00"/>
    <s v="jayesh_vora@rediffmail_com"/>
    <s v="9821417468"/>
  </r>
  <r>
    <x v="337"/>
    <s v="Abhijeet Sawant"/>
    <x v="0"/>
    <s v="Wildcraft Backpack"/>
    <x v="28"/>
    <x v="2"/>
    <s v="Bags"/>
    <n v="2100"/>
    <n v="10"/>
    <n v="21000"/>
    <n v="0"/>
    <x v="2"/>
    <n v="21000"/>
    <n v="12"/>
    <n v="2520"/>
    <n v="0"/>
    <n v="23520"/>
    <x v="0"/>
    <s v="Overnight"/>
    <x v="0"/>
    <x v="4"/>
    <s v="Aman Bhatia"/>
    <s v="West"/>
    <s v="Hubballi"/>
    <s v="Karnataka"/>
    <x v="2"/>
    <s v="797933"/>
    <s v="Save10"/>
    <n v="5"/>
    <s v="No"/>
    <s v="other"/>
    <s v="WH-05"/>
    <s v="Ekart"/>
    <d v="2023-04-03T00:00:00"/>
    <x v="261"/>
    <d v="2023-04-13T00:00:00"/>
    <s v="abhijeet_sawant@outlook_com"/>
    <s v="8716039886"/>
  </r>
  <r>
    <x v="338"/>
    <s v="Naveen Bajaj"/>
    <x v="3"/>
    <s v="Boat Rockerz 450"/>
    <x v="8"/>
    <x v="0"/>
    <s v="Audio"/>
    <n v="1510"/>
    <n v="4"/>
    <n v="6040"/>
    <n v="5"/>
    <x v="250"/>
    <n v="5738"/>
    <n v="18"/>
    <n v="1032.8399999999999"/>
    <n v="0"/>
    <n v="6770.84"/>
    <x v="2"/>
    <s v="Same Day"/>
    <x v="0"/>
    <x v="2"/>
    <s v="Neha Kulkarni"/>
    <s v="West"/>
    <s v="Nashik"/>
    <s v="Maharashtra"/>
    <x v="4"/>
    <s v="525751"/>
    <s v="Newuser"/>
    <n v="4"/>
    <s v="No"/>
    <s v="other"/>
    <s v="WH-10"/>
    <s v="Dtdc"/>
    <d v="2024-01-21T00:00:00"/>
    <x v="262"/>
    <d v="2024-01-31T00:00:00"/>
    <s v="naveen_bajaj@gmail_com"/>
    <s v="6974533890"/>
  </r>
  <r>
    <x v="339"/>
    <s v="Priya Patel"/>
    <x v="2"/>
    <s v="Classmate Notebook"/>
    <x v="9"/>
    <x v="3"/>
    <s v="Books"/>
    <n v="110"/>
    <n v="1"/>
    <n v="110"/>
    <n v="15"/>
    <x v="251"/>
    <n v="93.5"/>
    <n v="5"/>
    <n v="4.67"/>
    <n v="149"/>
    <n v="98.17"/>
    <x v="5"/>
    <s v="Economy"/>
    <x v="0"/>
    <x v="3"/>
    <s v="Sneha Reddy"/>
    <s v="South"/>
    <s v="Surat"/>
    <s v="Gujarat"/>
    <x v="4"/>
    <s v="124282"/>
    <s v="None"/>
    <n v="4"/>
    <s v="No"/>
    <s v="other"/>
    <s v="WH-05"/>
    <s v="Bluedart"/>
    <d v="2023-06-14T00:00:00"/>
    <x v="262"/>
    <d v="2023-06-25T00:00:00"/>
    <s v="priya_patel@yahoo_co_in"/>
    <s v="6488600801"/>
  </r>
  <r>
    <x v="340"/>
    <s v="Usha Chopra"/>
    <x v="0"/>
    <s v="Samsung 65-Inch Qled"/>
    <x v="2"/>
    <x v="0"/>
    <s v="Televisions"/>
    <n v="88210"/>
    <n v="8"/>
    <n v="705680"/>
    <n v="10"/>
    <x v="252"/>
    <n v="635112"/>
    <n v="18"/>
    <n v="114320.16"/>
    <n v="0"/>
    <n v="749432.16"/>
    <x v="4"/>
    <s v="Economy"/>
    <x v="0"/>
    <x v="3"/>
    <s v="Ritu Singh"/>
    <s v="Central"/>
    <s v="Ranchi"/>
    <s v="Jharkhand"/>
    <x v="1"/>
    <s v="262717"/>
    <s v="Flat500"/>
    <n v="3"/>
    <s v="No"/>
    <s v="other"/>
    <s v="WH-02"/>
    <s v="Delhivery"/>
    <d v="2024-03-11T00:00:00"/>
    <x v="263"/>
    <d v="2024-03-16T00:00:00"/>
    <s v="uchopra@yahoo_co_in"/>
    <s v="7548242183"/>
  </r>
  <r>
    <x v="341"/>
    <s v="Nidhi Joshi"/>
    <x v="1"/>
    <s v="Epson L3250"/>
    <x v="39"/>
    <x v="0"/>
    <s v="Printers"/>
    <n v="15740"/>
    <n v="7"/>
    <n v="110180"/>
    <n v="0"/>
    <x v="2"/>
    <n v="110180"/>
    <n v="18"/>
    <n v="19832.400000000001"/>
    <n v="0"/>
    <n v="130012.4"/>
    <x v="1"/>
    <s v="Express"/>
    <x v="1"/>
    <x v="2"/>
    <s v="Deepa Menon"/>
    <s v="South"/>
    <s v="Raipur"/>
    <s v="Chhattisgarh"/>
    <x v="3"/>
    <s v="122390"/>
    <s v="Summer15"/>
    <n v="4"/>
    <s v="No"/>
    <s v="other"/>
    <s v="WH-12"/>
    <s v="Ekart"/>
    <d v="2024-05-18T00:00:00"/>
    <x v="264"/>
    <d v="2024-05-27T00:00:00"/>
    <s v="nidhi_joshi@yahoo_co_in"/>
    <s v="88019 63045"/>
  </r>
  <r>
    <x v="342"/>
    <s v="Paramjit Brar"/>
    <x v="0"/>
    <s v="Dell Xps 15 Laptop"/>
    <x v="23"/>
    <x v="0"/>
    <s v="Laptops"/>
    <n v="122190"/>
    <n v="4"/>
    <n v="488760"/>
    <n v="0"/>
    <x v="2"/>
    <n v="488760"/>
    <n v="18"/>
    <n v="87976.8"/>
    <n v="0"/>
    <n v="576736.80000000005"/>
    <x v="6"/>
    <s v="Express"/>
    <x v="0"/>
    <x v="0"/>
    <s v="Arjun Das"/>
    <s v="East"/>
    <s v="Vijayawada"/>
    <s v="Andhra Pradesh"/>
    <x v="2"/>
    <s v="219738"/>
    <s v="Diwali25"/>
    <n v="4"/>
    <s v="No"/>
    <s v="other"/>
    <s v="WH-08"/>
    <s v="Ekart"/>
    <d v="2023-06-26T00:00:00"/>
    <x v="265"/>
    <d v="2023-07-05T00:00:00"/>
    <s v="pbrar@gmail_com"/>
    <s v="6128788486"/>
  </r>
  <r>
    <x v="343"/>
    <s v="Eswaran Murugan"/>
    <x v="3"/>
    <s v="Fastrack Watch"/>
    <x v="6"/>
    <x v="2"/>
    <s v="Accessories"/>
    <n v="2520"/>
    <n v="1"/>
    <n v="2520"/>
    <n v="0"/>
    <x v="2"/>
    <n v="2520"/>
    <n v="12"/>
    <n v="302.39999999999998"/>
    <n v="149"/>
    <n v="2822.4"/>
    <x v="0"/>
    <s v="Express"/>
    <x v="0"/>
    <x v="0"/>
    <s v="Sneha Reddy"/>
    <s v="South"/>
    <s v="Indore"/>
    <s v="Madhya Pradesh"/>
    <x v="3"/>
    <s v="642597"/>
    <s v="Festive20"/>
    <n v="4"/>
    <s v="No"/>
    <s v="other"/>
    <s v="WH-10"/>
    <s v="Ekart"/>
    <d v="2023-09-16T00:00:00"/>
    <x v="110"/>
    <d v="2023-07-05T00:00:00"/>
    <s v="eswaranm@rediffmail_com"/>
    <s v="8328809832"/>
  </r>
  <r>
    <x v="344"/>
    <s v="Uma Shankar"/>
    <x v="3"/>
    <s v="Daikin 1.5T Inverter"/>
    <x v="30"/>
    <x v="1"/>
    <s v="Air Conditioners"/>
    <n v="29347.846790890268"/>
    <n v="2"/>
    <n v="58695.693581780535"/>
    <n v="0"/>
    <x v="2"/>
    <n v="86000"/>
    <n v="5"/>
    <n v="4300"/>
    <n v="0"/>
    <n v="90300"/>
    <x v="6"/>
    <s v="Same Day"/>
    <x v="1"/>
    <x v="3"/>
    <s v="Anjali Mehta"/>
    <s v="South"/>
    <s v="Faridabad"/>
    <s v="Haryana"/>
    <x v="0"/>
    <s v="158316"/>
    <s v="None"/>
    <n v="4"/>
    <s v="No"/>
    <s v="other"/>
    <s v="WH-11"/>
    <s v="Bluedart"/>
    <d v="2023-03-27T00:00:00"/>
    <x v="227"/>
    <d v="2023-04-09T00:00:00"/>
    <s v="shankar_uma@gmail_com"/>
    <s v="9546951003"/>
  </r>
  <r>
    <x v="345"/>
    <s v="Priya Patel"/>
    <x v="0"/>
    <s v="Pepperfry Coffee Table"/>
    <x v="20"/>
    <x v="4"/>
    <s v="Tables"/>
    <n v="12750"/>
    <n v="4"/>
    <n v="51000"/>
    <n v="20"/>
    <x v="253"/>
    <n v="40800"/>
    <n v="5"/>
    <n v="2040"/>
    <n v="0"/>
    <n v="42840"/>
    <x v="2"/>
    <s v="Economy"/>
    <x v="5"/>
    <x v="0"/>
    <s v="Arjun Das"/>
    <s v="East"/>
    <s v="Warangal"/>
    <s v="Telangana"/>
    <x v="2"/>
    <s v="234061"/>
    <s v="Diwali25"/>
    <n v="4"/>
    <s v="No"/>
    <s v="other"/>
    <s v="WH-11"/>
    <s v="Ekart"/>
    <d v="2023-11-03T00:00:00"/>
    <x v="64"/>
    <d v="2023-11-13T00:00:00"/>
    <s v="patel_priya@yahoo_co_in"/>
    <s v="6836683482"/>
  </r>
  <r>
    <x v="346"/>
    <s v="Nisha Jain"/>
    <x v="0"/>
    <s v="Voltas 1.5T Ac"/>
    <x v="19"/>
    <x v="1"/>
    <s v="Air Conditioners"/>
    <n v="37720"/>
    <n v="1"/>
    <n v="37720"/>
    <n v="5"/>
    <x v="254"/>
    <n v="35834"/>
    <n v="5"/>
    <n v="1791.7"/>
    <n v="0"/>
    <n v="37625.699999999997"/>
    <x v="0"/>
    <s v="Express"/>
    <x v="1"/>
    <x v="1"/>
    <s v="Arjun Das"/>
    <s v="East"/>
    <s v="Pune"/>
    <s v="Maharashtra"/>
    <x v="4"/>
    <s v="303859"/>
    <s v="Festive20"/>
    <n v="4"/>
    <s v="No"/>
    <s v="other"/>
    <s v="WH-02"/>
    <s v="Dtdc"/>
    <d v="2024-03-15T00:00:00"/>
    <x v="118"/>
    <d v="2024-03-24T00:00:00"/>
    <s v="jain_nisha@gmail_com"/>
    <s v="9604180952"/>
  </r>
  <r>
    <x v="347"/>
    <s v="Venkatesan Rajan"/>
    <x v="1"/>
    <s v="Sony Bravia 55-Inch"/>
    <x v="1"/>
    <x v="0"/>
    <s v="Televisions"/>
    <n v="80300"/>
    <n v="1"/>
    <n v="80300"/>
    <n v="5"/>
    <x v="255"/>
    <n v="76285"/>
    <n v="18"/>
    <n v="13731.3"/>
    <n v="0"/>
    <n v="90016.3"/>
    <x v="2"/>
    <s v="Economy"/>
    <x v="0"/>
    <x v="1"/>
    <s v="Raj Kumar"/>
    <s v="North"/>
    <s v="Mysuru"/>
    <s v="Karnataka"/>
    <x v="2"/>
    <s v="331535"/>
    <s v="Newuser"/>
    <n v="4"/>
    <s v="No"/>
    <s v="other"/>
    <s v="WH-05"/>
    <s v="Ekart"/>
    <d v="2024-02-17T00:00:00"/>
    <x v="266"/>
    <d v="2024-02-27T00:00:00"/>
    <s v="vrajan@gmail_com"/>
    <s v="6568209225"/>
  </r>
  <r>
    <x v="348"/>
    <s v="Geetha Devi"/>
    <x v="3"/>
    <s v="Lg 8Kg Front Load"/>
    <x v="33"/>
    <x v="1"/>
    <s v="Washing Machines"/>
    <n v="51420"/>
    <n v="3"/>
    <n v="154260"/>
    <n v="15"/>
    <x v="256"/>
    <n v="131121"/>
    <n v="5"/>
    <n v="6556.05"/>
    <n v="0"/>
    <n v="137677.04999999999"/>
    <x v="1"/>
    <s v="Same Day"/>
    <x v="0"/>
    <x v="2"/>
    <s v="Ritu Singh"/>
    <s v="Central"/>
    <s v="Bhopal"/>
    <s v="Madhya Pradesh"/>
    <x v="3"/>
    <s v="571991"/>
    <s v="Flat500"/>
    <n v="4"/>
    <s v="Yes"/>
    <s v="Changed Mind"/>
    <s v="WH-04"/>
    <s v="Delhivery"/>
    <d v="2023-10-14T00:00:00"/>
    <x v="267"/>
    <d v="2023-10-17T00:00:00"/>
    <s v="gdevi@gmail_com"/>
    <s v="8058011950"/>
  </r>
  <r>
    <x v="349"/>
    <s v="Saraswathi Rao"/>
    <x v="0"/>
    <s v="Pepperfry Coffee Table"/>
    <x v="20"/>
    <x v="4"/>
    <s v="Tables"/>
    <n v="12280"/>
    <n v="1"/>
    <n v="12280"/>
    <n v="15"/>
    <x v="33"/>
    <n v="10438"/>
    <n v="5"/>
    <n v="521.9"/>
    <n v="0"/>
    <n v="10959.9"/>
    <x v="5"/>
    <s v="Overnight"/>
    <x v="0"/>
    <x v="0"/>
    <s v="Deepa Menon"/>
    <s v="South"/>
    <s v="Gurugram"/>
    <s v="Haryana"/>
    <x v="0"/>
    <s v="487428"/>
    <s v="None"/>
    <n v="4"/>
    <s v="No"/>
    <s v="other"/>
    <s v="WH-09"/>
    <s v="Ekart"/>
    <d v="2023-11-16T00:00:00"/>
    <x v="124"/>
    <d v="2023-11-28T00:00:00"/>
    <s v="saraswathi_rao@gmail_com"/>
    <s v="99827 34813"/>
  </r>
  <r>
    <x v="350"/>
    <s v="Lakshmi Pillai"/>
    <x v="1"/>
    <s v="Realme Gt 5"/>
    <x v="25"/>
    <x v="0"/>
    <s v="Mobile Phones"/>
    <n v="26630"/>
    <n v="2"/>
    <n v="53260"/>
    <n v="10"/>
    <x v="257"/>
    <n v="47934"/>
    <n v="18"/>
    <n v="8628.1200000000008"/>
    <n v="0"/>
    <n v="56562.12"/>
    <x v="3"/>
    <s v="Same Day"/>
    <x v="5"/>
    <x v="0"/>
    <s v="Vinay Joshi"/>
    <s v="Central"/>
    <s v="Warangal"/>
    <s v="Telangana"/>
    <x v="2"/>
    <s v="450318"/>
    <s v="None"/>
    <n v="4"/>
    <s v="No"/>
    <s v="other"/>
    <s v="WH-08"/>
    <s v="Dtdc"/>
    <d v="2023-10-07T00:00:00"/>
    <x v="268"/>
    <d v="2023-10-20T00:00:00"/>
    <s v="lpillai@yahoo_co_in"/>
    <s v="6805507740"/>
  </r>
  <r>
    <x v="351"/>
    <s v="Eswaran Murugan"/>
    <x v="0"/>
    <s v="Lenovo Thinkpad E14"/>
    <x v="4"/>
    <x v="0"/>
    <s v="Laptops"/>
    <n v="54240"/>
    <n v="9"/>
    <n v="488160"/>
    <n v="25"/>
    <x v="258"/>
    <n v="366120"/>
    <n v="18"/>
    <n v="65901.600000000006"/>
    <n v="0"/>
    <n v="432021.6"/>
    <x v="3"/>
    <s v="Same Day"/>
    <x v="0"/>
    <x v="2"/>
    <s v="Raj Kumar"/>
    <s v="North"/>
    <s v="Jodhpur"/>
    <s v="Rajasthan"/>
    <x v="0"/>
    <s v="473882"/>
    <s v="None"/>
    <n v="3"/>
    <s v="No"/>
    <s v="other"/>
    <s v="WH-11"/>
    <s v="Ekart"/>
    <d v="2023-03-27T00:00:00"/>
    <x v="25"/>
    <d v="2023-04-06T00:00:00"/>
    <s v="eswaranm@rediffmail_com"/>
    <s v="7120122759"/>
  </r>
  <r>
    <x v="352"/>
    <s v="Janaki Ramanathan"/>
    <x v="3"/>
    <s v="Godrej Interio Desk"/>
    <x v="14"/>
    <x v="4"/>
    <s v="Desks"/>
    <n v="18760"/>
    <n v="2"/>
    <n v="37520"/>
    <n v="15"/>
    <x v="259"/>
    <n v="31892"/>
    <n v="5"/>
    <n v="1594.6"/>
    <n v="0"/>
    <n v="33486.6"/>
    <x v="5"/>
    <s v="Overnight"/>
    <x v="3"/>
    <x v="0"/>
    <s v="Anjali Mehta"/>
    <s v="South"/>
    <s v="Coimbatore"/>
    <s v="Tamil Nadu"/>
    <x v="2"/>
    <s v="342136"/>
    <s v="Save10"/>
    <n v="5"/>
    <s v="No"/>
    <s v="other"/>
    <s v="WH-06"/>
    <s v="Amazon Logistics"/>
    <d v="2024-03-24T00:00:00"/>
    <x v="56"/>
    <d v="2023-04-06T00:00:00"/>
    <s v="janaki_ramanathangmail_com"/>
    <s v="7493403910"/>
  </r>
  <r>
    <x v="353"/>
    <s v="Chandni Gupta"/>
    <x v="0"/>
    <s v="Tata Tea Premium 1Kg"/>
    <x v="17"/>
    <x v="5"/>
    <s v="Beverages"/>
    <n v="420"/>
    <n v="1"/>
    <n v="420"/>
    <n v="25"/>
    <x v="260"/>
    <n v="315"/>
    <n v="5"/>
    <n v="15.75"/>
    <n v="49"/>
    <n v="330.75"/>
    <x v="5"/>
    <s v="Overnight"/>
    <x v="1"/>
    <x v="2"/>
    <s v="Arjun Das"/>
    <s v="East"/>
    <s v="Udaipur"/>
    <s v="Rajasthan"/>
    <x v="0"/>
    <s v="507917"/>
    <s v="None"/>
    <n v="4"/>
    <s v="No"/>
    <s v="other"/>
    <s v="WH-03"/>
    <s v="Amazon Logistics"/>
    <d v="2023-12-15T00:00:00"/>
    <x v="145"/>
    <d v="2023-04-06T00:00:00"/>
    <s v="chandnig@gmail_com"/>
    <s v="84233 94495"/>
  </r>
  <r>
    <x v="354"/>
    <s v="Parag Soni"/>
    <x v="0"/>
    <s v="Fastrack Watch"/>
    <x v="6"/>
    <x v="2"/>
    <s v="Accessories"/>
    <n v="2610"/>
    <n v="3"/>
    <n v="7830"/>
    <n v="0"/>
    <x v="2"/>
    <n v="7830"/>
    <n v="12"/>
    <n v="939.6"/>
    <n v="0"/>
    <n v="8769.6"/>
    <x v="3"/>
    <s v="Standard"/>
    <x v="0"/>
    <x v="1"/>
    <s v="Priya Sinha"/>
    <s v="West"/>
    <s v="Bengaluru"/>
    <s v="Karnataka"/>
    <x v="2"/>
    <s v="693516"/>
    <s v="Save10"/>
    <n v="4"/>
    <s v="No"/>
    <s v="other"/>
    <s v="WH-09"/>
    <s v="Bluedart"/>
    <d v="2023-03-04T00:00:00"/>
    <x v="269"/>
    <d v="2023-03-14T00:00:00"/>
    <s v="psoni@gmail_com"/>
    <s v="6868430211"/>
  </r>
  <r>
    <x v="355"/>
    <s v="Zubair Khan"/>
    <x v="0"/>
    <s v="Lavie Handbag"/>
    <x v="12"/>
    <x v="2"/>
    <s v="Bags"/>
    <n v="2680"/>
    <n v="9"/>
    <n v="24120"/>
    <n v="10"/>
    <x v="261"/>
    <n v="21708"/>
    <n v="12"/>
    <n v="2604.96"/>
    <n v="0"/>
    <n v="24312.959999999999"/>
    <x v="4"/>
    <s v="Standard"/>
    <x v="3"/>
    <x v="4"/>
    <s v="Sneha Reddy"/>
    <s v="South"/>
    <s v="Raipur"/>
    <s v="Chhattisgarh"/>
    <x v="3"/>
    <s v="114484"/>
    <s v="None"/>
    <n v="3"/>
    <s v="No"/>
    <s v="other"/>
    <s v="WH-10"/>
    <s v="Delhivery"/>
    <d v="2023-11-16T00:00:00"/>
    <x v="229"/>
    <d v="2023-11-26T00:00:00"/>
    <s v="khan_zubair@gmail_com"/>
    <s v="6115238023"/>
  </r>
  <r>
    <x v="356"/>
    <s v="Kruti Bhatt"/>
    <x v="0"/>
    <s v="Jbl Flip 6"/>
    <x v="27"/>
    <x v="0"/>
    <s v="Audio"/>
    <n v="9700"/>
    <n v="3"/>
    <n v="29100"/>
    <n v="15"/>
    <x v="262"/>
    <n v="24735"/>
    <n v="18"/>
    <n v="4452.3"/>
    <n v="0"/>
    <n v="29187.3"/>
    <x v="5"/>
    <s v="Express"/>
    <x v="1"/>
    <x v="1"/>
    <s v="Arjun Das"/>
    <s v="East"/>
    <s v="Durgapur"/>
    <s v="West Bengal"/>
    <x v="1"/>
    <s v="687975"/>
    <s v="None"/>
    <n v="4"/>
    <s v="No"/>
    <s v="other"/>
    <s v="WH-05"/>
    <s v="Dtdc"/>
    <d v="2023-12-07T00:00:00"/>
    <x v="270"/>
    <d v="2023-12-22T00:00:00"/>
    <s v="bhatt_kruti@gmail_com"/>
    <s v="8318692897"/>
  </r>
  <r>
    <x v="357"/>
    <s v="Ravi Shankar"/>
    <x v="0"/>
    <s v="Realme Gt 5"/>
    <x v="25"/>
    <x v="0"/>
    <s v="Mobile Phones"/>
    <n v="29030"/>
    <n v="4"/>
    <n v="116120"/>
    <n v="20"/>
    <x v="263"/>
    <n v="92896"/>
    <n v="18"/>
    <n v="16721.28"/>
    <n v="0"/>
    <n v="109617.28"/>
    <x v="1"/>
    <s v="Standard"/>
    <x v="3"/>
    <x v="1"/>
    <s v="Raj Kumar"/>
    <s v="North"/>
    <s v="Bengaluru"/>
    <s v="Karnataka"/>
    <x v="2"/>
    <s v="113027"/>
    <s v="None"/>
    <n v="5"/>
    <s v="Yes"/>
    <s v="Defective"/>
    <s v="WH-06"/>
    <s v="Ekart"/>
    <d v="2023-10-12T00:00:00"/>
    <x v="267"/>
    <d v="2023-10-24T00:00:00"/>
    <s v="ravi_shankar@gmail_com"/>
    <s v="8042322775"/>
  </r>
  <r>
    <x v="358"/>
    <s v="Vikram Mehta"/>
    <x v="3"/>
    <s v="Lavie Handbag"/>
    <x v="12"/>
    <x v="2"/>
    <s v="Bags"/>
    <n v="3020"/>
    <n v="4"/>
    <n v="12080"/>
    <n v="0"/>
    <x v="2"/>
    <n v="12080"/>
    <n v="12"/>
    <n v="1449.6"/>
    <n v="0"/>
    <n v="13529.6"/>
    <x v="4"/>
    <s v="Standard"/>
    <x v="1"/>
    <x v="2"/>
    <s v="Ankit Sharma"/>
    <s v="North"/>
    <s v="Noida"/>
    <s v="Uttar Pradesh"/>
    <x v="0"/>
    <s v="522360"/>
    <s v="Newuser"/>
    <n v="3"/>
    <s v="No"/>
    <s v="other"/>
    <s v="WH-01"/>
    <s v="Bluedart"/>
    <d v="2023-08-18T00:00:00"/>
    <x v="271"/>
    <d v="2023-08-23T00:00:00"/>
    <s v="vikram_mehta@gmail_com"/>
    <s v="8438419662"/>
  </r>
  <r>
    <x v="359"/>
    <s v="Tarun Bansal"/>
    <x v="0"/>
    <s v="Maggi Noodles 12-Pack"/>
    <x v="40"/>
    <x v="5"/>
    <s v="Instant Foods"/>
    <n v="190"/>
    <n v="2"/>
    <n v="380"/>
    <n v="10"/>
    <x v="264"/>
    <n v="342"/>
    <n v="5"/>
    <n v="17.100000000000001"/>
    <n v="79"/>
    <n v="359.1"/>
    <x v="6"/>
    <s v="Economy"/>
    <x v="1"/>
    <x v="3"/>
    <s v="Ritu Singh"/>
    <s v="Central"/>
    <s v="Jabalpur"/>
    <s v="Madhya Pradesh"/>
    <x v="3"/>
    <s v="763027"/>
    <s v="Save10"/>
    <n v="2"/>
    <s v="No"/>
    <s v="other"/>
    <s v="WH-03"/>
    <s v="Dtdc"/>
    <d v="2023-09-18T00:00:00"/>
    <x v="84"/>
    <d v="2023-09-23T00:00:00"/>
    <s v="tarun_bansal@outlook_com"/>
    <s v="7142436258"/>
  </r>
  <r>
    <x v="360"/>
    <s v="Vijay Pillai"/>
    <x v="3"/>
    <s v="Centuary Mattress"/>
    <x v="16"/>
    <x v="4"/>
    <s v="Beds"/>
    <n v="14370"/>
    <n v="2"/>
    <n v="28740"/>
    <n v="0"/>
    <x v="2"/>
    <n v="28740"/>
    <n v="5"/>
    <n v="1437"/>
    <n v="0"/>
    <n v="30177"/>
    <x v="3"/>
    <s v="Economy"/>
    <x v="5"/>
    <x v="4"/>
    <s v="Ankit Sharma"/>
    <s v="North"/>
    <s v="Patna"/>
    <s v="Bihar"/>
    <x v="1"/>
    <s v="776609"/>
    <s v="Diwali25"/>
    <n v="4"/>
    <s v="No"/>
    <s v="other"/>
    <s v="WH-04"/>
    <s v="Bluedart"/>
    <d v="2024-01-25T00:00:00"/>
    <x v="134"/>
    <d v="2024-02-02T00:00:00"/>
    <s v="vijay_pillai@gmail_com"/>
    <s v="7115876054"/>
  </r>
  <r>
    <x v="361"/>
    <s v="Anand Swaminathan"/>
    <x v="0"/>
    <s v="Puma Softride"/>
    <x v="31"/>
    <x v="2"/>
    <s v="Footwear"/>
    <n v="4940"/>
    <n v="5"/>
    <n v="24700"/>
    <n v="20"/>
    <x v="265"/>
    <n v="19760"/>
    <n v="12"/>
    <n v="2371.1999999999998"/>
    <n v="0"/>
    <n v="22131.200000000001"/>
    <x v="0"/>
    <s v="Same Day"/>
    <x v="0"/>
    <x v="3"/>
    <s v="Sneha Reddy"/>
    <s v="South"/>
    <s v="Mysuru"/>
    <s v="Karnataka"/>
    <x v="2"/>
    <s v="513499"/>
    <s v="Diwali25"/>
    <n v="4"/>
    <s v="No"/>
    <s v="other"/>
    <s v="WH-05"/>
    <s v="Delhivery"/>
    <d v="2024-01-25T00:00:00"/>
    <x v="32"/>
    <d v="2024-02-16T00:00:00"/>
    <s v="aswaminathan@gmail_com"/>
    <s v="7269255966"/>
  </r>
  <r>
    <x v="362"/>
    <s v="Jayalakshmi Kumar"/>
    <x v="0"/>
    <s v="Lavie Handbag"/>
    <x v="12"/>
    <x v="2"/>
    <s v="Bags"/>
    <n v="2710"/>
    <n v="2"/>
    <n v="5420"/>
    <n v="15"/>
    <x v="266"/>
    <n v="4607"/>
    <n v="12"/>
    <n v="552.84"/>
    <n v="0"/>
    <n v="5159.84"/>
    <x v="6"/>
    <s v="Economy"/>
    <x v="0"/>
    <x v="4"/>
    <s v="Suraj Verma"/>
    <s v="East"/>
    <s v="Chandigarh"/>
    <s v="Punjab"/>
    <x v="0"/>
    <s v="632249"/>
    <s v="None"/>
    <n v="5"/>
    <s v="No"/>
    <s v="other"/>
    <s v="WH-08"/>
    <s v="Delhivery"/>
    <d v="2023-06-11T00:00:00"/>
    <x v="272"/>
    <d v="2024-02-16T00:00:00"/>
    <s v="jayalakshmi_kumar@gmail_com"/>
    <s v="7522115871"/>
  </r>
  <r>
    <x v="363"/>
    <s v="Sunita Verma"/>
    <x v="1"/>
    <s v="Classmate Notebook"/>
    <x v="9"/>
    <x v="3"/>
    <s v="Books"/>
    <n v="120"/>
    <n v="2"/>
    <n v="240"/>
    <n v="10"/>
    <x v="8"/>
    <n v="216"/>
    <n v="5"/>
    <n v="10.8"/>
    <n v="149"/>
    <n v="226.8"/>
    <x v="5"/>
    <s v="Express"/>
    <x v="1"/>
    <x v="4"/>
    <s v="Sneha Reddy"/>
    <s v="South"/>
    <s v="Howrah"/>
    <s v="West Bengal"/>
    <x v="1"/>
    <s v="711531"/>
    <s v="None"/>
    <n v="4"/>
    <s v="No"/>
    <s v="other"/>
    <s v="WH-02"/>
    <s v="Ekart"/>
    <d v="2023-12-16T00:00:00"/>
    <x v="273"/>
    <d v="2023-12-26T00:00:00"/>
    <s v="sverma@gmail_com"/>
    <s v="8810558000"/>
  </r>
  <r>
    <x v="364"/>
    <s v="Indira Gandhi"/>
    <x v="0"/>
    <s v="Classmate Notebook"/>
    <x v="9"/>
    <x v="3"/>
    <s v="Books"/>
    <n v="120"/>
    <n v="2"/>
    <n v="240"/>
    <n v="15"/>
    <x v="267"/>
    <n v="204"/>
    <n v="5"/>
    <n v="10.199999999999999"/>
    <n v="149"/>
    <n v="214.2"/>
    <x v="1"/>
    <s v="Standard"/>
    <x v="0"/>
    <x v="0"/>
    <s v="Karim Sheikh"/>
    <s v="North"/>
    <s v="Gurugram"/>
    <s v="Haryana"/>
    <x v="0"/>
    <s v="146447"/>
    <s v="None"/>
    <n v="4"/>
    <s v="No"/>
    <s v="other"/>
    <s v="WH-02"/>
    <s v="Amazon Logistics"/>
    <d v="2023-06-18T00:00:00"/>
    <x v="274"/>
    <d v="2023-06-24T00:00:00"/>
    <s v="gandhi_indira@gmail_com"/>
    <s v="83222 73938"/>
  </r>
  <r>
    <x v="365"/>
    <s v="Gurpreet Kaur"/>
    <x v="2"/>
    <s v="Macbook Air M2"/>
    <x v="13"/>
    <x v="0"/>
    <s v="Laptops"/>
    <n v="114740"/>
    <n v="1"/>
    <n v="114740"/>
    <n v="0"/>
    <x v="2"/>
    <n v="114740"/>
    <n v="18"/>
    <n v="20653.2"/>
    <n v="0"/>
    <n v="135393.20000000001"/>
    <x v="1"/>
    <s v="Overnight"/>
    <x v="0"/>
    <x v="4"/>
    <s v="Deepa Menon"/>
    <s v="South"/>
    <s v="Jabalpur"/>
    <s v="Madhya Pradesh"/>
    <x v="3"/>
    <s v="271448"/>
    <s v="None"/>
    <n v="4"/>
    <s v="No"/>
    <s v="other"/>
    <s v="WH-11"/>
    <s v="Amazon Logistics"/>
    <d v="2023-06-12T00:00:00"/>
    <x v="274"/>
    <d v="2023-06-24T00:00:00"/>
    <s v="gurpreet_kaur@outlook_com"/>
    <s v="8846735742"/>
  </r>
  <r>
    <x v="366"/>
    <s v="Nagalakshmi Venkatesh"/>
    <x v="1"/>
    <s v="Kurl-On King Bed"/>
    <x v="15"/>
    <x v="4"/>
    <s v="Beds"/>
    <n v="29347.846790890268"/>
    <n v="2"/>
    <n v="58695.693581780535"/>
    <n v="10"/>
    <x v="268"/>
    <n v="104094"/>
    <n v="5"/>
    <n v="5204.7"/>
    <n v="0"/>
    <n v="109298.7"/>
    <x v="0"/>
    <s v="Same Day"/>
    <x v="5"/>
    <x v="1"/>
    <s v="Vinay Joshi"/>
    <s v="Central"/>
    <s v="Ranchi"/>
    <s v="Jharkhand"/>
    <x v="1"/>
    <s v="350375"/>
    <s v="None"/>
    <n v="4"/>
    <s v="No"/>
    <s v="other"/>
    <s v="WH-12"/>
    <s v="Bluedart"/>
    <d v="2023-07-08T00:00:00"/>
    <x v="46"/>
    <d v="2023-07-17T00:00:00"/>
    <s v="nagalakshmi_venkatesh@yahoo_com"/>
    <s v="7674130753"/>
  </r>
  <r>
    <x v="367"/>
    <s v="Seema Kapoor"/>
    <x v="0"/>
    <s v="Puma Softride"/>
    <x v="31"/>
    <x v="2"/>
    <s v="Footwear"/>
    <n v="5130"/>
    <n v="8"/>
    <n v="41040"/>
    <n v="5"/>
    <x v="269"/>
    <n v="38988"/>
    <n v="12"/>
    <n v="4678.5600000000004"/>
    <n v="0"/>
    <n v="43666.559999999998"/>
    <x v="1"/>
    <s v="Same Day"/>
    <x v="0"/>
    <x v="1"/>
    <s v="Arjun Das"/>
    <s v="East"/>
    <s v="Nagpur"/>
    <s v="Maharashtra"/>
    <x v="4"/>
    <s v="204168"/>
    <s v="Festive20"/>
    <n v="4"/>
    <s v="No"/>
    <s v="other"/>
    <s v="WH-02"/>
    <s v="Amazon Logistics"/>
    <d v="2023-11-23T00:00:00"/>
    <x v="275"/>
    <d v="2023-07-17T00:00:00"/>
    <s v="seema_kapoor@gmail_com"/>
    <s v="9939578752"/>
  </r>
  <r>
    <x v="368"/>
    <s v="Uma Shankar"/>
    <x v="1"/>
    <s v="Milton Water Purifier"/>
    <x v="22"/>
    <x v="1"/>
    <s v="Kitchen"/>
    <n v="10040"/>
    <n v="3"/>
    <n v="30120"/>
    <n v="0"/>
    <x v="2"/>
    <n v="30120"/>
    <n v="5"/>
    <n v="1506"/>
    <n v="0"/>
    <n v="31626"/>
    <x v="5"/>
    <s v="Economy"/>
    <x v="0"/>
    <x v="4"/>
    <s v="Sneha Reddy"/>
    <s v="South"/>
    <s v="Gaya"/>
    <s v="Bihar"/>
    <x v="1"/>
    <s v="261763"/>
    <s v="Festive20"/>
    <n v="5"/>
    <s v="Yes"/>
    <s v="Wrong Item"/>
    <s v="WH-10"/>
    <s v="Delhivery"/>
    <d v="2024-04-18T00:00:00"/>
    <x v="179"/>
    <d v="2024-05-02T00:00:00"/>
    <s v="uma_shankar@gmail_com"/>
    <s v="7889786533"/>
  </r>
  <r>
    <x v="369"/>
    <s v="Girish More"/>
    <x v="0"/>
    <s v="Levi'S 511 Jeans"/>
    <x v="10"/>
    <x v="2"/>
    <s v="Clothing"/>
    <n v="2950"/>
    <n v="1"/>
    <n v="2950"/>
    <n v="0"/>
    <x v="2"/>
    <n v="2950"/>
    <n v="12"/>
    <n v="354"/>
    <n v="79"/>
    <n v="3304"/>
    <x v="6"/>
    <s v="Economy"/>
    <x v="0"/>
    <x v="2"/>
    <s v="Neha Kulkarni"/>
    <s v="West"/>
    <s v="Hyderabad"/>
    <s v="Telangana"/>
    <x v="2"/>
    <s v="225249"/>
    <s v="Newuser"/>
    <n v="2"/>
    <s v="No"/>
    <s v="other"/>
    <s v="WH-10"/>
    <s v="Ekart"/>
    <d v="2023-10-17T00:00:00"/>
    <x v="10"/>
    <d v="2023-10-31T00:00:00"/>
    <s v="gmore@gmail_com"/>
    <s v="9636560450"/>
  </r>
  <r>
    <x v="370"/>
    <s v="Abhijeet Sawant"/>
    <x v="3"/>
    <s v="Canon Eos 200D"/>
    <x v="7"/>
    <x v="0"/>
    <s v="Cameras"/>
    <n v="49330"/>
    <n v="4"/>
    <n v="197320"/>
    <n v="5"/>
    <x v="270"/>
    <n v="187454"/>
    <n v="18"/>
    <n v="33741.72"/>
    <n v="0"/>
    <n v="221195.72"/>
    <x v="0"/>
    <s v="Economy"/>
    <x v="0"/>
    <x v="2"/>
    <s v="Suraj Verma"/>
    <s v="East"/>
    <s v="Chennai"/>
    <s v="Tamil Nadu"/>
    <x v="2"/>
    <s v="742796"/>
    <s v="None"/>
    <n v="4"/>
    <s v="No"/>
    <s v="other"/>
    <s v="WH-10"/>
    <s v="Delhivery"/>
    <d v="2023-02-20T00:00:00"/>
    <x v="237"/>
    <d v="2023-03-05T00:00:00"/>
    <s v="sawant_abhijeet@outlook_com"/>
    <s v="7596546634"/>
  </r>
  <r>
    <x v="371"/>
    <s v="Seema Kapoor"/>
    <x v="0"/>
    <s v="Lavie Handbag"/>
    <x v="12"/>
    <x v="2"/>
    <s v="Bags"/>
    <n v="2810"/>
    <n v="1"/>
    <n v="2810"/>
    <n v="10"/>
    <x v="271"/>
    <n v="2529"/>
    <n v="12"/>
    <n v="303.48"/>
    <n v="79"/>
    <n v="2832.48"/>
    <x v="2"/>
    <s v="Overnight"/>
    <x v="0"/>
    <x v="3"/>
    <s v="Neha Kulkarni"/>
    <s v="West"/>
    <s v="Kochi"/>
    <s v="Kerala"/>
    <x v="2"/>
    <s v="463033"/>
    <s v="None"/>
    <n v="3"/>
    <s v="No"/>
    <s v="other"/>
    <s v="WH-10"/>
    <s v="Delhivery"/>
    <d v="2023-08-20T00:00:00"/>
    <x v="206"/>
    <d v="2023-08-31T00:00:00"/>
    <s v="kapoor_seema@gmail_com"/>
    <s v=" 8941321097"/>
  </r>
  <r>
    <x v="372"/>
    <s v="Priya Patel"/>
    <x v="0"/>
    <s v="Oneplus 12"/>
    <x v="32"/>
    <x v="0"/>
    <s v="Mobile Phones"/>
    <n v="67320"/>
    <n v="1"/>
    <n v="67320"/>
    <n v="0"/>
    <x v="2"/>
    <n v="67320"/>
    <n v="18"/>
    <n v="12117.6"/>
    <n v="0"/>
    <n v="79437.600000000006"/>
    <x v="2"/>
    <s v="Express"/>
    <x v="0"/>
    <x v="3"/>
    <s v="Neha Kulkarni"/>
    <s v="West"/>
    <s v="Hubballi"/>
    <s v="Karnataka"/>
    <x v="2"/>
    <s v="324648"/>
    <s v="Festive20"/>
    <n v="4"/>
    <s v="No"/>
    <s v="other"/>
    <s v="WH-03"/>
    <s v="Delhivery"/>
    <d v="2024-03-19T00:00:00"/>
    <x v="137"/>
    <d v="2024-04-01T00:00:00"/>
    <s v="patel_priya@yahoo_co_in"/>
    <s v="8359570861"/>
  </r>
  <r>
    <x v="373"/>
    <s v="Zubair Khan"/>
    <x v="0"/>
    <s v="Lg 43-Inch 4K Tv"/>
    <x v="33"/>
    <x v="0"/>
    <s v="Televisions"/>
    <n v="41370"/>
    <n v="1"/>
    <n v="41370"/>
    <n v="10"/>
    <x v="272"/>
    <n v="37233"/>
    <n v="18"/>
    <n v="6701.94"/>
    <n v="0"/>
    <n v="43934.94"/>
    <x v="0"/>
    <s v="Economy"/>
    <x v="0"/>
    <x v="0"/>
    <s v="Vinay Joshi"/>
    <s v="Central"/>
    <s v="Nagpur"/>
    <s v="Maharashtra"/>
    <x v="4"/>
    <s v="281306"/>
    <s v="None"/>
    <n v="4"/>
    <s v="No"/>
    <s v="other"/>
    <s v="WH-09"/>
    <s v="Dtdc"/>
    <d v="2023-09-12T00:00:00"/>
    <x v="247"/>
    <d v="2023-09-20T00:00:00"/>
    <s v="zubair_khan@gmail_com"/>
    <s v="6294690217"/>
  </r>
  <r>
    <x v="374"/>
    <s v="Smita Patil"/>
    <x v="0"/>
    <s v="Camlin Art Kit"/>
    <x v="34"/>
    <x v="3"/>
    <s v="Art Supplies"/>
    <n v="610"/>
    <n v="20"/>
    <n v="12200"/>
    <n v="0"/>
    <x v="2"/>
    <n v="12200"/>
    <n v="5"/>
    <n v="610"/>
    <n v="0"/>
    <n v="12810"/>
    <x v="0"/>
    <s v="Same Day"/>
    <x v="0"/>
    <x v="2"/>
    <s v="Ritu Singh"/>
    <s v="Central"/>
    <s v="Jabalpur"/>
    <s v="Madhya Pradesh"/>
    <x v="3"/>
    <s v="380864"/>
    <s v="None"/>
    <n v="5"/>
    <s v="No"/>
    <s v="other"/>
    <s v="WH-03"/>
    <s v="Delhivery"/>
    <d v="2023-06-13T00:00:00"/>
    <x v="272"/>
    <d v="2023-06-20T00:00:00"/>
    <s v="smita_patil@gmail_com"/>
    <s v="7675076279"/>
  </r>
  <r>
    <x v="375"/>
    <s v="Kiran Rao"/>
    <x v="3"/>
    <s v="Oneplus 12"/>
    <x v="32"/>
    <x v="0"/>
    <s v="Mobile Phones"/>
    <n v="68220"/>
    <n v="5"/>
    <n v="341100"/>
    <n v="15"/>
    <x v="273"/>
    <n v="289935"/>
    <n v="18"/>
    <n v="52188.3"/>
    <n v="0"/>
    <n v="342123.3"/>
    <x v="2"/>
    <s v="Standard"/>
    <x v="4"/>
    <x v="2"/>
    <s v="Deepa Menon"/>
    <s v="South"/>
    <s v="Ghaziabad"/>
    <s v="Uttar Pradesh"/>
    <x v="0"/>
    <s v="601951"/>
    <s v="Summer15"/>
    <n v="5"/>
    <s v="Yes"/>
    <s v="other"/>
    <s v="WH-09"/>
    <s v="Amazon Logistics"/>
    <d v="2023-10-31T00:00:00"/>
    <x v="119"/>
    <d v="2023-07-11T00:00:00"/>
    <s v="kiran_rao@gmail_com"/>
    <s v="9487177546"/>
  </r>
  <r>
    <x v="376"/>
    <s v="Ramachandran Pillai"/>
    <x v="3"/>
    <s v="Samsung 253L Fridge"/>
    <x v="2"/>
    <x v="1"/>
    <s v="Refrigerators"/>
    <n v="25480"/>
    <n v="4"/>
    <n v="101920"/>
    <n v="0"/>
    <x v="2"/>
    <n v="101920"/>
    <n v="5"/>
    <n v="5096"/>
    <n v="0"/>
    <n v="107016"/>
    <x v="0"/>
    <s v="Economy"/>
    <x v="0"/>
    <x v="0"/>
    <s v="Sneha Reddy"/>
    <s v="South"/>
    <s v="Hyderabad"/>
    <s v="Telangana"/>
    <x v="2"/>
    <s v="224706"/>
    <s v="Festive20"/>
    <n v="5"/>
    <s v="No"/>
    <s v="other"/>
    <s v="WH-03"/>
    <s v="Delhivery"/>
    <d v="2024-06-30T00:00:00"/>
    <x v="276"/>
    <d v="2024-09-07T00:00:00"/>
    <s v="pillai_ramachandrangmail_com"/>
    <s v="9869017074"/>
  </r>
  <r>
    <x v="377"/>
    <s v="Naveen Bajaj"/>
    <x v="0"/>
    <s v="Nikon D3500"/>
    <x v="3"/>
    <x v="0"/>
    <s v="Cameras"/>
    <n v="29347.846790890268"/>
    <n v="6"/>
    <n v="176087.08074534161"/>
    <n v="0"/>
    <x v="2"/>
    <n v="198180"/>
    <n v="18"/>
    <n v="35672.400000000001"/>
    <n v="0"/>
    <n v="233852.4"/>
    <x v="1"/>
    <s v="Same Day"/>
    <x v="0"/>
    <x v="3"/>
    <s v="Deepa Menon"/>
    <s v="South"/>
    <s v="Jodhpur"/>
    <s v="Rajasthan"/>
    <x v="0"/>
    <s v="579967"/>
    <s v="None"/>
    <n v="5"/>
    <s v="No"/>
    <s v="other"/>
    <s v="WH-10"/>
    <s v="Ekart"/>
    <d v="2024-04-10T00:00:00"/>
    <x v="277"/>
    <d v="2024-04-16T00:00:00"/>
    <s v="bajaj_naveen@gmail_com"/>
    <s v="74447 04887"/>
  </r>
  <r>
    <x v="378"/>
    <s v="Muthukrishnan Arunachalam"/>
    <x v="0"/>
    <s v="Jbl Flip 6"/>
    <x v="27"/>
    <x v="0"/>
    <s v="Audio"/>
    <n v="10000"/>
    <n v="2"/>
    <n v="20000"/>
    <n v="5"/>
    <x v="274"/>
    <n v="19000"/>
    <n v="18"/>
    <n v="3420"/>
    <n v="0"/>
    <n v="22420"/>
    <x v="3"/>
    <s v="Overnight"/>
    <x v="0"/>
    <x v="4"/>
    <s v="Ankit Sharma"/>
    <s v="North"/>
    <s v="Lucknow"/>
    <s v="Uttar Pradesh"/>
    <x v="0"/>
    <s v="421070"/>
    <s v="Save10"/>
    <n v="3"/>
    <s v="No"/>
    <s v="other"/>
    <s v="WH-03"/>
    <s v="Delhivery"/>
    <d v="2023-11-21T00:00:00"/>
    <x v="98"/>
    <d v="2023-11-30T00:00:00"/>
    <s v="marunachalam@gmail_com"/>
    <s v="8294115630"/>
  </r>
  <r>
    <x v="379"/>
    <s v="Paramjit Brar"/>
    <x v="0"/>
    <s v="Samsung Galaxy S24"/>
    <x v="2"/>
    <x v="0"/>
    <s v="Mobile Phones"/>
    <n v="76860"/>
    <n v="1"/>
    <n v="76860"/>
    <n v="15"/>
    <x v="275"/>
    <n v="65331"/>
    <n v="18"/>
    <n v="11759.58"/>
    <n v="0"/>
    <n v="77090.58"/>
    <x v="3"/>
    <s v="Overnight"/>
    <x v="0"/>
    <x v="0"/>
    <s v="Pooja Nair"/>
    <s v="South"/>
    <s v="Jamshedpur"/>
    <s v="Jharkhand"/>
    <x v="1"/>
    <s v="111007"/>
    <s v="Flat500"/>
    <n v="4"/>
    <s v="No"/>
    <s v="other"/>
    <s v="WH-07"/>
    <s v="Delhivery"/>
    <d v="2023-12-14T00:00:00"/>
    <x v="192"/>
    <d v="2023-12-20T00:00:00"/>
    <s v="paramjitb@gmail_com"/>
    <s v="6481582686"/>
  </r>
  <r>
    <x v="380"/>
    <s v="Janaki Ramanathan"/>
    <x v="3"/>
    <s v="Peter England Suit"/>
    <x v="37"/>
    <x v="2"/>
    <s v="Clothing"/>
    <n v="9200"/>
    <n v="9"/>
    <n v="82800"/>
    <n v="0"/>
    <x v="2"/>
    <n v="82800"/>
    <n v="12"/>
    <n v="9936"/>
    <n v="0"/>
    <n v="92736"/>
    <x v="1"/>
    <s v="Same Day"/>
    <x v="3"/>
    <x v="1"/>
    <s v="Suraj Verma"/>
    <s v="East"/>
    <s v="Kozhikode"/>
    <s v="Kerala"/>
    <x v="2"/>
    <s v="578204"/>
    <s v="None"/>
    <n v="3"/>
    <s v="No"/>
    <s v="other"/>
    <s v="WH-07"/>
    <s v="Dtdc"/>
    <d v="2023-11-18T00:00:00"/>
    <x v="278"/>
    <d v="2023-11-30T00:00:00"/>
    <s v="janaki_ramanathan@gmail_com"/>
    <s v="7132041042"/>
  </r>
  <r>
    <x v="381"/>
    <s v="Seema Kapoor"/>
    <x v="0"/>
    <s v="Wildcraft Backpack"/>
    <x v="28"/>
    <x v="2"/>
    <s v="Bags"/>
    <n v="2070"/>
    <n v="1"/>
    <n v="2070"/>
    <n v="0"/>
    <x v="2"/>
    <n v="2070"/>
    <n v="12"/>
    <n v="248.4"/>
    <n v="79"/>
    <n v="2318.4"/>
    <x v="5"/>
    <s v="Economy"/>
    <x v="3"/>
    <x v="1"/>
    <s v="Deepa Menon"/>
    <s v="South"/>
    <s v="Vadodara"/>
    <s v="Gujarat"/>
    <x v="4"/>
    <s v="563190"/>
    <s v="Summer15"/>
    <n v="4"/>
    <s v="No"/>
    <s v="other"/>
    <s v="WH-08"/>
    <s v="Ekart"/>
    <d v="2023-04-09T00:00:00"/>
    <x v="196"/>
    <d v="2023-04-19T00:00:00"/>
    <s v="kapoor_seema@gmail_com"/>
    <s v="9050524383"/>
  </r>
  <r>
    <x v="382"/>
    <s v="Vishal Chaudhary"/>
    <x v="0"/>
    <s v="Titan Raga"/>
    <x v="26"/>
    <x v="2"/>
    <s v="Accessories"/>
    <n v="8570"/>
    <n v="7"/>
    <n v="59990"/>
    <n v="15"/>
    <x v="276"/>
    <n v="50991.5"/>
    <n v="12"/>
    <n v="6118.98"/>
    <n v="0"/>
    <n v="57110.479999999996"/>
    <x v="1"/>
    <s v="Standard"/>
    <x v="0"/>
    <x v="0"/>
    <s v="Vinay Joshi"/>
    <s v="Central"/>
    <s v="Jaipur"/>
    <s v="Rajasthan"/>
    <x v="0"/>
    <s v="176376"/>
    <s v="Diwali25"/>
    <n v="4"/>
    <s v="No"/>
    <s v="other"/>
    <s v="WH-06"/>
    <s v="Ekart"/>
    <d v="2024-05-28T00:00:00"/>
    <x v="279"/>
    <d v="2024-06-10T00:00:00"/>
    <s v="vishalc@yahoo_co_in"/>
    <s v="8368410132"/>
  </r>
  <r>
    <x v="383"/>
    <s v="Amit Kumar"/>
    <x v="0"/>
    <s v="Prestige Induction"/>
    <x v="29"/>
    <x v="1"/>
    <s v="Kitchen"/>
    <n v="3430"/>
    <n v="3"/>
    <n v="10290"/>
    <n v="10"/>
    <x v="277"/>
    <n v="9261"/>
    <n v="5"/>
    <n v="463.05"/>
    <n v="0"/>
    <n v="9724.0499999999993"/>
    <x v="6"/>
    <s v="Overnight"/>
    <x v="0"/>
    <x v="1"/>
    <s v="Karim Sheikh"/>
    <s v="North"/>
    <s v="Kozhikode"/>
    <s v="Kerala"/>
    <x v="2"/>
    <s v="289113"/>
    <s v="None"/>
    <n v="5"/>
    <s v="No"/>
    <s v="other"/>
    <s v="WH-06"/>
    <s v="Dtdc"/>
    <d v="2024-01-30T00:00:00"/>
    <x v="280"/>
    <d v="2024-02-02T00:00:00"/>
    <s v="amit_kumar@hotmail_com"/>
    <s v="7159698384"/>
  </r>
  <r>
    <x v="384"/>
    <s v="Ramesh Bose"/>
    <x v="1"/>
    <s v="Whirlpool 7Kg Washer"/>
    <x v="35"/>
    <x v="1"/>
    <s v="Washing Machines"/>
    <n v="31670"/>
    <n v="1"/>
    <n v="31670"/>
    <n v="10"/>
    <x v="278"/>
    <n v="28503"/>
    <n v="5"/>
    <n v="1425.15"/>
    <n v="0"/>
    <n v="29928.15"/>
    <x v="1"/>
    <s v="Same Day"/>
    <x v="2"/>
    <x v="4"/>
    <s v="Deepa Menon"/>
    <s v="South"/>
    <s v="Gaya"/>
    <s v="Bihar"/>
    <x v="1"/>
    <s v="426952"/>
    <s v="None"/>
    <n v="5"/>
    <s v="No"/>
    <s v="other"/>
    <s v="WH-08"/>
    <s v="Delhivery"/>
    <d v="2023-06-16T00:00:00"/>
    <x v="274"/>
    <d v="2023-06-26T00:00:00"/>
    <s v="bose_ramesh@gmail_com"/>
    <s v="6179967080"/>
  </r>
  <r>
    <x v="385"/>
    <s v="Smita Patil"/>
    <x v="0"/>
    <s v="Jbl Flip 6"/>
    <x v="27"/>
    <x v="0"/>
    <s v="Audio"/>
    <n v="9240"/>
    <n v="3"/>
    <n v="27720"/>
    <n v="0"/>
    <x v="2"/>
    <n v="27720"/>
    <n v="18"/>
    <n v="4989.6000000000004"/>
    <n v="0"/>
    <n v="32709.599999999999"/>
    <x v="6"/>
    <s v="Express"/>
    <x v="0"/>
    <x v="0"/>
    <s v="Aman Bhatia"/>
    <s v="West"/>
    <s v="Warangal"/>
    <s v="Telangana"/>
    <x v="2"/>
    <s v="677130"/>
    <s v="None"/>
    <n v="5"/>
    <s v="No"/>
    <s v="other"/>
    <s v="WH-10"/>
    <s v="Dtdc"/>
    <d v="2024-06-30T00:00:00"/>
    <x v="281"/>
    <d v="2024-07-09T00:00:00"/>
    <s v="smitap@gmail_com"/>
    <s v="7664890082"/>
  </r>
  <r>
    <x v="386"/>
    <s v="Girish More"/>
    <x v="1"/>
    <s v="Camlin Art Kit"/>
    <x v="34"/>
    <x v="3"/>
    <s v="Art Supplies"/>
    <n v="640"/>
    <n v="1"/>
    <n v="640"/>
    <n v="5"/>
    <x v="279"/>
    <n v="608"/>
    <n v="5"/>
    <n v="30.4"/>
    <n v="99"/>
    <n v="638.4"/>
    <x v="3"/>
    <s v="Overnight"/>
    <x v="0"/>
    <x v="4"/>
    <s v="Ritu Singh"/>
    <s v="Central"/>
    <s v="Hyderabad"/>
    <s v="Telangana"/>
    <x v="2"/>
    <s v="469603"/>
    <s v="None"/>
    <n v="5"/>
    <s v="No"/>
    <s v="other"/>
    <s v="WH-09"/>
    <s v="Amazon Logistics"/>
    <d v="2024-02-17T00:00:00"/>
    <x v="282"/>
    <d v="2024-02-25T00:00:00"/>
    <s v="girish_more@gmail_com"/>
    <s v="6187260013"/>
  </r>
  <r>
    <x v="387"/>
    <s v="Gita Pillai"/>
    <x v="0"/>
    <s v="Maggi Noodles 12-Pack"/>
    <x v="40"/>
    <x v="5"/>
    <s v="Instant Foods"/>
    <n v="190"/>
    <n v="1"/>
    <n v="190"/>
    <n v="15"/>
    <x v="280"/>
    <n v="161.5"/>
    <n v="5"/>
    <n v="8.07"/>
    <n v="79"/>
    <n v="169.57"/>
    <x v="0"/>
    <s v="Standard"/>
    <x v="4"/>
    <x v="0"/>
    <s v="Raj Kumar"/>
    <s v="North"/>
    <s v="Ghaziabad"/>
    <s v="Uttar Pradesh"/>
    <x v="0"/>
    <s v="284299"/>
    <s v="Save10"/>
    <n v="3"/>
    <s v="Yes"/>
    <s v="Defective"/>
    <s v="WH-01"/>
    <s v="Ekart"/>
    <d v="2023-11-28T00:00:00"/>
    <x v="283"/>
    <d v="2023-09-12T00:00:00"/>
    <s v="gita_pillai@hotmail_com"/>
    <s v="6764845593"/>
  </r>
  <r>
    <x v="388"/>
    <s v="Neha Saxena"/>
    <x v="0"/>
    <s v="Hp Pavilion 15"/>
    <x v="0"/>
    <x v="0"/>
    <s v="Laptops"/>
    <n v="58600"/>
    <n v="2"/>
    <n v="117200"/>
    <n v="15"/>
    <x v="281"/>
    <n v="99620"/>
    <n v="18"/>
    <n v="17931.599999999999"/>
    <n v="0"/>
    <n v="117551.6"/>
    <x v="6"/>
    <s v="Express"/>
    <x v="0"/>
    <x v="0"/>
    <s v="Aman Bhatia"/>
    <s v="West"/>
    <s v="Delhi"/>
    <s v="Delhi"/>
    <x v="0"/>
    <s v="493907"/>
    <s v="Diwali25"/>
    <n v="4"/>
    <s v="No"/>
    <s v="other"/>
    <s v="WH-06"/>
    <s v="Ekart"/>
    <d v="2024-04-28T00:00:00"/>
    <x v="284"/>
    <d v="2024-05-04T00:00:00"/>
    <s v="nehas@gmail_com"/>
    <s v="9251618575"/>
  </r>
  <r>
    <x v="389"/>
    <s v="Yeswanth  Reddy"/>
    <x v="0"/>
    <s v="Amul Butter 500G"/>
    <x v="38"/>
    <x v="5"/>
    <s v="Dairy"/>
    <n v="290"/>
    <n v="3"/>
    <n v="870"/>
    <n v="25"/>
    <x v="282"/>
    <n v="652.5"/>
    <n v="5"/>
    <n v="32.619999999999997"/>
    <n v="149"/>
    <n v="685.12"/>
    <x v="3"/>
    <s v="Overnight"/>
    <x v="0"/>
    <x v="4"/>
    <s v="Neha Kulkarni"/>
    <s v="West"/>
    <s v="Bhopal"/>
    <s v="Madhya Pradesh"/>
    <x v="3"/>
    <s v="238165"/>
    <s v="Save10"/>
    <n v="3"/>
    <s v="No"/>
    <s v="other"/>
    <s v="WH-05"/>
    <s v="Bluedart"/>
    <d v="2023-04-25T00:00:00"/>
    <x v="60"/>
    <d v="2023-05-11T00:00:00"/>
    <s v="yeswanth_reddy@yahoo_co_in"/>
    <s v="8338926087"/>
  </r>
  <r>
    <x v="390"/>
    <s v="Paramjit Brar"/>
    <x v="0"/>
    <s v="Realme Gt 5"/>
    <x v="25"/>
    <x v="0"/>
    <s v="Mobile Phones"/>
    <n v="27010"/>
    <n v="1"/>
    <n v="27010"/>
    <n v="5"/>
    <x v="283"/>
    <n v="25659.5"/>
    <n v="18"/>
    <n v="4618.71"/>
    <n v="0"/>
    <n v="30278.21"/>
    <x v="5"/>
    <s v="Economy"/>
    <x v="0"/>
    <x v="2"/>
    <s v="Deepa Menon"/>
    <s v="South"/>
    <s v="Noida"/>
    <s v="Uttar Pradesh"/>
    <x v="0"/>
    <s v="199113"/>
    <s v="Summer15"/>
    <n v="4"/>
    <s v="No"/>
    <s v="other"/>
    <s v="WH-07"/>
    <s v="Ekart"/>
    <d v="2023-04-20T00:00:00"/>
    <x v="225"/>
    <d v="2023-05-01T00:00:00"/>
    <s v="paramjitb@gmail_com"/>
    <s v="9466450999"/>
  </r>
  <r>
    <x v="391"/>
    <s v="Archana Srivastava"/>
    <x v="1"/>
    <s v="Daikin 1.5T Inverter"/>
    <x v="30"/>
    <x v="1"/>
    <s v="Air Conditioners"/>
    <n v="48950"/>
    <n v="5"/>
    <n v="244750"/>
    <n v="10"/>
    <x v="284"/>
    <n v="220275"/>
    <n v="5"/>
    <n v="11013.75"/>
    <n v="0"/>
    <n v="231288.75"/>
    <x v="6"/>
    <s v="Same Day"/>
    <x v="1"/>
    <x v="2"/>
    <s v="Aman Bhatia"/>
    <s v="West"/>
    <s v="Mysuru"/>
    <s v="Karnataka"/>
    <x v="2"/>
    <s v="195931"/>
    <s v="Summer15"/>
    <n v="4"/>
    <s v="No"/>
    <s v="other"/>
    <s v="WH-06"/>
    <s v="Ekart"/>
    <d v="2024-06-10T00:00:00"/>
    <x v="37"/>
    <d v="2024-06-27T00:00:00"/>
    <s v="asrivastava@gmail_com"/>
    <s v="6819022179"/>
  </r>
  <r>
    <x v="392"/>
    <s v="Chandni Gupta"/>
    <x v="3"/>
    <s v="Samsung 65-Inch Qled"/>
    <x v="2"/>
    <x v="0"/>
    <s v="Televisions"/>
    <n v="87850"/>
    <n v="1"/>
    <n v="87850"/>
    <n v="10"/>
    <x v="285"/>
    <n v="79065"/>
    <n v="18"/>
    <n v="14231.7"/>
    <n v="0"/>
    <n v="93296.7"/>
    <x v="5"/>
    <s v="Overnight"/>
    <x v="0"/>
    <x v="1"/>
    <s v="Sneha Reddy"/>
    <s v="South"/>
    <s v="Howrah"/>
    <s v="West Bengal"/>
    <x v="1"/>
    <s v="597252"/>
    <s v="Festive20"/>
    <n v="4"/>
    <s v="No"/>
    <s v="other"/>
    <s v="WH-01"/>
    <s v="Ekart"/>
    <d v="2024-06-19T00:00:00"/>
    <x v="285"/>
    <d v="2024-06-23T00:00:00"/>
    <s v="cgupta@gmail_com"/>
    <s v="7992177905"/>
  </r>
  <r>
    <x v="393"/>
    <s v="Vikram Mehta"/>
    <x v="0"/>
    <s v="Samsung Galaxy S24"/>
    <x v="2"/>
    <x v="0"/>
    <s v="Mobile Phones"/>
    <n v="71980"/>
    <n v="1"/>
    <n v="71980"/>
    <n v="20"/>
    <x v="286"/>
    <n v="57584"/>
    <n v="18"/>
    <n v="10365.120000000001"/>
    <n v="0"/>
    <n v="67949.119999999995"/>
    <x v="6"/>
    <s v="Economy"/>
    <x v="0"/>
    <x v="3"/>
    <s v="Aman Bhatia"/>
    <s v="West"/>
    <s v="Indore"/>
    <s v="Madhya Pradesh"/>
    <x v="3"/>
    <s v="475617"/>
    <s v="Summer15"/>
    <n v="4"/>
    <s v="No"/>
    <s v="other"/>
    <s v="WH-10"/>
    <s v="Bluedart"/>
    <d v="2023-05-05T00:00:00"/>
    <x v="246"/>
    <d v="2024-06-23T00:00:00"/>
    <s v="mehta_vikram@gmail_com"/>
    <s v="8181045024"/>
  </r>
  <r>
    <x v="394"/>
    <s v="Kavita Reddy"/>
    <x v="0"/>
    <s v="Parker Pen Set"/>
    <x v="36"/>
    <x v="3"/>
    <s v="Writing"/>
    <n v="900"/>
    <n v="10"/>
    <n v="9000"/>
    <n v="5"/>
    <x v="287"/>
    <n v="8550"/>
    <n v="5"/>
    <n v="427.5"/>
    <n v="0"/>
    <n v="8977.5"/>
    <x v="3"/>
    <s v="Economy"/>
    <x v="0"/>
    <x v="4"/>
    <s v="Pooja Nair"/>
    <s v="South"/>
    <s v="Mumbai"/>
    <s v="Maharashtra"/>
    <x v="4"/>
    <s v="196201"/>
    <s v="Festive20"/>
    <n v="4"/>
    <s v="No"/>
    <s v="other"/>
    <s v="WH-05"/>
    <s v="Delhivery"/>
    <d v="2023-12-08T00:00:00"/>
    <x v="286"/>
    <d v="2023-12-20T00:00:00"/>
    <s v="kreddy@gmail_com"/>
    <s v="8164369028"/>
  </r>
  <r>
    <x v="395"/>
    <s v="Chirag Desai"/>
    <x v="3"/>
    <s v="Dell Xps 15 Laptop"/>
    <x v="23"/>
    <x v="0"/>
    <s v="Laptops"/>
    <n v="127700"/>
    <n v="6"/>
    <n v="766200"/>
    <n v="0"/>
    <x v="2"/>
    <n v="766200"/>
    <n v="18"/>
    <n v="137916"/>
    <n v="0"/>
    <n v="904116"/>
    <x v="2"/>
    <s v="Same Day"/>
    <x v="2"/>
    <x v="1"/>
    <s v="Raj Kumar"/>
    <s v="North"/>
    <s v="Nagpur"/>
    <s v="Maharashtra"/>
    <x v="4"/>
    <s v="767139"/>
    <s v="Save10"/>
    <n v="4"/>
    <s v="No"/>
    <s v="other"/>
    <s v="WH-01"/>
    <s v="Dtdc"/>
    <d v="2023-12-08T00:00:00"/>
    <x v="161"/>
    <d v="2024-04-25T00:00:00"/>
    <s v="chirag_desai@gmail_com"/>
    <s v="8281444718"/>
  </r>
  <r>
    <x v="396"/>
    <s v="Chandni Gupta"/>
    <x v="0"/>
    <s v="Hp Laserjet 1020"/>
    <x v="0"/>
    <x v="0"/>
    <s v="Printers"/>
    <n v="12200"/>
    <n v="5"/>
    <n v="61000"/>
    <n v="20"/>
    <x v="288"/>
    <n v="48800"/>
    <n v="18"/>
    <n v="8784"/>
    <n v="0"/>
    <n v="57584"/>
    <x v="4"/>
    <s v="Same Day"/>
    <x v="0"/>
    <x v="0"/>
    <s v="Deepa Menon"/>
    <s v="South"/>
    <s v="Gaya"/>
    <s v="Bihar"/>
    <x v="1"/>
    <s v="373265"/>
    <s v="None"/>
    <n v="4"/>
    <s v="No"/>
    <s v="other"/>
    <s v="WH-12"/>
    <s v="Delhivery"/>
    <d v="2024-10-04T00:00:00"/>
    <x v="287"/>
    <d v="2024-04-25T00:00:00"/>
    <s v="gupta_chandni@gmail_com"/>
    <s v="9164034398"/>
  </r>
  <r>
    <x v="53"/>
    <s v="Girish More"/>
    <x v="1"/>
    <s v="Sony Wh-1000Xm5"/>
    <x v="1"/>
    <x v="0"/>
    <s v="Audio"/>
    <n v="29260"/>
    <n v="2"/>
    <n v="58520"/>
    <n v="15"/>
    <x v="289"/>
    <n v="49742"/>
    <n v="18"/>
    <n v="8953.56"/>
    <n v="0"/>
    <n v="58695.56"/>
    <x v="3"/>
    <s v="Standard"/>
    <x v="5"/>
    <x v="4"/>
    <s v="Vinay Joshi"/>
    <s v="Central"/>
    <s v="Kolkata"/>
    <s v="West Bengal"/>
    <x v="1"/>
    <s v="725915"/>
    <s v="Flat500"/>
    <n v="5"/>
    <s v="No"/>
    <s v="other"/>
    <s v="WH-09"/>
    <s v="Bluedart"/>
    <d v="2024-03-05T00:00:00"/>
    <x v="18"/>
    <d v="2024-03-10T00:00:00"/>
    <s v="gmore@gmail_com__"/>
    <s v="8794193245"/>
  </r>
  <r>
    <x v="397"/>
    <s v="Chirag Desai"/>
    <x v="0"/>
    <s v="Jbl Flip 6"/>
    <x v="27"/>
    <x v="0"/>
    <s v="Audio"/>
    <n v="9500"/>
    <n v="5"/>
    <n v="47500"/>
    <n v="0"/>
    <x v="2"/>
    <n v="47500"/>
    <n v="18"/>
    <n v="8550"/>
    <n v="0"/>
    <n v="56050"/>
    <x v="1"/>
    <s v="Express"/>
    <x v="3"/>
    <x v="4"/>
    <s v="Priya Sinha"/>
    <s v="West"/>
    <s v="Kanpur"/>
    <s v="Uttar Pradesh"/>
    <x v="0"/>
    <m/>
    <s v="None"/>
    <n v="4"/>
    <s v="No"/>
    <s v="other"/>
    <s v="WH-08"/>
    <s v="Bluedart"/>
    <d v="2024-01-18T00:00:00"/>
    <x v="288"/>
    <d v="2024-01-28T00:00:00"/>
    <s v="chirag_desai@gmail_com"/>
    <s v="8070286720"/>
  </r>
  <r>
    <x v="398"/>
    <s v="Gurpreet Kaur"/>
    <x v="2"/>
    <s v="Nikon D3500"/>
    <x v="3"/>
    <x v="0"/>
    <s v="Cameras"/>
    <n v="33260"/>
    <n v="2"/>
    <n v="66520"/>
    <n v="15"/>
    <x v="290"/>
    <n v="56542"/>
    <n v="18"/>
    <n v="10177.56"/>
    <n v="0"/>
    <n v="66719.56"/>
    <x v="0"/>
    <s v="Express"/>
    <x v="1"/>
    <x v="1"/>
    <s v="Arjun Das"/>
    <s v="East"/>
    <s v="Ghaziabad"/>
    <s v="Uttar Pradesh"/>
    <x v="0"/>
    <s v="248145"/>
    <s v="Festive20"/>
    <n v="4"/>
    <s v="No"/>
    <s v="other"/>
    <s v="WH-03"/>
    <s v="Delhivery"/>
    <d v="2023-01-13T00:00:00"/>
    <x v="289"/>
    <d v="2023-01-23T00:00:00"/>
    <s v="gurpreet_kaur@outlook_com"/>
    <s v="8104546171"/>
  </r>
  <r>
    <x v="399"/>
    <s v="Harish Malhotra"/>
    <x v="0"/>
    <s v="Tata Tea Premium 1Kg"/>
    <x v="17"/>
    <x v="5"/>
    <s v="Beverages"/>
    <n v="470"/>
    <n v="5"/>
    <n v="2350"/>
    <n v="5"/>
    <x v="291"/>
    <n v="2232.5"/>
    <n v="5"/>
    <n v="111.62"/>
    <n v="79"/>
    <n v="2344.12"/>
    <x v="2"/>
    <s v="Express"/>
    <x v="0"/>
    <x v="4"/>
    <s v="Priya Sinha"/>
    <s v="West"/>
    <s v="Gurugram"/>
    <s v="Haryana"/>
    <x v="0"/>
    <s v="409406"/>
    <s v="None"/>
    <n v="4"/>
    <s v="No"/>
    <s v="other"/>
    <s v="WH-09"/>
    <s v="Amazon Logistics"/>
    <d v="2023-01-18T00:00:00"/>
    <x v="92"/>
    <d v="2023-01-29T00:00:00"/>
    <s v="harish_malhotra@gmail_com"/>
    <s v="9802455985"/>
  </r>
  <r>
    <x v="400"/>
    <s v="Jayesh Vora"/>
    <x v="1"/>
    <s v="Van Heusen Shirt"/>
    <x v="42"/>
    <x v="2"/>
    <s v="Clothing"/>
    <n v="1470"/>
    <n v="1"/>
    <n v="1470"/>
    <n v="10"/>
    <x v="292"/>
    <n v="1323"/>
    <n v="12"/>
    <n v="158.76"/>
    <n v="99"/>
    <n v="1481.76"/>
    <x v="2"/>
    <s v="Overnight"/>
    <x v="0"/>
    <x v="4"/>
    <s v="Sneha Reddy"/>
    <s v="South"/>
    <s v="Surat"/>
    <s v="Gujarat"/>
    <x v="4"/>
    <s v="275382"/>
    <s v="None"/>
    <n v="5"/>
    <s v="No"/>
    <s v="other"/>
    <s v="WH-10"/>
    <s v="India Post"/>
    <d v="2023-05-10T00:00:00"/>
    <x v="244"/>
    <d v="2023-05-21T00:00:00"/>
    <s v="vora_jayesh@rediffmail_com"/>
    <s v="6164006983"/>
  </r>
  <r>
    <x v="401"/>
    <s v="Priya Patel"/>
    <x v="3"/>
    <s v="Samsung 65-Inch Qled"/>
    <x v="2"/>
    <x v="0"/>
    <s v="Televisions"/>
    <n v="100570"/>
    <n v="4"/>
    <n v="402280"/>
    <n v="5"/>
    <x v="293"/>
    <n v="382166"/>
    <n v="18"/>
    <n v="68789.88"/>
    <n v="0"/>
    <n v="450955.88"/>
    <x v="0"/>
    <s v="Express"/>
    <x v="0"/>
    <x v="1"/>
    <s v="Priya Sinha"/>
    <s v="West"/>
    <s v="Delhi"/>
    <s v="Delhi"/>
    <x v="0"/>
    <s v="588934"/>
    <s v="Save10"/>
    <n v="4"/>
    <s v="No"/>
    <s v="other"/>
    <s v="WH-10"/>
    <s v="Ekart"/>
    <d v="2023-07-24T00:00:00"/>
    <x v="290"/>
    <d v="2023-08-08T00:00:00"/>
    <s v="priya_patel@yahoo_co_in"/>
    <s v="7900889911"/>
  </r>
  <r>
    <x v="402"/>
    <s v="Parag Soni"/>
    <x v="1"/>
    <s v="Amul Butter 500G"/>
    <x v="38"/>
    <x v="5"/>
    <s v="Dairy"/>
    <n v="270"/>
    <n v="4"/>
    <n v="1080"/>
    <n v="25"/>
    <x v="294"/>
    <n v="810"/>
    <n v="5"/>
    <n v="40.5"/>
    <n v="49"/>
    <n v="850.5"/>
    <x v="4"/>
    <s v="Overnight"/>
    <x v="4"/>
    <x v="2"/>
    <s v="Ankit Sharma"/>
    <s v="North"/>
    <s v="Rajkot"/>
    <s v="Gujarat"/>
    <x v="4"/>
    <s v="382394"/>
    <s v="None"/>
    <n v="5"/>
    <s v="Yes"/>
    <s v="Defective"/>
    <s v="WH-02"/>
    <s v="Bluedart"/>
    <d v="2023-02-15T00:00:00"/>
    <x v="182"/>
    <d v="2023-08-08T00:00:00"/>
    <s v="soni_parag@gmail_com"/>
    <s v="9361137118"/>
  </r>
  <r>
    <x v="403"/>
    <s v="Chirag Desai"/>
    <x v="0"/>
    <s v="Samsung Galaxy S24"/>
    <x v="2"/>
    <x v="0"/>
    <s v="Mobile Phones"/>
    <n v="72280"/>
    <n v="7"/>
    <n v="505960"/>
    <n v="5"/>
    <x v="295"/>
    <n v="480662"/>
    <n v="18"/>
    <n v="86519.16"/>
    <n v="0"/>
    <n v="567181.16"/>
    <x v="1"/>
    <s v="Standard"/>
    <x v="0"/>
    <x v="1"/>
    <s v="Arjun Das"/>
    <s v="East"/>
    <s v="Kochi"/>
    <s v="Kerala"/>
    <x v="2"/>
    <s v="277531"/>
    <s v="Save10"/>
    <n v="4"/>
    <s v="No"/>
    <s v="other"/>
    <s v="WH-04"/>
    <s v="Bluedart"/>
    <d v="2024-01-20T00:00:00"/>
    <x v="182"/>
    <d v="2024-01-31T00:00:00"/>
    <s v="chirag_desai@gmail_com"/>
    <s v="82387 94026"/>
  </r>
  <r>
    <x v="404"/>
    <s v="Sanjay Mishra"/>
    <x v="0"/>
    <s v="Godrej Interio Desk"/>
    <x v="14"/>
    <x v="4"/>
    <s v="Desks"/>
    <n v="17770"/>
    <n v="1"/>
    <n v="17770"/>
    <n v="0"/>
    <x v="2"/>
    <n v="17770"/>
    <n v="5"/>
    <n v="888.5"/>
    <n v="0"/>
    <n v="18658.5"/>
    <x v="1"/>
    <s v="Same Day"/>
    <x v="0"/>
    <x v="3"/>
    <s v="Ritu Singh"/>
    <s v="Central"/>
    <s v="Noida"/>
    <s v="Uttar Pradesh"/>
    <x v="0"/>
    <m/>
    <s v="None"/>
    <n v="4"/>
    <s v="No"/>
    <s v="other"/>
    <s v="WH-05"/>
    <s v="Amazon Logistics"/>
    <d v="2023-05-23T00:00:00"/>
    <x v="201"/>
    <d v="2024-01-31T00:00:00"/>
    <s v="sanjaym@gmail_com"/>
    <s v="8660012838"/>
  </r>
  <r>
    <x v="405"/>
    <s v="Gurpreet Kaur"/>
    <x v="0"/>
    <s v="Amul Butter 500G"/>
    <x v="38"/>
    <x v="5"/>
    <s v="Dairy"/>
    <n v="300"/>
    <n v="4"/>
    <n v="1200"/>
    <n v="5"/>
    <x v="149"/>
    <n v="1140"/>
    <n v="5"/>
    <n v="57"/>
    <n v="79"/>
    <n v="1197"/>
    <x v="5"/>
    <s v="Economy"/>
    <x v="4"/>
    <x v="4"/>
    <s v="Sneha Reddy"/>
    <s v="South"/>
    <s v="Vijayawada"/>
    <s v="Andhra Pradesh"/>
    <x v="2"/>
    <s v="521026"/>
    <s v="None"/>
    <n v="2"/>
    <s v="Yes"/>
    <s v="other"/>
    <s v="WH-06"/>
    <s v="Amazon Logistics"/>
    <d v="2023-11-29T00:00:00"/>
    <x v="201"/>
    <d v="2023-12-07T00:00:00"/>
    <s v="gurpreet_kaur@outlook_com"/>
    <s v="6472435861"/>
  </r>
  <r>
    <x v="406"/>
    <s v="Jayalakshmi Kumar"/>
    <x v="0"/>
    <s v="Nike Air Max 270"/>
    <x v="21"/>
    <x v="2"/>
    <s v="Footwear"/>
    <n v="11280"/>
    <n v="5"/>
    <n v="56400"/>
    <n v="10"/>
    <x v="296"/>
    <n v="50760"/>
    <n v="12"/>
    <n v="6091.2"/>
    <n v="0"/>
    <n v="56851.199999999997"/>
    <x v="3"/>
    <s v="Standard"/>
    <x v="1"/>
    <x v="1"/>
    <s v="Vinay Joshi"/>
    <s v="Central"/>
    <s v="Kolkata"/>
    <s v="West Bengal"/>
    <x v="1"/>
    <s v="399840"/>
    <s v="None"/>
    <n v="5"/>
    <s v="No"/>
    <s v="other"/>
    <s v="WH-11"/>
    <s v="Ekart"/>
    <d v="2023-10-04T00:00:00"/>
    <x v="291"/>
    <d v="2023-10-17T00:00:00"/>
    <s v="jayalakshmik@gmail_com"/>
    <s v="9434046682"/>
  </r>
  <r>
    <x v="407"/>
    <s v="Nagalakshmi Venkatesh"/>
    <x v="0"/>
    <s v="Parker Pen Set"/>
    <x v="36"/>
    <x v="3"/>
    <s v="Writing"/>
    <n v="820"/>
    <n v="1"/>
    <n v="820"/>
    <n v="20"/>
    <x v="297"/>
    <n v="656"/>
    <n v="5"/>
    <n v="32.799999999999997"/>
    <n v="149"/>
    <n v="688.8"/>
    <x v="0"/>
    <s v="Same Day"/>
    <x v="0"/>
    <x v="0"/>
    <s v="Karim Sheikh"/>
    <s v="North"/>
    <s v="Gaya"/>
    <s v="Bihar"/>
    <x v="1"/>
    <s v="663536"/>
    <s v="Newuser"/>
    <n v="4"/>
    <s v="No"/>
    <s v="other"/>
    <s v="WH-04"/>
    <s v="Bluedart"/>
    <d v="2023-07-20T00:00:00"/>
    <x v="292"/>
    <d v="2023-08-04T00:00:00"/>
    <s v="nagalakshmi_venkatesh@yahoo_com"/>
    <s v="8640511021"/>
  </r>
  <r>
    <x v="408"/>
    <s v="Kannappan Ponnusamy"/>
    <x v="1"/>
    <s v="Van Heusen Shirt"/>
    <x v="42"/>
    <x v="2"/>
    <s v="Clothing"/>
    <n v="1500"/>
    <n v="4"/>
    <n v="6000"/>
    <n v="5"/>
    <x v="167"/>
    <n v="5700"/>
    <n v="12"/>
    <n v="684"/>
    <n v="0"/>
    <n v="6384"/>
    <x v="6"/>
    <s v="Overnight"/>
    <x v="2"/>
    <x v="1"/>
    <s v="Anjali Mehta"/>
    <s v="South"/>
    <s v="Hyderabad"/>
    <s v="Telangana"/>
    <x v="2"/>
    <s v="492373"/>
    <s v="Festive20"/>
    <n v="4"/>
    <s v="No"/>
    <s v="other"/>
    <s v="WH-11"/>
    <s v="Delhivery"/>
    <d v="2023-03-01T00:00:00"/>
    <x v="293"/>
    <d v="2023-03-07T00:00:00"/>
    <s v="kannappan_ponnusamy@gmail_com"/>
    <s v="7197860162"/>
  </r>
  <r>
    <x v="409"/>
    <s v="Smita Patil"/>
    <x v="3"/>
    <s v="Canon Eos 200D"/>
    <x v="7"/>
    <x v="0"/>
    <s v="Cameras"/>
    <n v="52480"/>
    <n v="8"/>
    <n v="419840"/>
    <n v="10"/>
    <x v="298"/>
    <n v="377856"/>
    <n v="18"/>
    <n v="68014.080000000002"/>
    <n v="0"/>
    <n v="445870.08000000002"/>
    <x v="6"/>
    <s v="Standard"/>
    <x v="3"/>
    <x v="2"/>
    <s v="Deepa Menon"/>
    <s v="South"/>
    <s v="Coimbatore"/>
    <s v="Tamil Nadu"/>
    <x v="2"/>
    <s v="410728"/>
    <s v="Summer15"/>
    <n v="5"/>
    <s v="No"/>
    <s v="other"/>
    <s v="WH-11"/>
    <s v="Ekart"/>
    <d v="2023-06-19T00:00:00"/>
    <x v="294"/>
    <d v="2023-06-28T00:00:00"/>
    <s v="smita_patil@gmail_com"/>
    <s v="7197223996"/>
  </r>
  <r>
    <x v="410"/>
    <s v="Varsha Shinde"/>
    <x v="3"/>
    <s v="Adidas Ultraboost 22"/>
    <x v="18"/>
    <x v="2"/>
    <s v="Footwear"/>
    <n v="14670"/>
    <n v="1"/>
    <n v="14670"/>
    <n v="0"/>
    <x v="2"/>
    <n v="14670"/>
    <n v="12"/>
    <n v="1760.4"/>
    <n v="0"/>
    <n v="16430.400000000001"/>
    <x v="0"/>
    <s v="Express"/>
    <x v="3"/>
    <x v="1"/>
    <s v="Anjali Mehta"/>
    <s v="South"/>
    <s v="Kolkata"/>
    <s v="West Bengal"/>
    <x v="1"/>
    <s v="120115"/>
    <s v="None"/>
    <n v="4"/>
    <s v="No"/>
    <s v="other"/>
    <s v="WH-06"/>
    <s v="Delhivery"/>
    <d v="2023-01-16T00:00:00"/>
    <x v="14"/>
    <d v="2023-01-24T00:00:00"/>
    <s v="varsha_shinde@yahoo_co_in"/>
    <s v="7067516913"/>
  </r>
  <r>
    <x v="411"/>
    <s v="Arjun Nair"/>
    <x v="0"/>
    <s v="Maggi Noodles 12-Pack"/>
    <x v="40"/>
    <x v="5"/>
    <s v="Instant Foods"/>
    <n v="180"/>
    <n v="4"/>
    <n v="720"/>
    <n v="20"/>
    <x v="299"/>
    <n v="576"/>
    <n v="5"/>
    <n v="28.8"/>
    <n v="79"/>
    <n v="604.79999999999995"/>
    <x v="4"/>
    <s v="Same Day"/>
    <x v="0"/>
    <x v="0"/>
    <s v="Ritu Singh"/>
    <s v="Central"/>
    <s v="Bengaluru"/>
    <s v="Karnataka"/>
    <x v="2"/>
    <s v="234248"/>
    <s v="Festive20"/>
    <n v="4"/>
    <s v="No"/>
    <s v="other"/>
    <s v="WH-05"/>
    <s v="Amazon Logistics"/>
    <d v="2023-06-10T00:00:00"/>
    <x v="254"/>
    <d v="2023-06-18T00:00:00"/>
    <s v="arjun_nair@gmail_com"/>
    <s v="6021516758"/>
  </r>
  <r>
    <x v="412"/>
    <s v="Ravi Shankar"/>
    <x v="0"/>
    <s v="Levi'S 511 Jeans"/>
    <x v="10"/>
    <x v="2"/>
    <s v="Clothing"/>
    <n v="3120"/>
    <n v="1"/>
    <n v="3120"/>
    <n v="15"/>
    <x v="300"/>
    <n v="2652"/>
    <n v="12"/>
    <n v="318.24"/>
    <n v="49"/>
    <n v="2970.24"/>
    <x v="4"/>
    <s v="Standard"/>
    <x v="0"/>
    <x v="2"/>
    <s v="Vinay Joshi"/>
    <s v="Central"/>
    <s v="Kolkata"/>
    <s v="West Bengal"/>
    <x v="1"/>
    <s v="323464"/>
    <s v="None"/>
    <n v="3"/>
    <s v="No"/>
    <s v="other"/>
    <s v="WH-09"/>
    <s v="Bluedart"/>
    <d v="2024-03-10T00:00:00"/>
    <x v="118"/>
    <d v="2024-03-20T00:00:00"/>
    <s v="rshankar@gmail_com"/>
    <s v="7609723602"/>
  </r>
  <r>
    <x v="413"/>
    <s v="Bhavesh Patel"/>
    <x v="0"/>
    <s v="Pepperfry Coffee Table"/>
    <x v="20"/>
    <x v="4"/>
    <s v="Tables"/>
    <n v="11630"/>
    <n v="2"/>
    <n v="23260"/>
    <n v="0"/>
    <x v="2"/>
    <n v="23260"/>
    <n v="5"/>
    <n v="1163"/>
    <n v="0"/>
    <n v="24423"/>
    <x v="0"/>
    <s v="Economy"/>
    <x v="0"/>
    <x v="3"/>
    <s v="Deepa Menon"/>
    <s v="South"/>
    <s v="Kozhikode"/>
    <s v="Kerala"/>
    <x v="2"/>
    <s v="328362"/>
    <s v="Festive20"/>
    <n v="5"/>
    <s v="No"/>
    <s v="other"/>
    <s v="WH-07"/>
    <s v="Bluedart"/>
    <d v="2023-08-24T00:00:00"/>
    <x v="295"/>
    <d v="2023-08-30T00:00:00"/>
    <s v="patel_bhavesh@yahoo_com"/>
    <s v="9686272884"/>
  </r>
  <r>
    <x v="414"/>
    <s v="Balwinder Sandhu"/>
    <x v="1"/>
    <s v="Puma Softride"/>
    <x v="31"/>
    <x v="2"/>
    <s v="Footwear"/>
    <n v="5350"/>
    <n v="3"/>
    <n v="16050"/>
    <n v="25"/>
    <x v="301"/>
    <n v="12037.5"/>
    <n v="12"/>
    <n v="1444.5"/>
    <n v="0"/>
    <n v="13482"/>
    <x v="0"/>
    <s v="Express"/>
    <x v="1"/>
    <x v="1"/>
    <s v="Anjali Mehta"/>
    <s v="South"/>
    <s v="Patna"/>
    <s v="Bihar"/>
    <x v="1"/>
    <s v="190714"/>
    <s v="Diwali25"/>
    <n v="5"/>
    <s v="No"/>
    <s v="other"/>
    <s v="WH-01"/>
    <s v="Delhivery"/>
    <d v="2024-02-21T00:00:00"/>
    <x v="51"/>
    <d v="2023-08-30T00:00:00"/>
    <s v="sandhu_balwinder@gmail_com"/>
    <s v="9396159764"/>
  </r>
  <r>
    <x v="415"/>
    <s v="Hina Shah"/>
    <x v="3"/>
    <s v="Amul Butter 500G"/>
    <x v="38"/>
    <x v="5"/>
    <s v="Dairy"/>
    <n v="290"/>
    <n v="3"/>
    <n v="870"/>
    <n v="5"/>
    <x v="302"/>
    <n v="275.5"/>
    <n v="5"/>
    <n v="13.78"/>
    <n v="49"/>
    <n v="289.27999999999997"/>
    <x v="4"/>
    <s v="Economy"/>
    <x v="2"/>
    <x v="3"/>
    <s v="Karim Sheikh"/>
    <s v="North"/>
    <s v="Ghaziabad"/>
    <s v="Uttar Pradesh"/>
    <x v="0"/>
    <s v="706262"/>
    <s v="None"/>
    <n v="5"/>
    <s v="No"/>
    <s v="other"/>
    <s v="WH-01"/>
    <s v="Delhivery"/>
    <d v="2023-07-31T00:00:00"/>
    <x v="257"/>
    <d v="2023-08-04T00:00:00"/>
    <s v="hshah@yahoo_com"/>
    <s v="9514486983"/>
  </r>
  <r>
    <x v="416"/>
    <s v="Neha Saxena"/>
    <x v="3"/>
    <s v="Kurl-On King Bed"/>
    <x v="15"/>
    <x v="4"/>
    <s v="Beds"/>
    <n v="58240"/>
    <n v="3"/>
    <n v="174720"/>
    <n v="5"/>
    <x v="303"/>
    <n v="165984"/>
    <n v="5"/>
    <n v="8299.2000000000007"/>
    <n v="0"/>
    <n v="174283.2"/>
    <x v="4"/>
    <s v="Standard"/>
    <x v="3"/>
    <x v="4"/>
    <s v="Neha Kulkarni"/>
    <s v="West"/>
    <s v="Warangal"/>
    <s v="Telangana"/>
    <x v="2"/>
    <s v="527018"/>
    <s v="Festive20"/>
    <n v="3"/>
    <s v="No"/>
    <s v="other"/>
    <s v="WH-06"/>
    <s v="Delhivery"/>
    <d v="2024-05-22T00:00:00"/>
    <x v="296"/>
    <d v="2024-06-01T00:00:00"/>
    <s v="neha_saxena@gmail_com"/>
    <s v="8326724469"/>
  </r>
  <r>
    <x v="417"/>
    <s v="Yeswanth Reddy"/>
    <x v="0"/>
    <s v="Godrej Interio Desk"/>
    <x v="14"/>
    <x v="4"/>
    <s v="Desks"/>
    <n v="17890"/>
    <n v="1"/>
    <n v="17890"/>
    <n v="0"/>
    <x v="2"/>
    <n v="17890"/>
    <n v="5"/>
    <n v="894.5"/>
    <n v="0"/>
    <n v="18784.5"/>
    <x v="0"/>
    <s v="Overnight"/>
    <x v="2"/>
    <x v="1"/>
    <s v="Arjun Das"/>
    <s v="East"/>
    <s v="Asansol"/>
    <s v="West Bengal"/>
    <x v="1"/>
    <s v="549035"/>
    <s v="Summer15"/>
    <n v="5"/>
    <s v="No"/>
    <s v="other"/>
    <s v="WH-06"/>
    <s v="Ekart"/>
    <d v="2023-04-22T00:00:00"/>
    <x v="297"/>
    <d v="2024-06-01T00:00:00"/>
    <s v="reddy_yeswanth@yahoo_co_in"/>
    <s v="7266765272"/>
  </r>
  <r>
    <x v="418"/>
    <s v="Anita Bhatt"/>
    <x v="0"/>
    <s v="Wildcraft Backpack"/>
    <x v="28"/>
    <x v="2"/>
    <s v="Bags"/>
    <n v="2090"/>
    <n v="7"/>
    <n v="14630"/>
    <n v="20"/>
    <x v="304"/>
    <n v="11704"/>
    <n v="12"/>
    <n v="1404.48"/>
    <n v="0"/>
    <n v="13108.48"/>
    <x v="0"/>
    <s v="Overnight"/>
    <x v="3"/>
    <x v="1"/>
    <s v="Ankit Sharma"/>
    <s v="North"/>
    <s v="Lucknow"/>
    <s v="Uttar Pradesh"/>
    <x v="0"/>
    <s v="691314"/>
    <s v="Newuser"/>
    <n v="1"/>
    <s v="No"/>
    <s v="other"/>
    <s v="WH-05"/>
    <s v="Ekart"/>
    <d v="2023-02-17T00:00:00"/>
    <x v="182"/>
    <d v="2023-02-23T00:00:00"/>
    <s v="anitab@outlook_com"/>
    <s v="7023510255"/>
  </r>
  <r>
    <x v="419"/>
    <s v="Sangita Ghosh"/>
    <x v="0"/>
    <s v="Sony Wh-1000Xm5"/>
    <x v="1"/>
    <x v="0"/>
    <s v="Audio"/>
    <n v="31490"/>
    <n v="1"/>
    <n v="31490"/>
    <n v="0"/>
    <x v="2"/>
    <n v="31490"/>
    <n v="18"/>
    <n v="5668.2"/>
    <n v="0"/>
    <n v="37158.199999999997"/>
    <x v="1"/>
    <s v="Overnight"/>
    <x v="1"/>
    <x v="4"/>
    <s v="Neha Kulkarni"/>
    <s v="West"/>
    <s v="Lucknow"/>
    <s v="Uttar Pradesh"/>
    <x v="0"/>
    <s v="207420"/>
    <s v="Festive20"/>
    <n v="4"/>
    <s v="Yes"/>
    <s v="other"/>
    <s v="WH-06"/>
    <s v="Dtdc"/>
    <d v="2023-09-10T00:00:00"/>
    <x v="247"/>
    <d v="2023-09-18T00:00:00"/>
    <s v="sangita_ghosh@gmail_com"/>
    <s v="8659992012"/>
  </r>
  <r>
    <x v="420"/>
    <s v="Kiran Rao"/>
    <x v="0"/>
    <s v="Boat Rockerz 450"/>
    <x v="8"/>
    <x v="0"/>
    <s v="Audio"/>
    <n v="1550"/>
    <n v="2"/>
    <n v="3100"/>
    <n v="0"/>
    <x v="2"/>
    <n v="3100"/>
    <n v="18"/>
    <n v="558"/>
    <n v="149"/>
    <n v="3658"/>
    <x v="3"/>
    <s v="Economy"/>
    <x v="3"/>
    <x v="3"/>
    <s v="Karim Sheikh"/>
    <s v="South"/>
    <s v="Warangal"/>
    <s v="Telangana"/>
    <x v="2"/>
    <s v="256354"/>
    <s v="Summer15"/>
    <n v="4"/>
    <s v="No"/>
    <s v="other"/>
    <s v="WH-11"/>
    <s v="Delhivery"/>
    <d v="2023-03-19T00:00:00"/>
    <x v="298"/>
    <d v="2023-03-30T00:00:00"/>
    <s v="kiran_rao@gmail_com"/>
    <s v="7173009928"/>
  </r>
  <r>
    <x v="421"/>
    <s v="Harpreet Singh"/>
    <x v="3"/>
    <s v="Lavie Handbag"/>
    <x v="12"/>
    <x v="2"/>
    <s v="Bags"/>
    <n v="2890"/>
    <n v="1"/>
    <n v="2890"/>
    <n v="0"/>
    <x v="2"/>
    <n v="2890"/>
    <n v="12"/>
    <n v="346.8"/>
    <n v="79"/>
    <n v="3236.8"/>
    <x v="2"/>
    <s v="Overnight"/>
    <x v="0"/>
    <x v="0"/>
    <s v="Pooja Nair"/>
    <s v="South"/>
    <s v="Thiruvananthapuram"/>
    <s v="Kerala"/>
    <x v="2"/>
    <s v="679274"/>
    <s v="Flat500"/>
    <n v="4"/>
    <s v="No"/>
    <s v="other"/>
    <s v="WH-07"/>
    <s v="Delhivery"/>
    <d v="2023-05-24T00:00:00"/>
    <x v="20"/>
    <d v="2023-06-05T00:00:00"/>
    <s v="singh_harpreet@gmail_com"/>
    <s v="8487706769"/>
  </r>
  <r>
    <x v="422"/>
    <s v="Janaki Ramanathan"/>
    <x v="0"/>
    <s v="Van Heusen Shirt"/>
    <x v="42"/>
    <x v="2"/>
    <s v="Clothing"/>
    <n v="1720"/>
    <n v="3"/>
    <n v="5160"/>
    <n v="5"/>
    <x v="305"/>
    <n v="4902"/>
    <n v="12"/>
    <n v="588.24"/>
    <n v="0"/>
    <n v="5490.24"/>
    <x v="4"/>
    <s v="Economy"/>
    <x v="0"/>
    <x v="4"/>
    <s v="Aman Bhatia"/>
    <s v="West"/>
    <s v="Madurai"/>
    <s v="Tamil Nadu"/>
    <x v="2"/>
    <s v="541164"/>
    <s v="None"/>
    <n v="5"/>
    <s v="No"/>
    <s v="other"/>
    <s v="WH-05"/>
    <s v="Amazon Logistics"/>
    <d v="2024-06-23T00:00:00"/>
    <x v="43"/>
    <d v="2024-07-03T00:00:00"/>
    <s v="janakir@gmail_com"/>
    <s v="8551962822"/>
  </r>
  <r>
    <x v="423"/>
    <s v="Rekha Menon"/>
    <x v="0"/>
    <s v="Epson L3250"/>
    <x v="39"/>
    <x v="0"/>
    <s v="Printers"/>
    <n v="16400"/>
    <n v="3"/>
    <n v="49200"/>
    <n v="5"/>
    <x v="306"/>
    <n v="46740"/>
    <n v="18"/>
    <n v="8413.2000000000007"/>
    <n v="0"/>
    <n v="55153.2"/>
    <x v="5"/>
    <s v="Standard"/>
    <x v="3"/>
    <x v="4"/>
    <s v="Ankit Sharma"/>
    <s v="North"/>
    <s v="Bhubaneswar"/>
    <s v="Odisha"/>
    <x v="1"/>
    <s v="159050"/>
    <s v="None"/>
    <n v="3"/>
    <s v="No"/>
    <s v="other"/>
    <s v="WH-01"/>
    <s v="Amazon Logistics"/>
    <d v="2023-06-29T00:00:00"/>
    <x v="299"/>
    <d v="2023-07-06T00:00:00"/>
    <s v="rmenon@yahoo_co_in"/>
    <s v="9174003910"/>
  </r>
  <r>
    <x v="424"/>
    <s v="Rohit Singh"/>
    <x v="0"/>
    <s v="Lg 8Kg Front Load"/>
    <x v="33"/>
    <x v="1"/>
    <s v="Washing Machines"/>
    <n v="51650"/>
    <n v="1"/>
    <n v="51650"/>
    <n v="20"/>
    <x v="307"/>
    <n v="41320"/>
    <n v="5"/>
    <n v="2066"/>
    <n v="0"/>
    <n v="43386"/>
    <x v="0"/>
    <s v="Overnight"/>
    <x v="0"/>
    <x v="3"/>
    <s v="Neha Kulkarni"/>
    <s v="West"/>
    <s v="Warangal"/>
    <s v="Telangana"/>
    <x v="2"/>
    <s v="517227"/>
    <s v="Save10"/>
    <n v="4"/>
    <s v="No"/>
    <s v="other"/>
    <s v="WH-08"/>
    <s v="India Post"/>
    <d v="2024-02-14T00:00:00"/>
    <x v="300"/>
    <d v="2024-02-23T00:00:00"/>
    <s v="rohit_singh@outlook_com"/>
    <s v="9133610944"/>
  </r>
  <r>
    <x v="425"/>
    <s v="Rohit Singh"/>
    <x v="0"/>
    <s v="Milton Water Purifier"/>
    <x v="22"/>
    <x v="1"/>
    <s v="Kitchen"/>
    <n v="10510"/>
    <n v="10"/>
    <n v="105100"/>
    <n v="20"/>
    <x v="308"/>
    <n v="84080"/>
    <n v="5"/>
    <n v="4204"/>
    <n v="0"/>
    <n v="88284"/>
    <x v="5"/>
    <s v="Same Day"/>
    <x v="2"/>
    <x v="3"/>
    <s v="Suraj Verma"/>
    <s v="East"/>
    <s v="Vadodara"/>
    <s v="Gujarat"/>
    <x v="4"/>
    <s v="486372"/>
    <s v="Festive20"/>
    <n v="4"/>
    <s v="No"/>
    <s v="other"/>
    <s v="WH-09"/>
    <s v="Bluedart"/>
    <d v="2023-09-15T00:00:00"/>
    <x v="75"/>
    <d v="2023-09-26T00:00:00"/>
    <s v="rohits@outlook_com"/>
    <s v="9024837444"/>
  </r>
  <r>
    <x v="426"/>
    <s v="Farhan Khan"/>
    <x v="0"/>
    <s v="Bajaj Mixer 750W"/>
    <x v="5"/>
    <x v="1"/>
    <s v="Kitchen"/>
    <n v="2900"/>
    <n v="3"/>
    <n v="8700"/>
    <n v="0"/>
    <x v="2"/>
    <n v="8700"/>
    <n v="5"/>
    <n v="435"/>
    <n v="0"/>
    <n v="9135"/>
    <x v="2"/>
    <s v="Overnight"/>
    <x v="1"/>
    <x v="3"/>
    <s v="Ankit Sharma"/>
    <s v="North"/>
    <s v="Asansol"/>
    <s v="West Bengal"/>
    <x v="1"/>
    <s v="589238"/>
    <s v="Flat500"/>
    <n v="4"/>
    <s v="No"/>
    <s v="other"/>
    <s v="WH-12"/>
    <s v="Bluedart"/>
    <d v="2023-02-12T00:00:00"/>
    <x v="94"/>
    <d v="2023-02-24T00:00:00"/>
    <s v="farhan_khan@gmail_com"/>
    <s v="9599009378"/>
  </r>
  <r>
    <x v="427"/>
    <s v="Girish More"/>
    <x v="0"/>
    <s v="Bajaj Mixer 750W"/>
    <x v="5"/>
    <x v="1"/>
    <s v="Kitchen"/>
    <n v="2990"/>
    <n v="2"/>
    <n v="5980"/>
    <n v="20"/>
    <x v="309"/>
    <n v="4784"/>
    <n v="5"/>
    <n v="239.2"/>
    <n v="0"/>
    <n v="5023.2"/>
    <x v="3"/>
    <s v="Same Day"/>
    <x v="2"/>
    <x v="1"/>
    <s v="Sneha Reddy"/>
    <s v="South"/>
    <s v="Bengaluru"/>
    <s v="Karnataka"/>
    <x v="2"/>
    <s v="138364"/>
    <s v="None"/>
    <n v="3"/>
    <s v="No"/>
    <s v="other"/>
    <s v="WH-11"/>
    <s v="Bluedart"/>
    <d v="2024-04-23T00:00:00"/>
    <x v="301"/>
    <d v="2024-05-03T00:00:00"/>
    <s v="girishm@gmail_com"/>
    <s v="7084507860"/>
  </r>
  <r>
    <x v="428"/>
    <s v="Kunal Oberoi"/>
    <x v="3"/>
    <s v="Classmate Notebook"/>
    <x v="9"/>
    <x v="3"/>
    <s v="Books"/>
    <n v="120"/>
    <n v="7"/>
    <n v="840"/>
    <n v="10"/>
    <x v="310"/>
    <n v="756"/>
    <n v="5"/>
    <n v="37.799999999999997"/>
    <n v="99"/>
    <n v="793.8"/>
    <x v="6"/>
    <s v="Standard"/>
    <x v="2"/>
    <x v="0"/>
    <s v="Deepa Menon"/>
    <s v="South"/>
    <s v="Faridabad"/>
    <s v="Haryana"/>
    <x v="0"/>
    <s v="385107"/>
    <s v="None"/>
    <n v="4"/>
    <s v="No"/>
    <s v="other"/>
    <s v="WH-09"/>
    <s v="Bluedart"/>
    <d v="2023-05-19T00:00:00"/>
    <x v="302"/>
    <d v="2023-05-25T00:00:00"/>
    <s v="kunal_oberoi@gmail_com"/>
    <s v="69634 28987"/>
  </r>
  <r>
    <x v="429"/>
    <s v="Venugopal Krishnan"/>
    <x v="0"/>
    <s v="Nike Air Max 270"/>
    <x v="21"/>
    <x v="2"/>
    <s v="Footwear"/>
    <n v="29347.846790890268"/>
    <n v="5"/>
    <n v="146739.23395445134"/>
    <n v="0"/>
    <x v="2"/>
    <n v="54100"/>
    <n v="12"/>
    <n v="6492"/>
    <n v="0"/>
    <n v="60592"/>
    <x v="1"/>
    <s v="Standard"/>
    <x v="4"/>
    <x v="2"/>
    <s v="Sneha Reddy"/>
    <s v="South"/>
    <s v="Pune"/>
    <s v="Maharashtra"/>
    <x v="4"/>
    <s v="730085"/>
    <s v="Flat500"/>
    <n v="5"/>
    <s v="Yes"/>
    <s v="Late Delivery"/>
    <s v="WH-02"/>
    <s v="Ekart"/>
    <d v="2024-02-05T00:00:00"/>
    <x v="303"/>
    <d v="2024-02-11T00:00:00"/>
    <s v="venugopal_krishnan@gmail_com"/>
    <s v="8827182653"/>
  </r>
  <r>
    <x v="430"/>
    <s v="Dinesh Thakur"/>
    <x v="3"/>
    <s v="Kurl-On King Bed"/>
    <x v="15"/>
    <x v="4"/>
    <s v="Beds"/>
    <n v="59210"/>
    <n v="3"/>
    <n v="177630"/>
    <n v="5"/>
    <x v="311"/>
    <n v="168748.5"/>
    <n v="5"/>
    <n v="8437.42"/>
    <n v="0"/>
    <n v="177185.92000000001"/>
    <x v="6"/>
    <s v="Express"/>
    <x v="5"/>
    <x v="1"/>
    <s v="Ankit Sharma"/>
    <s v="North"/>
    <s v="Ranchi"/>
    <s v="Jharkhand"/>
    <x v="1"/>
    <s v="164322"/>
    <s v="None"/>
    <n v="3"/>
    <s v="No"/>
    <s v="other"/>
    <s v="WH-11"/>
    <s v="Amazon Logistics"/>
    <d v="2023-01-20T00:00:00"/>
    <x v="158"/>
    <d v="2023-01-27T00:00:00"/>
    <s v="dthakur@gmail_com"/>
    <s v="6430217816"/>
  </r>
  <r>
    <x v="431"/>
    <s v="Venugopal Krishnan"/>
    <x v="0"/>
    <s v="Centuary Mattress"/>
    <x v="16"/>
    <x v="4"/>
    <s v="Beds"/>
    <n v="15660"/>
    <n v="8"/>
    <n v="125280"/>
    <n v="0"/>
    <x v="2"/>
    <n v="125280"/>
    <n v="5"/>
    <n v="6264"/>
    <n v="0"/>
    <n v="131544"/>
    <x v="6"/>
    <s v="Express"/>
    <x v="0"/>
    <x v="2"/>
    <s v="Vinay Joshi"/>
    <s v="Central"/>
    <s v="Agra"/>
    <s v="Uttar Pradesh"/>
    <x v="0"/>
    <s v="203132"/>
    <s v="None"/>
    <n v="2"/>
    <s v="No"/>
    <s v="other"/>
    <s v="WH-09"/>
    <s v="Delhivery"/>
    <d v="2024-06-07T00:00:00"/>
    <x v="150"/>
    <d v="2024-06-15T00:00:00"/>
    <s v="venugopal_krishnan@gmail_com"/>
    <s v="7282968244"/>
  </r>
  <r>
    <x v="432"/>
    <s v="Mohan Tiwari"/>
    <x v="0"/>
    <s v="Camlin Art Kit"/>
    <x v="34"/>
    <x v="3"/>
    <s v="Art Supplies"/>
    <n v="600"/>
    <n v="1"/>
    <n v="600"/>
    <n v="10"/>
    <x v="149"/>
    <n v="540"/>
    <n v="5"/>
    <n v="27"/>
    <n v="49"/>
    <n v="567"/>
    <x v="2"/>
    <s v="Economy"/>
    <x v="0"/>
    <x v="1"/>
    <s v="Sneha Reddy"/>
    <s v="South"/>
    <s v="Patna"/>
    <s v="Bihar"/>
    <x v="1"/>
    <s v="343654"/>
    <s v="None"/>
    <n v="4"/>
    <s v="No"/>
    <s v="other"/>
    <s v="WH-04"/>
    <s v="Delhivery"/>
    <d v="2023-04-23T00:00:00"/>
    <x v="304"/>
    <d v="2023-05-04T00:00:00"/>
    <s v="mtiwari@gmail_com"/>
    <s v="9624587012"/>
  </r>
  <r>
    <x v="433"/>
    <s v="Anand Swaminathan"/>
    <x v="0"/>
    <s v="Nike Air Max 270"/>
    <x v="21"/>
    <x v="2"/>
    <s v="Footwear"/>
    <n v="10350"/>
    <n v="2"/>
    <n v="20700"/>
    <n v="15"/>
    <x v="312"/>
    <n v="17595"/>
    <n v="12"/>
    <n v="2111.4"/>
    <n v="0"/>
    <n v="19706.400000000001"/>
    <x v="3"/>
    <s v="Express"/>
    <x v="0"/>
    <x v="3"/>
    <s v="Vinay Joshi"/>
    <s v="Central"/>
    <s v="Warangal"/>
    <s v="Telangana"/>
    <x v="2"/>
    <s v="743675"/>
    <s v="Save10"/>
    <n v="3"/>
    <s v="No"/>
    <s v="other"/>
    <s v="WH-09"/>
    <s v="Bluedart"/>
    <d v="2023-03-02T00:00:00"/>
    <x v="305"/>
    <d v="2023-03-12T00:00:00"/>
    <s v="anand_swaminathan@gmail_com"/>
    <s v="6036488215"/>
  </r>
  <r>
    <x v="434"/>
    <s v="Manisha Kadam"/>
    <x v="0"/>
    <s v="Lavie Handbag"/>
    <x v="12"/>
    <x v="2"/>
    <s v="Bags"/>
    <n v="2690"/>
    <n v="1"/>
    <n v="2690"/>
    <n v="10"/>
    <x v="313"/>
    <n v="2421"/>
    <n v="12"/>
    <n v="290.52"/>
    <n v="149"/>
    <n v="2711.52"/>
    <x v="5"/>
    <s v="Overnight"/>
    <x v="0"/>
    <x v="0"/>
    <s v="Ankit Sharma"/>
    <s v="North"/>
    <s v="Hubballi"/>
    <s v="Karnataka"/>
    <x v="2"/>
    <s v="237317"/>
    <s v="Summer15"/>
    <n v="4"/>
    <s v="No"/>
    <s v="other"/>
    <s v="WH-09"/>
    <s v="Delhivery"/>
    <d v="2024-05-11T00:00:00"/>
    <x v="184"/>
    <d v="2024-05-22T00:00:00"/>
    <s v="manishak@gmail_com"/>
    <s v="8699929983"/>
  </r>
  <r>
    <x v="435"/>
    <s v="Sangita Ghosh"/>
    <x v="0"/>
    <s v="Lenovo Thinkpad E14"/>
    <x v="4"/>
    <x v="0"/>
    <s v="Laptops"/>
    <n v="54800"/>
    <n v="3"/>
    <n v="164400"/>
    <n v="0"/>
    <x v="2"/>
    <n v="164400"/>
    <n v="18"/>
    <n v="29592"/>
    <n v="0"/>
    <n v="193992"/>
    <x v="2"/>
    <s v="Standard"/>
    <x v="0"/>
    <x v="3"/>
    <s v="Suraj Verma"/>
    <s v="East"/>
    <s v="Chennai"/>
    <s v="Tamil Nadu"/>
    <x v="2"/>
    <s v="421556"/>
    <s v="Newuser"/>
    <n v="4"/>
    <s v="Yes"/>
    <s v="Changed Mind"/>
    <s v="WH-05"/>
    <s v="Amazon Logistics"/>
    <d v="2024-06-24T00:00:00"/>
    <x v="306"/>
    <d v="2024-07-05T00:00:00"/>
    <s v="sangita_ghosh@gmail_com"/>
    <s v="8304913410"/>
  </r>
  <r>
    <x v="436"/>
    <s v="Ravi Shankar"/>
    <x v="0"/>
    <s v="Realme Gt 5"/>
    <x v="25"/>
    <x v="0"/>
    <s v="Mobile Phones"/>
    <n v="30210"/>
    <n v="8"/>
    <n v="241680"/>
    <n v="5"/>
    <x v="314"/>
    <n v="229596"/>
    <n v="18"/>
    <n v="41327.279999999999"/>
    <n v="0"/>
    <n v="270923.28000000003"/>
    <x v="2"/>
    <s v="Overnight"/>
    <x v="4"/>
    <x v="3"/>
    <s v="Priya Sinha"/>
    <s v="West"/>
    <s v="Howrah"/>
    <s v="West Bengal"/>
    <x v="1"/>
    <s v="117055"/>
    <s v="None"/>
    <n v="5"/>
    <s v="Yes"/>
    <s v="other"/>
    <s v="WH-08"/>
    <s v="Delhivery"/>
    <d v="2023-08-28T00:00:00"/>
    <x v="307"/>
    <d v="2023-09-05T00:00:00"/>
    <s v="shankar_ravi@gmail_com"/>
    <s v="9568201753"/>
  </r>
  <r>
    <x v="437"/>
    <s v="Muthukrishnan Arunachalam"/>
    <x v="1"/>
    <s v="Sony Wh-1000Xm5"/>
    <x v="1"/>
    <x v="0"/>
    <s v="Audio"/>
    <n v="29940"/>
    <n v="1"/>
    <n v="29940"/>
    <n v="0"/>
    <x v="2"/>
    <n v="29940"/>
    <n v="18"/>
    <n v="5389.2"/>
    <n v="0"/>
    <n v="35329.199999999997"/>
    <x v="5"/>
    <s v="Same Day"/>
    <x v="0"/>
    <x v="1"/>
    <s v="Pooja Nair"/>
    <s v="South"/>
    <s v="Kozhikode"/>
    <s v="Kerala"/>
    <x v="2"/>
    <s v="670512"/>
    <s v="Flat500"/>
    <n v="3"/>
    <s v="No"/>
    <s v="other"/>
    <s v="WH-03"/>
    <s v="Ekart"/>
    <d v="2023-11-20T00:00:00"/>
    <x v="308"/>
    <d v="2023-09-05T00:00:00"/>
    <s v="arunachalam_muthukrishnan@gmail_com"/>
    <s v="9919387337"/>
  </r>
  <r>
    <x v="438"/>
    <s v="Kunal Oberoi"/>
    <x v="0"/>
    <s v="Bajaj Mixer 750W"/>
    <x v="5"/>
    <x v="1"/>
    <s v="Kitchen"/>
    <n v="2880"/>
    <n v="10"/>
    <n v="28800"/>
    <n v="20"/>
    <x v="315"/>
    <n v="23040"/>
    <n v="5"/>
    <n v="1152"/>
    <n v="0"/>
    <n v="24192"/>
    <x v="2"/>
    <s v="Economy"/>
    <x v="5"/>
    <x v="4"/>
    <s v="Raj Kumar"/>
    <s v="North"/>
    <s v="Chennai"/>
    <s v="Tamil Nadu"/>
    <x v="2"/>
    <s v="112824"/>
    <s v="None"/>
    <n v="4"/>
    <s v="No"/>
    <s v="other"/>
    <s v="WH-01"/>
    <s v="Dtdc"/>
    <d v="2023-03-15T00:00:00"/>
    <x v="309"/>
    <d v="2023-03-31T00:00:00"/>
    <s v="kunal_oberoi@gmail_com"/>
    <s v="7858055811"/>
  </r>
  <r>
    <x v="439"/>
    <s v="Jyoti Narayan"/>
    <x v="3"/>
    <s v="Lg 8Kg Front Load"/>
    <x v="33"/>
    <x v="1"/>
    <s v="Washing Machines"/>
    <n v="48350"/>
    <n v="5"/>
    <n v="241750"/>
    <n v="0"/>
    <x v="2"/>
    <n v="241750"/>
    <n v="5"/>
    <n v="12087.5"/>
    <n v="0"/>
    <n v="253837.5"/>
    <x v="2"/>
    <s v="Express"/>
    <x v="2"/>
    <x v="0"/>
    <s v="Raj Kumar"/>
    <s v="North"/>
    <s v="Hubballi"/>
    <s v="Karnataka"/>
    <x v="2"/>
    <s v="744286"/>
    <s v="None"/>
    <n v="3"/>
    <s v="No"/>
    <s v="other"/>
    <s v="WH-05"/>
    <s v="Delhivery"/>
    <d v="2023-10-10T00:00:00"/>
    <x v="291"/>
    <d v="2023-10-16T00:00:00"/>
    <s v="narayan_jyoti@yahoo_com"/>
    <s v="707880265"/>
  </r>
  <r>
    <x v="252"/>
    <s v="Deepak Nair"/>
    <x v="3"/>
    <s v="Tata Tea Premium 1Kg"/>
    <x v="17"/>
    <x v="5"/>
    <s v="Beverages"/>
    <n v="450"/>
    <n v="10"/>
    <n v="4500"/>
    <n v="25"/>
    <x v="316"/>
    <n v="3375"/>
    <n v="5"/>
    <n v="168.75"/>
    <n v="49"/>
    <n v="3543.75"/>
    <x v="2"/>
    <s v="Standard"/>
    <x v="1"/>
    <x v="0"/>
    <s v="Vinay Joshi"/>
    <s v="Central"/>
    <s v="Raipur"/>
    <s v="Chhattisgarh"/>
    <x v="3"/>
    <s v="128969"/>
    <s v="None"/>
    <n v="4"/>
    <s v="No"/>
    <s v="other"/>
    <s v="WH-10"/>
    <s v="Amazon Logistics"/>
    <d v="2024-03-18T00:00:00"/>
    <x v="310"/>
    <d v="2024-03-24T00:00:00"/>
    <s v="deepak_nair@yahoo_com"/>
    <s v="9661158485"/>
  </r>
  <r>
    <x v="440"/>
    <s v="Simran Bajwa"/>
    <x v="0"/>
    <s v="Hp Laserjet 1020"/>
    <x v="0"/>
    <x v="0"/>
    <s v="Printers"/>
    <n v="11610"/>
    <n v="9"/>
    <n v="104490"/>
    <n v="10"/>
    <x v="317"/>
    <n v="94041"/>
    <n v="18"/>
    <n v="16927.38"/>
    <n v="0"/>
    <n v="110968.38"/>
    <x v="4"/>
    <s v="Express"/>
    <x v="4"/>
    <x v="4"/>
    <s v="Aman Bhatia"/>
    <s v="West"/>
    <s v="Salem"/>
    <s v="Tamil Nadu"/>
    <x v="2"/>
    <s v="692510"/>
    <s v="Festive20"/>
    <n v="3"/>
    <s v="Yes"/>
    <s v="Defective"/>
    <s v="WH-04"/>
    <s v="Amazon Logistics"/>
    <d v="2023-10-13T00:00:00"/>
    <x v="311"/>
    <d v="2023-10-25T00:00:00"/>
    <s v="sbajwa@yahoo_com"/>
    <s v="7467662623"/>
  </r>
  <r>
    <x v="441"/>
    <s v="Kruti Bhatt"/>
    <x v="0"/>
    <s v="Iphone 15 Pro"/>
    <x v="13"/>
    <x v="0"/>
    <s v="Mobile Phones"/>
    <n v="91920"/>
    <n v="1"/>
    <n v="91920"/>
    <n v="0"/>
    <x v="2"/>
    <n v="91920"/>
    <n v="18"/>
    <n v="16545.599999999999"/>
    <n v="0"/>
    <n v="108465.60000000001"/>
    <x v="6"/>
    <s v="Overnight"/>
    <x v="0"/>
    <x v="1"/>
    <s v="Anjali Mehta"/>
    <s v="South"/>
    <s v="Salem"/>
    <s v="Tamil Nadu"/>
    <x v="2"/>
    <s v="595982"/>
    <s v="Save10"/>
    <n v="5"/>
    <s v="No"/>
    <s v="other"/>
    <s v="WH-08"/>
    <s v="Amazon Logistics"/>
    <d v="2023-05-13T00:00:00"/>
    <x v="215"/>
    <d v="2023-05-29T00:00:00"/>
    <s v="kruti_bhatt@gmail_com"/>
    <s v="6094523759"/>
  </r>
  <r>
    <x v="442"/>
    <s v="Durga  Prasad"/>
    <x v="1"/>
    <s v="Lg 43-Inch 4K Tv"/>
    <x v="33"/>
    <x v="0"/>
    <s v="Televisions"/>
    <n v="40560"/>
    <n v="1"/>
    <n v="40560"/>
    <n v="5"/>
    <x v="318"/>
    <n v="38532"/>
    <n v="18"/>
    <n v="6935.76"/>
    <n v="0"/>
    <n v="45467.76"/>
    <x v="2"/>
    <s v="Overnight"/>
    <x v="0"/>
    <x v="1"/>
    <s v="Arjun Das"/>
    <s v="East"/>
    <s v="Nagpur"/>
    <s v="Maharashtra"/>
    <x v="4"/>
    <s v="580716"/>
    <s v="None"/>
    <n v="4"/>
    <s v="No"/>
    <s v="other"/>
    <s v="WH-03"/>
    <s v="Ekart"/>
    <d v="2023-10-20T00:00:00"/>
    <x v="312"/>
    <d v="2023-11-05T00:00:00"/>
    <s v="dprasad@gmail_com"/>
    <s v=" 6622952179"/>
  </r>
  <r>
    <x v="443"/>
    <s v="Sunil Jadhav"/>
    <x v="0"/>
    <s v="Samsung Galaxy S24"/>
    <x v="2"/>
    <x v="0"/>
    <s v="Mobile Phones"/>
    <n v="77710"/>
    <n v="1"/>
    <n v="77710"/>
    <n v="25"/>
    <x v="319"/>
    <n v="58282.5"/>
    <n v="18"/>
    <n v="10490.85"/>
    <n v="0"/>
    <n v="68773.350000000006"/>
    <x v="4"/>
    <s v="Standard"/>
    <x v="0"/>
    <x v="3"/>
    <s v="Arjun Das"/>
    <s v="East"/>
    <s v="Delhi"/>
    <s v="Delhi"/>
    <x v="0"/>
    <s v="778179"/>
    <s v="None"/>
    <n v="4"/>
    <s v="No"/>
    <s v="other"/>
    <s v="WH-07"/>
    <s v="Bluedart"/>
    <d v="2023-07-23T00:00:00"/>
    <x v="173"/>
    <d v="2023-07-31T00:00:00"/>
    <s v="sunilj@gmail_com"/>
    <s v="9479406453"/>
  </r>
  <r>
    <x v="444"/>
    <s v="Hina Shah"/>
    <x v="0"/>
    <s v="Lavie Handbag"/>
    <x v="12"/>
    <x v="2"/>
    <s v="Bags"/>
    <n v="2720"/>
    <n v="1"/>
    <n v="2720"/>
    <n v="10"/>
    <x v="320"/>
    <n v="2448"/>
    <n v="12"/>
    <n v="293.76"/>
    <n v="99"/>
    <n v="2741.76"/>
    <x v="6"/>
    <s v="Economy"/>
    <x v="1"/>
    <x v="2"/>
    <s v="Sneha Reddy"/>
    <s v="South"/>
    <s v="Jaipur"/>
    <s v="Rajasthan"/>
    <x v="0"/>
    <s v="413139"/>
    <s v="None"/>
    <n v="5"/>
    <s v="No"/>
    <s v="other"/>
    <s v="WH-03"/>
    <s v="Amazon Logistics"/>
    <d v="2023-12-05T00:00:00"/>
    <x v="313"/>
    <d v="2023-12-12T00:00:00"/>
    <s v="hina_shah@yahoo_com"/>
    <s v="7843019220"/>
  </r>
  <r>
    <x v="445"/>
    <s v="Sanjay Mishra"/>
    <x v="0"/>
    <s v="Prestige Induction"/>
    <x v="29"/>
    <x v="1"/>
    <s v="Kitchen"/>
    <n v="3570"/>
    <n v="8"/>
    <n v="28560"/>
    <n v="15"/>
    <x v="321"/>
    <n v="24276"/>
    <n v="5"/>
    <n v="1213.8"/>
    <n v="0"/>
    <n v="25489.8"/>
    <x v="6"/>
    <s v="Same Day"/>
    <x v="0"/>
    <x v="4"/>
    <s v="Sneha Reddy"/>
    <s v="South"/>
    <s v="Thiruvananthapuram"/>
    <s v="Kerala"/>
    <x v="2"/>
    <s v="574064"/>
    <s v="Save10"/>
    <n v="4"/>
    <s v="No"/>
    <s v="other"/>
    <s v="WH-10"/>
    <s v="Ekart"/>
    <d v="2023-07-11T00:00:00"/>
    <x v="66"/>
    <d v="2023-07-18T00:00:00"/>
    <s v="sanjay_mishra@gmail_com"/>
    <s v="8284423471"/>
  </r>
  <r>
    <x v="446"/>
    <s v="Sunita Verma"/>
    <x v="0"/>
    <s v="Iphone 15 Pro"/>
    <x v="13"/>
    <x v="0"/>
    <s v="Mobile Phones"/>
    <n v="85030"/>
    <n v="1"/>
    <n v="85030"/>
    <n v="15"/>
    <x v="322"/>
    <n v="72275.5"/>
    <n v="18"/>
    <n v="13009.59"/>
    <n v="0"/>
    <n v="85285.09"/>
    <x v="1"/>
    <s v="Express"/>
    <x v="0"/>
    <x v="4"/>
    <s v="Vinay Joshi"/>
    <s v="Central"/>
    <s v="Rajkot"/>
    <s v="Gujarat"/>
    <x v="4"/>
    <s v="421964"/>
    <s v="None"/>
    <n v="3"/>
    <s v="No"/>
    <s v="other"/>
    <s v="WH-03"/>
    <s v="Amazon Logistics"/>
    <d v="2024-02-07T00:00:00"/>
    <x v="314"/>
    <d v="2024-02-20T00:00:00"/>
    <s v="sunita_verma@gmail_com"/>
    <s v="8470703850"/>
  </r>
  <r>
    <x v="447"/>
    <s v="Kruti Bhatt"/>
    <x v="3"/>
    <s v="Puma Softride"/>
    <x v="31"/>
    <x v="2"/>
    <s v="Footwear"/>
    <n v="5050"/>
    <n v="1"/>
    <n v="5050"/>
    <n v="0"/>
    <x v="2"/>
    <n v="5050"/>
    <n v="12"/>
    <n v="606"/>
    <n v="0"/>
    <n v="5656"/>
    <x v="4"/>
    <s v="Express"/>
    <x v="4"/>
    <x v="1"/>
    <s v="Arjun Das"/>
    <s v="East"/>
    <s v="Jabalpur"/>
    <s v="Madhya Pradesh"/>
    <x v="3"/>
    <s v="380205"/>
    <s v="Save10"/>
    <n v="4"/>
    <s v="Yes"/>
    <s v="other"/>
    <s v="WH-07"/>
    <s v="Delhivery"/>
    <d v="2024-06-02T00:00:00"/>
    <x v="236"/>
    <d v="2024-06-12T00:00:00"/>
    <s v="kruti_bhatt@gmail_com"/>
    <s v="8614974597"/>
  </r>
  <r>
    <x v="448"/>
    <s v="Saurabh Kulkarni"/>
    <x v="0"/>
    <s v="Iphone 15 Pro"/>
    <x v="13"/>
    <x v="0"/>
    <s v="Mobile Phones"/>
    <n v="85920"/>
    <n v="2"/>
    <n v="171840"/>
    <n v="0"/>
    <x v="2"/>
    <n v="171840"/>
    <n v="18"/>
    <n v="30931.200000000001"/>
    <n v="0"/>
    <n v="202771.20000000001"/>
    <x v="6"/>
    <s v="Same Day"/>
    <x v="0"/>
    <x v="2"/>
    <s v="Ankit Sharma"/>
    <s v="North"/>
    <s v="Mangaluru"/>
    <s v="Karnataka"/>
    <x v="2"/>
    <s v="424753"/>
    <s v="Festive20"/>
    <n v="4"/>
    <s v="No"/>
    <s v="other"/>
    <s v="WH-11"/>
    <s v="Delhivery"/>
    <d v="2023-08-01T00:00:00"/>
    <x v="200"/>
    <d v="2023-08-11T00:00:00"/>
    <s v="saurabh_kulkarni@gmail_com"/>
    <s v="9594853400"/>
  </r>
  <r>
    <x v="449"/>
    <s v="Balwinder Sandhu"/>
    <x v="0"/>
    <s v="Peter England Suit"/>
    <x v="37"/>
    <x v="2"/>
    <s v="Clothing"/>
    <n v="8360"/>
    <n v="3"/>
    <n v="25080"/>
    <n v="10"/>
    <x v="323"/>
    <n v="22572"/>
    <n v="12"/>
    <n v="2708.64"/>
    <n v="0"/>
    <n v="25280.639999999999"/>
    <x v="3"/>
    <s v="Standard"/>
    <x v="5"/>
    <x v="2"/>
    <s v="Priya Sinha"/>
    <s v="West"/>
    <s v="Agra"/>
    <s v="Uttar Pradesh"/>
    <x v="0"/>
    <s v="235127"/>
    <s v="None"/>
    <n v="4"/>
    <s v="No"/>
    <s v="other"/>
    <s v="WH-09"/>
    <s v="Delhivery"/>
    <d v="2023-07-29T00:00:00"/>
    <x v="257"/>
    <d v="2023-08-12T00:00:00"/>
    <s v="bsandhu@gmail_com"/>
    <s v="6998460586"/>
  </r>
  <r>
    <x v="450"/>
    <s v="Varsha Shinde"/>
    <x v="0"/>
    <s v="Lg 8Kg Front Load"/>
    <x v="33"/>
    <x v="1"/>
    <s v="Washing Machines"/>
    <n v="48170"/>
    <n v="4"/>
    <n v="192680"/>
    <n v="5"/>
    <x v="324"/>
    <n v="183046"/>
    <n v="5"/>
    <n v="9152.2999999999993"/>
    <n v="0"/>
    <n v="192198.3"/>
    <x v="4"/>
    <s v="Same Day"/>
    <x v="0"/>
    <x v="2"/>
    <s v="Karim Sheikh"/>
    <s v="North"/>
    <s v="Bhopal"/>
    <s v="Madhya Pradesh"/>
    <x v="3"/>
    <s v="321516"/>
    <s v="Diwali25"/>
    <n v="4"/>
    <s v="Yes"/>
    <s v="other"/>
    <s v="WH-09"/>
    <s v="India Post"/>
    <d v="2024-06-02T00:00:00"/>
    <x v="315"/>
    <d v="2023-08-12T00:00:00"/>
    <s v="shinde_varsha@yahoo_co_in"/>
    <s v="7682405166"/>
  </r>
  <r>
    <x v="385"/>
    <s v="Ritu Chauhan"/>
    <x v="3"/>
    <s v="Lg 8Kg Front Load"/>
    <x v="33"/>
    <x v="1"/>
    <s v="Washing Machines"/>
    <n v="47300"/>
    <n v="9"/>
    <n v="425700"/>
    <n v="0"/>
    <x v="2"/>
    <n v="425700"/>
    <n v="5"/>
    <n v="21285"/>
    <n v="0"/>
    <n v="446985"/>
    <x v="4"/>
    <s v="Same Day"/>
    <x v="1"/>
    <x v="4"/>
    <s v="Vinay Joshi"/>
    <s v="Central"/>
    <s v="Kozhikode"/>
    <s v="Kerala"/>
    <x v="2"/>
    <s v="391780"/>
    <s v="Flat500"/>
    <n v="4"/>
    <s v="No"/>
    <s v="other"/>
    <s v="WH-06"/>
    <s v="Bluedart"/>
    <d v="2023-02-12T00:00:00"/>
    <x v="153"/>
    <d v="2023-02-21T00:00:00"/>
    <s v="chauhan_ritu@gmail_com"/>
    <s v="6094134909"/>
  </r>
  <r>
    <x v="451"/>
    <s v="Ramesh Bose"/>
    <x v="0"/>
    <s v="Godrej 236L Fridge"/>
    <x v="14"/>
    <x v="1"/>
    <s v="Refrigerators"/>
    <n v="29347.846790890268"/>
    <n v="3"/>
    <n v="88043.540372670803"/>
    <n v="10"/>
    <x v="325"/>
    <n v="63990"/>
    <n v="5"/>
    <n v="3199.5"/>
    <n v="0"/>
    <n v="67189.5"/>
    <x v="1"/>
    <s v="Express"/>
    <x v="0"/>
    <x v="0"/>
    <s v="Ritu Singh"/>
    <s v="Central"/>
    <s v="Jabalpur"/>
    <s v="Madhya Pradesh"/>
    <x v="3"/>
    <s v="668462"/>
    <s v="Newuser"/>
    <n v="4"/>
    <s v="No"/>
    <s v="other"/>
    <s v="WH-06"/>
    <s v="Dtdc"/>
    <d v="2024-01-22T00:00:00"/>
    <x v="205"/>
    <d v="2024-02-07T00:00:00"/>
    <s v="ramesh_bose@gmail_com"/>
    <s v="8442031589"/>
  </r>
  <r>
    <x v="452"/>
    <s v="Jayesh Vora"/>
    <x v="2"/>
    <s v="Amul Butter 500G"/>
    <x v="38"/>
    <x v="5"/>
    <s v="Dairy"/>
    <n v="29347.846790890268"/>
    <n v="3"/>
    <n v="88043.540372670803"/>
    <n v="0"/>
    <x v="2"/>
    <n v="870"/>
    <n v="5"/>
    <n v="43.5"/>
    <n v="99"/>
    <n v="913.5"/>
    <x v="6"/>
    <s v="Economy"/>
    <x v="2"/>
    <x v="0"/>
    <s v="Pooja Nair"/>
    <s v="South"/>
    <s v="Mysuru"/>
    <s v="Karnataka"/>
    <x v="2"/>
    <s v="665359"/>
    <s v="Newuser"/>
    <n v="4"/>
    <s v="No"/>
    <s v="other"/>
    <s v="WH-02"/>
    <s v="Bluedart"/>
    <d v="2024-06-19T00:00:00"/>
    <x v="316"/>
    <d v="2024-06-29T00:00:00"/>
    <s v="jayesh_vora@rediffmail_com"/>
    <s v="886942767"/>
  </r>
  <r>
    <x v="453"/>
    <s v="Gita Pillai"/>
    <x v="0"/>
    <s v="Daikin 1.5T Inverter"/>
    <x v="30"/>
    <x v="1"/>
    <s v="Air Conditioners"/>
    <n v="48470"/>
    <n v="3"/>
    <n v="145410"/>
    <n v="20"/>
    <x v="326"/>
    <n v="116328"/>
    <n v="5"/>
    <n v="5816.4"/>
    <n v="0"/>
    <n v="122144.4"/>
    <x v="0"/>
    <s v="Express"/>
    <x v="4"/>
    <x v="2"/>
    <s v="Vinay Joshi"/>
    <s v="Central"/>
    <s v="Salem"/>
    <s v="Tamil Nadu"/>
    <x v="2"/>
    <s v="660326"/>
    <s v="Summer15"/>
    <n v="4"/>
    <s v="Yes"/>
    <s v="other"/>
    <s v="WH-09"/>
    <s v="Dtdc"/>
    <d v="2023-12-15T00:00:00"/>
    <x v="317"/>
    <d v="2023-12-26T00:00:00"/>
    <s v="gitap@hotmail_com"/>
    <s v="9790065487"/>
  </r>
  <r>
    <x v="454"/>
    <s v="Ramesh Bose"/>
    <x v="0"/>
    <s v="Adidas Ultraboost 22"/>
    <x v="18"/>
    <x v="2"/>
    <s v="Footwear"/>
    <n v="14130"/>
    <n v="3"/>
    <n v="42390"/>
    <n v="5"/>
    <x v="327"/>
    <n v="40270.5"/>
    <n v="12"/>
    <n v="4832.46"/>
    <n v="0"/>
    <n v="45102.96"/>
    <x v="6"/>
    <s v="Economy"/>
    <x v="0"/>
    <x v="4"/>
    <s v="Raj Kumar"/>
    <s v="North"/>
    <s v="Kolkata"/>
    <s v="West Bengal"/>
    <x v="1"/>
    <s v="213067"/>
    <s v="None"/>
    <n v="5"/>
    <s v="No"/>
    <s v="other"/>
    <s v="WH-03"/>
    <s v="Ekart"/>
    <d v="2023-12-28T00:00:00"/>
    <x v="169"/>
    <d v="2024-01-05T00:00:00"/>
    <s v="rameshb@gmail_com"/>
    <s v="9612396121"/>
  </r>
  <r>
    <x v="410"/>
    <s v="Harpreet Singh"/>
    <x v="3"/>
    <s v="Iphone 15 Pro"/>
    <x v="13"/>
    <x v="0"/>
    <s v="Mobile Phones"/>
    <n v="85960"/>
    <n v="3"/>
    <n v="257880"/>
    <n v="15"/>
    <x v="328"/>
    <n v="219198"/>
    <n v="18"/>
    <n v="39455.64"/>
    <n v="0"/>
    <n v="258653.64"/>
    <x v="0"/>
    <s v="Economy"/>
    <x v="1"/>
    <x v="0"/>
    <s v="Sneha Reddy"/>
    <s v="South"/>
    <s v="Warangal"/>
    <s v="Telangana"/>
    <x v="2"/>
    <s v="338611"/>
    <s v="None"/>
    <n v="5"/>
    <s v="No"/>
    <s v="other"/>
    <s v="WH-06"/>
    <s v="Bluedart"/>
    <d v="2023-02-07T00:00:00"/>
    <x v="318"/>
    <d v="2023-02-17T00:00:00"/>
    <s v="hsingh@gmail_com"/>
    <s v="6035067578"/>
  </r>
  <r>
    <x v="455"/>
    <s v="Saurabh Kulkarni"/>
    <x v="0"/>
    <s v="Nike Air Max 270"/>
    <x v="21"/>
    <x v="2"/>
    <s v="Footwear"/>
    <n v="11300"/>
    <n v="3"/>
    <n v="33900"/>
    <n v="15"/>
    <x v="329"/>
    <n v="28815"/>
    <n v="12"/>
    <n v="3457.8"/>
    <n v="0"/>
    <n v="32272.799999999999"/>
    <x v="1"/>
    <s v="Same Day"/>
    <x v="0"/>
    <x v="3"/>
    <s v="Anjali Mehta"/>
    <s v="South"/>
    <s v="Surat"/>
    <s v="Gujarat"/>
    <x v="4"/>
    <s v="259028"/>
    <s v="Save10"/>
    <n v="2"/>
    <s v="Yes"/>
    <s v="other"/>
    <s v="WH-11"/>
    <s v="Delhivery"/>
    <d v="2024-01-02T00:00:00"/>
    <x v="319"/>
    <d v="2024-01-07T00:00:00"/>
    <s v="saurabh_kulkarni@gmail_com"/>
    <s v="7235036871"/>
  </r>
  <r>
    <x v="456"/>
    <s v="Bhavani Shankar"/>
    <x v="3"/>
    <s v="Epson L3250"/>
    <x v="39"/>
    <x v="0"/>
    <s v="Printers"/>
    <n v="15480"/>
    <n v="2"/>
    <n v="30960"/>
    <n v="0"/>
    <x v="2"/>
    <n v="30960"/>
    <n v="18"/>
    <n v="5572.8"/>
    <n v="0"/>
    <n v="36532.800000000003"/>
    <x v="0"/>
    <s v="Overnight"/>
    <x v="0"/>
    <x v="3"/>
    <s v="Ritu Singh"/>
    <s v="Central"/>
    <s v="Pune"/>
    <s v="Maharashtra"/>
    <x v="4"/>
    <s v="500960"/>
    <s v="None"/>
    <n v="4"/>
    <s v="No"/>
    <s v="other"/>
    <s v="WH-06"/>
    <s v="Dtdc"/>
    <d v="2023-08-26T00:00:00"/>
    <x v="197"/>
    <d v="2023-09-10T00:00:00"/>
    <s v="bshankar@yahoo_com"/>
    <s v="9927318683"/>
  </r>
  <r>
    <x v="457"/>
    <s v="Kruti Bhatt"/>
    <x v="3"/>
    <s v="Daikin 1.5T Inverter"/>
    <x v="30"/>
    <x v="1"/>
    <s v="Air Conditioners"/>
    <n v="47540"/>
    <n v="6"/>
    <n v="285240"/>
    <n v="5"/>
    <x v="330"/>
    <n v="270978"/>
    <n v="5"/>
    <n v="13548.9"/>
    <n v="0"/>
    <n v="284526.90000000002"/>
    <x v="3"/>
    <s v="Overnight"/>
    <x v="1"/>
    <x v="3"/>
    <s v="Karim Sheikh"/>
    <s v="North"/>
    <s v="Pune"/>
    <s v="Maharashtra"/>
    <x v="4"/>
    <s v="699775"/>
    <s v="None"/>
    <n v="2"/>
    <s v="No"/>
    <s v="other"/>
    <s v="WH-08"/>
    <s v="Ekart"/>
    <d v="2023-08-01T00:00:00"/>
    <x v="320"/>
    <d v="2023-08-10T00:00:00"/>
    <s v="kruti_bhatt@gmail_com"/>
    <s v="9050221816"/>
  </r>
  <r>
    <x v="458"/>
    <s v="Kiran Rao"/>
    <x v="0"/>
    <s v="Lavie Handbag"/>
    <x v="12"/>
    <x v="2"/>
    <s v="Bags"/>
    <n v="2680"/>
    <n v="3"/>
    <n v="8040"/>
    <n v="0"/>
    <x v="2"/>
    <n v="8040"/>
    <n v="12"/>
    <n v="964.8"/>
    <n v="0"/>
    <n v="9004.7999999999993"/>
    <x v="4"/>
    <s v="Express"/>
    <x v="4"/>
    <x v="2"/>
    <s v="Vinay Joshi"/>
    <s v="Central"/>
    <s v="Bhopal"/>
    <s v="Madhya Pradesh"/>
    <x v="3"/>
    <s v="340876"/>
    <s v="None"/>
    <n v="3"/>
    <s v="Yes"/>
    <s v="other"/>
    <s v="WH-01"/>
    <s v="Delhivery"/>
    <d v="2023-05-09T00:00:00"/>
    <x v="320"/>
    <d v="2023-05-22T00:00:00"/>
    <s v="kiranr@gmail_com"/>
    <s v="6667719666"/>
  </r>
  <r>
    <x v="459"/>
    <s v="Harpreet Singh"/>
    <x v="0"/>
    <s v="Godrej 236L Fridge"/>
    <x v="14"/>
    <x v="1"/>
    <s v="Refrigerators"/>
    <n v="21390"/>
    <n v="3"/>
    <n v="64170"/>
    <n v="10"/>
    <x v="331"/>
    <n v="57753"/>
    <n v="5"/>
    <n v="2887.65"/>
    <n v="0"/>
    <n v="60640.65"/>
    <x v="5"/>
    <s v="Standard"/>
    <x v="0"/>
    <x v="3"/>
    <s v="Aman Bhatia"/>
    <s v="West"/>
    <s v="Gaya"/>
    <s v="Bihar"/>
    <x v="1"/>
    <s v="619574"/>
    <s v="Newuser"/>
    <n v="4"/>
    <s v="No"/>
    <s v="other"/>
    <s v="WH-07"/>
    <s v="Amazon Logistics"/>
    <d v="2023-01-17T00:00:00"/>
    <x v="14"/>
    <d v="2023-01-27T00:00:00"/>
    <s v="harpreet_singh@gmail_com"/>
    <s v="8426018637"/>
  </r>
  <r>
    <x v="460"/>
    <s v="Meena Iyer"/>
    <x v="0"/>
    <s v="Samsung Galaxy S24"/>
    <x v="2"/>
    <x v="0"/>
    <s v="Mobile Phones"/>
    <n v="69760"/>
    <n v="2"/>
    <n v="139520"/>
    <n v="15"/>
    <x v="332"/>
    <n v="118592"/>
    <n v="18"/>
    <n v="21346.560000000001"/>
    <n v="0"/>
    <n v="139938.56"/>
    <x v="4"/>
    <s v="Same Day"/>
    <x v="0"/>
    <x v="3"/>
    <s v="Vinay Joshi"/>
    <s v="Central"/>
    <s v="Jaipur"/>
    <s v="Rajasthan"/>
    <x v="0"/>
    <s v="118470"/>
    <s v="None"/>
    <n v="1"/>
    <s v="No"/>
    <s v="other"/>
    <s v="WH-10"/>
    <s v="Bluedart"/>
    <d v="2023-11-28T00:00:00"/>
    <x v="321"/>
    <d v="2023-12-03T00:00:00"/>
    <s v="meena_iyer@gmail_com"/>
    <s v="7314546157"/>
  </r>
  <r>
    <x v="461"/>
    <s v="Kruti Bhatt"/>
    <x v="0"/>
    <s v="Milton Water Purifier"/>
    <x v="22"/>
    <x v="1"/>
    <s v="Kitchen"/>
    <n v="9290"/>
    <n v="3"/>
    <n v="27870"/>
    <n v="15"/>
    <x v="333"/>
    <n v="23689.5"/>
    <n v="5"/>
    <n v="1184.47"/>
    <n v="0"/>
    <n v="24873.97"/>
    <x v="0"/>
    <s v="Standard"/>
    <x v="0"/>
    <x v="3"/>
    <s v="Deepa Menon"/>
    <s v="South"/>
    <s v="Noida"/>
    <s v="Uttar Pradesh"/>
    <x v="0"/>
    <s v="185605"/>
    <s v="Flat500"/>
    <n v="4"/>
    <s v="No"/>
    <s v="other"/>
    <s v="WH-05"/>
    <s v="Delhivery"/>
    <d v="2023-07-18T00:00:00"/>
    <x v="322"/>
    <d v="2023-07-29T00:00:00"/>
    <s v="krutib@gmail_com"/>
    <s v="7781871096"/>
  </r>
  <r>
    <x v="462"/>
    <s v="Deepak Nair"/>
    <x v="2"/>
    <s v="Boat Rockerz 450"/>
    <x v="8"/>
    <x v="0"/>
    <s v="Audio"/>
    <n v="1460"/>
    <n v="1"/>
    <n v="1460"/>
    <n v="15"/>
    <x v="334"/>
    <n v="1241"/>
    <n v="18"/>
    <n v="223.38"/>
    <n v="79"/>
    <n v="1464.38"/>
    <x v="2"/>
    <s v="Standard"/>
    <x v="0"/>
    <x v="3"/>
    <s v="Sneha Reddy"/>
    <s v="South"/>
    <s v="Kolkata"/>
    <s v="West Bengal"/>
    <x v="1"/>
    <s v="753773"/>
    <s v="Summer15"/>
    <n v="4"/>
    <s v="No"/>
    <s v="other"/>
    <s v="WH-02"/>
    <s v="Delhivery"/>
    <d v="2023-10-12T00:00:00"/>
    <x v="323"/>
    <d v="2023-12-23T00:00:00"/>
    <s v="nair_deepak@yahoo_com"/>
    <s v="76633 82222"/>
  </r>
  <r>
    <x v="463"/>
    <s v="Ritu Chauhan"/>
    <x v="3"/>
    <s v="Pepperfry Coffee Table"/>
    <x v="20"/>
    <x v="4"/>
    <s v="Tables"/>
    <n v="11450"/>
    <n v="1"/>
    <n v="11450"/>
    <n v="0"/>
    <x v="2"/>
    <n v="11450"/>
    <n v="5"/>
    <n v="572.5"/>
    <n v="0"/>
    <n v="12022.5"/>
    <x v="3"/>
    <s v="Economy"/>
    <x v="1"/>
    <x v="3"/>
    <s v="Arjun Das"/>
    <s v="East"/>
    <s v="Kanpur"/>
    <s v="Uttar Pradesh"/>
    <x v="0"/>
    <s v="353326"/>
    <s v="Diwali25"/>
    <n v="4"/>
    <s v="No"/>
    <s v="other"/>
    <s v="WH-02"/>
    <s v="Bluedart"/>
    <d v="2023-07-05T00:00:00"/>
    <x v="46"/>
    <d v="2023-07-18T00:00:00"/>
    <s v="ritu_chauhan@gmail_com"/>
    <s v="7498663420"/>
  </r>
  <r>
    <x v="464"/>
    <s v="Anand Swaminathan"/>
    <x v="3"/>
    <s v="Dell Xps 15 Laptop"/>
    <x v="23"/>
    <x v="0"/>
    <s v="Laptops"/>
    <n v="125220"/>
    <n v="6"/>
    <n v="751320"/>
    <n v="10"/>
    <x v="335"/>
    <n v="676188"/>
    <n v="18"/>
    <n v="121713.84"/>
    <n v="0"/>
    <n v="797901.84"/>
    <x v="3"/>
    <s v="Standard"/>
    <x v="0"/>
    <x v="3"/>
    <s v="Karim Sheikh"/>
    <s v="North"/>
    <s v="Mysuru"/>
    <s v="Karnataka"/>
    <x v="2"/>
    <s v="268057"/>
    <s v="None"/>
    <n v="5"/>
    <s v="No"/>
    <s v="other"/>
    <s v="WH-06"/>
    <s v="Bluedart"/>
    <d v="2024-02-04T00:00:00"/>
    <x v="32"/>
    <d v="2024-02-13T00:00:00"/>
    <s v="anand_swaminathan@gmail_com"/>
    <s v="8665353896"/>
  </r>
  <r>
    <x v="465"/>
    <s v="Saraswathi Rao"/>
    <x v="0"/>
    <s v="Bajaj Mixer 750W"/>
    <x v="5"/>
    <x v="1"/>
    <s v="Kitchen"/>
    <n v="2760"/>
    <n v="4"/>
    <n v="11040"/>
    <n v="5"/>
    <x v="336"/>
    <n v="10488"/>
    <n v="5"/>
    <n v="524.4"/>
    <n v="0"/>
    <n v="11012.4"/>
    <x v="0"/>
    <s v="Overnight"/>
    <x v="1"/>
    <x v="1"/>
    <s v="Aman Bhatia"/>
    <s v="West"/>
    <s v="Chandigarh"/>
    <s v="Punjab"/>
    <x v="0"/>
    <s v="397174"/>
    <s v="None"/>
    <n v="5"/>
    <s v="No"/>
    <s v="other"/>
    <s v="WH-07"/>
    <s v="Ekart"/>
    <d v="2023-08-18T00:00:00"/>
    <x v="324"/>
    <d v="2023-08-27T00:00:00"/>
    <s v="rao_saraswathi@gmail_com"/>
    <s v="8161538116"/>
  </r>
  <r>
    <x v="466"/>
    <s v="Amit Kumar"/>
    <x v="0"/>
    <s v="Titan Raga"/>
    <x v="26"/>
    <x v="2"/>
    <s v="Accessories"/>
    <n v="9680"/>
    <n v="10"/>
    <n v="96800"/>
    <n v="5"/>
    <x v="337"/>
    <n v="91960"/>
    <n v="12"/>
    <n v="11035.2"/>
    <n v="0"/>
    <n v="102995.2"/>
    <x v="4"/>
    <s v="Same Day"/>
    <x v="0"/>
    <x v="2"/>
    <s v="Sneha Reddy"/>
    <s v="South"/>
    <s v="Ghaziabad"/>
    <s v="Uttar Pradesh"/>
    <x v="0"/>
    <s v="592518"/>
    <s v="None"/>
    <n v="4"/>
    <s v="No"/>
    <s v="other"/>
    <s v="WH-07"/>
    <s v="Bluedart"/>
    <d v="2023-10-09T00:00:00"/>
    <x v="45"/>
    <d v="2023-10-19T00:00:00"/>
    <s v="amit_kumar@hotmail_com"/>
    <s v="75633 91729"/>
  </r>
  <r>
    <x v="467"/>
    <s v="Venkatesan Rajan"/>
    <x v="0"/>
    <s v="Canon Eos 200D"/>
    <x v="7"/>
    <x v="0"/>
    <s v="Cameras"/>
    <n v="48730"/>
    <n v="9"/>
    <n v="438570"/>
    <n v="5"/>
    <x v="338"/>
    <n v="416641.5"/>
    <n v="18"/>
    <n v="74995.47"/>
    <n v="0"/>
    <n v="491636.97"/>
    <x v="2"/>
    <s v="Standard"/>
    <x v="2"/>
    <x v="2"/>
    <s v="Arjun Das"/>
    <s v="East"/>
    <s v="Jaipur"/>
    <s v="Rajasthan"/>
    <x v="0"/>
    <s v="716436"/>
    <s v="Flat500"/>
    <n v="4"/>
    <s v="No"/>
    <s v="other"/>
    <s v="WH-10"/>
    <s v="Ekart"/>
    <d v="2023-08-14T00:00:00"/>
    <x v="325"/>
    <d v="2023-08-22T00:00:00"/>
    <s v="vrajan@gmail_com"/>
    <s v="776734814"/>
  </r>
  <r>
    <x v="468"/>
    <s v="Lalitha Devi"/>
    <x v="3"/>
    <s v="Samsung 65-Inch Qled"/>
    <x v="2"/>
    <x v="0"/>
    <s v="Televisions"/>
    <n v="93540"/>
    <n v="8"/>
    <n v="748320"/>
    <n v="10"/>
    <x v="339"/>
    <n v="673488"/>
    <n v="18"/>
    <n v="121227.84"/>
    <n v="0"/>
    <n v="794715.84"/>
    <x v="2"/>
    <s v="Overnight"/>
    <x v="0"/>
    <x v="0"/>
    <s v="Priya Sinha"/>
    <s v="West"/>
    <s v="Nagpur"/>
    <s v="Maharashtra"/>
    <x v="4"/>
    <s v="231642"/>
    <s v="Save10"/>
    <n v="4"/>
    <s v="No"/>
    <s v="other"/>
    <s v="WH-03"/>
    <s v="Ekart"/>
    <d v="2024-06-26T00:00:00"/>
    <x v="58"/>
    <d v="2024-09-07T00:00:00"/>
    <s v="ldevi@gmail_com"/>
    <s v="9203531607"/>
  </r>
  <r>
    <x v="469"/>
    <s v="Jyoti Narayan"/>
    <x v="3"/>
    <s v="Samsung Galaxy S24"/>
    <x v="2"/>
    <x v="0"/>
    <s v="Mobile Phones"/>
    <n v="75670"/>
    <n v="8"/>
    <n v="605360"/>
    <n v="10"/>
    <x v="340"/>
    <n v="544824"/>
    <n v="18"/>
    <n v="98068.32"/>
    <n v="0"/>
    <n v="642892.32000000007"/>
    <x v="2"/>
    <s v="Express"/>
    <x v="0"/>
    <x v="0"/>
    <s v="Neha Kulkarni"/>
    <s v="West"/>
    <s v="Ghaziabad"/>
    <s v="Uttar Pradesh"/>
    <x v="0"/>
    <s v="371624"/>
    <s v="None"/>
    <n v="5"/>
    <s v="No"/>
    <s v="other"/>
    <s v="WH-02"/>
    <s v="Bluedart"/>
    <d v="2024-04-20T00:00:00"/>
    <x v="126"/>
    <d v="2024-04-28T00:00:00"/>
    <s v="narayan_jyoti@yahoo_com"/>
    <s v="9785764639"/>
  </r>
  <r>
    <x v="470"/>
    <s v="Eswaran Murugan"/>
    <x v="0"/>
    <s v="Centuary Mattress"/>
    <x v="16"/>
    <x v="4"/>
    <s v="Beds"/>
    <n v="14630"/>
    <n v="1"/>
    <n v="14630"/>
    <n v="0"/>
    <x v="2"/>
    <n v="14630"/>
    <n v="5"/>
    <n v="731.5"/>
    <n v="0"/>
    <n v="15361.5"/>
    <x v="4"/>
    <s v="Economy"/>
    <x v="0"/>
    <x v="3"/>
    <s v="Pooja Nair"/>
    <s v="South"/>
    <s v="Vijayawada"/>
    <s v="Andhra Pradesh"/>
    <x v="2"/>
    <s v="639391"/>
    <s v="Festive20"/>
    <n v="4"/>
    <s v="No"/>
    <s v="other"/>
    <s v="WH-03"/>
    <s v="Amazon Logistics"/>
    <d v="2023-07-09T00:00:00"/>
    <x v="149"/>
    <d v="2023-07-16T00:00:00"/>
    <s v="murugan_eswaran@rediffmail_com"/>
    <s v="8488566948"/>
  </r>
  <r>
    <x v="471"/>
    <s v="Venugopal Krishnan"/>
    <x v="0"/>
    <s v="Hp Pavilion 15"/>
    <x v="0"/>
    <x v="0"/>
    <s v="Laptops"/>
    <n v="60680"/>
    <n v="2"/>
    <n v="121360"/>
    <n v="0"/>
    <x v="2"/>
    <n v="121360"/>
    <n v="18"/>
    <n v="21844.799999999999"/>
    <n v="0"/>
    <n v="143204.79999999999"/>
    <x v="5"/>
    <s v="Standard"/>
    <x v="3"/>
    <x v="1"/>
    <s v="Priya Sinha"/>
    <s v="West"/>
    <s v="Thiruvananthapuram"/>
    <s v="Kerala"/>
    <x v="2"/>
    <s v="237628"/>
    <s v="Festive20"/>
    <n v="2"/>
    <s v="Yes"/>
    <s v="Changed Mind"/>
    <s v="WH-03"/>
    <s v="Delhivery"/>
    <d v="2024-02-04T00:00:00"/>
    <x v="28"/>
    <d v="2024-02-12T00:00:00"/>
    <s v="venugopal_krishnan@gmail_com"/>
    <s v="6240871006"/>
  </r>
  <r>
    <x v="472"/>
    <s v="Kunal Oberoi"/>
    <x v="0"/>
    <s v="Lg 8Kg Front Load"/>
    <x v="33"/>
    <x v="1"/>
    <s v="Washing Machines"/>
    <n v="44460"/>
    <n v="1"/>
    <n v="44460"/>
    <n v="15"/>
    <x v="341"/>
    <n v="37791"/>
    <n v="5"/>
    <n v="1889.55"/>
    <n v="0"/>
    <n v="39680.550000000003"/>
    <x v="6"/>
    <s v="Standard"/>
    <x v="0"/>
    <x v="4"/>
    <s v="Deepa Menon"/>
    <s v="South"/>
    <s v="Agra"/>
    <s v="Uttar Pradesh"/>
    <x v="0"/>
    <s v="411674"/>
    <s v="Diwali25"/>
    <n v="5"/>
    <s v="No"/>
    <s v="other"/>
    <s v="WH-12"/>
    <s v="Amazon Logistics"/>
    <d v="2023-07-17T00:00:00"/>
    <x v="326"/>
    <d v="2023-07-26T00:00:00"/>
    <s v="koberoi@gmail_com"/>
    <s v="7228920641"/>
  </r>
  <r>
    <x v="473"/>
    <s v="Geetha Devi"/>
    <x v="3"/>
    <s v="Samsung 253L Fridge"/>
    <x v="2"/>
    <x v="1"/>
    <s v="Refrigerators"/>
    <n v="26870"/>
    <n v="1"/>
    <n v="26870"/>
    <n v="5"/>
    <x v="342"/>
    <n v="25526.5"/>
    <n v="5"/>
    <n v="1276.33"/>
    <n v="0"/>
    <n v="26802.83"/>
    <x v="1"/>
    <s v="Express"/>
    <x v="0"/>
    <x v="0"/>
    <s v="Priya Sinha"/>
    <s v="West"/>
    <s v="Jabalpur"/>
    <s v="Madhya Pradesh"/>
    <x v="3"/>
    <s v="731131"/>
    <s v="Save10"/>
    <n v="4"/>
    <s v="No"/>
    <s v="other"/>
    <s v="WH-12"/>
    <s v="Ekart"/>
    <d v="2024-06-06T00:00:00"/>
    <x v="36"/>
    <d v="2024-06-16T00:00:00"/>
    <s v="gdevi@gmail_com"/>
    <s v="6037891213"/>
  </r>
  <r>
    <x v="474"/>
    <s v="Zubair Khan"/>
    <x v="0"/>
    <s v="Iphone 15 Pro"/>
    <x v="13"/>
    <x v="0"/>
    <s v="Mobile Phones"/>
    <n v="85010"/>
    <n v="2"/>
    <n v="170020"/>
    <n v="10"/>
    <x v="343"/>
    <n v="153018"/>
    <n v="18"/>
    <n v="27543.24"/>
    <n v="0"/>
    <n v="180561.24"/>
    <x v="2"/>
    <s v="Economy"/>
    <x v="0"/>
    <x v="1"/>
    <s v="Ankit Sharma"/>
    <s v="North"/>
    <s v="Visakhapatnam"/>
    <s v="Andhra Pradesh"/>
    <x v="2"/>
    <s v="633132"/>
    <s v="Save10"/>
    <n v="3"/>
    <s v="No"/>
    <s v="other"/>
    <s v="WH-03"/>
    <s v="Bluedart"/>
    <d v="2024-03-16T00:00:00"/>
    <x v="327"/>
    <d v="2024-03-23T00:00:00"/>
    <s v="zubair_khan@gmail_com"/>
    <s v="9276136814"/>
  </r>
  <r>
    <x v="475"/>
    <s v="Tarun Bansal"/>
    <x v="0"/>
    <s v="Kurl-On King Bed"/>
    <x v="15"/>
    <x v="4"/>
    <s v="Beds"/>
    <n v="57350"/>
    <n v="3"/>
    <n v="172050"/>
    <n v="0"/>
    <x v="2"/>
    <n v="172050"/>
    <n v="5"/>
    <n v="8602.5"/>
    <n v="0"/>
    <n v="180652.5"/>
    <x v="0"/>
    <s v="Same Day"/>
    <x v="0"/>
    <x v="1"/>
    <s v="Suraj Verma"/>
    <s v="East"/>
    <s v="Kanpur"/>
    <s v="Uttar Pradesh"/>
    <x v="0"/>
    <s v="447808"/>
    <s v="Diwali25"/>
    <n v="3"/>
    <s v="No"/>
    <s v="other"/>
    <s v="WH-03"/>
    <s v="Dtdc"/>
    <d v="2023-05-25T00:00:00"/>
    <x v="201"/>
    <d v="2023-06-01T00:00:00"/>
    <s v="tbansal@outlook_com"/>
    <s v="8062796024"/>
  </r>
  <r>
    <x v="476"/>
    <s v="Hussain Ali"/>
    <x v="3"/>
    <s v="Nilkamal Chair"/>
    <x v="11"/>
    <x v="4"/>
    <s v="Seating"/>
    <n v="4240"/>
    <n v="1"/>
    <n v="4240"/>
    <n v="0"/>
    <x v="2"/>
    <n v="4240"/>
    <n v="5"/>
    <n v="212"/>
    <n v="99"/>
    <n v="4452"/>
    <x v="5"/>
    <s v="Overnight"/>
    <x v="0"/>
    <x v="4"/>
    <s v="Karim Sheikh"/>
    <s v="North"/>
    <s v="Gurugram"/>
    <s v="Haryana"/>
    <x v="0"/>
    <s v="346657"/>
    <s v="Festive20"/>
    <n v="3"/>
    <s v="No"/>
    <s v="other"/>
    <s v="WH-08"/>
    <s v="Delhivery"/>
    <d v="2023-06-11T00:00:00"/>
    <x v="6"/>
    <d v="2023-06-21T00:00:00"/>
    <s v="hussain_ali@yahoo_co_in"/>
    <s v="7503139280"/>
  </r>
  <r>
    <x v="477"/>
    <s v="Amit Kumar"/>
    <x v="0"/>
    <s v="Boat Rockerz 450"/>
    <x v="8"/>
    <x v="0"/>
    <s v="Audio"/>
    <n v="1460"/>
    <n v="1"/>
    <n v="1460"/>
    <n v="15"/>
    <x v="334"/>
    <n v="1241"/>
    <n v="18"/>
    <n v="223.38"/>
    <n v="99"/>
    <n v="1464.38"/>
    <x v="2"/>
    <s v="Overnight"/>
    <x v="1"/>
    <x v="3"/>
    <s v="Ankit Sharma"/>
    <s v="North"/>
    <s v="Rajkot"/>
    <s v="Gujarat"/>
    <x v="4"/>
    <s v="219482"/>
    <s v="Diwali25"/>
    <n v="5"/>
    <s v="No"/>
    <s v="other"/>
    <s v="WH-11"/>
    <s v="Bluedart"/>
    <d v="2023-12-16T00:00:00"/>
    <x v="317"/>
    <d v="2023-12-23T00:00:00"/>
    <s v="amitk@hotmail_com"/>
    <s v="7323167781"/>
  </r>
  <r>
    <x v="478"/>
    <s v="Jayesh Vora"/>
    <x v="0"/>
    <s v="Samsung 253L Fridge"/>
    <x v="2"/>
    <x v="1"/>
    <s v="Refrigerators"/>
    <n v="25130"/>
    <n v="5"/>
    <n v="125650"/>
    <n v="0"/>
    <x v="2"/>
    <n v="125650"/>
    <n v="5"/>
    <n v="6282.5"/>
    <n v="0"/>
    <n v="131932.5"/>
    <x v="6"/>
    <s v="Standard"/>
    <x v="1"/>
    <x v="3"/>
    <s v="Arjun Das"/>
    <s v="East"/>
    <s v="Nashik"/>
    <s v="Maharashtra"/>
    <x v="4"/>
    <s v="544200"/>
    <s v="None"/>
    <n v="4"/>
    <s v="No"/>
    <s v="other"/>
    <s v="WH-08"/>
    <s v="Delhivery"/>
    <d v="2023-07-01T00:00:00"/>
    <x v="328"/>
    <d v="2023-07-16T00:00:00"/>
    <s v="jayesh_vora@rediffmail_com"/>
    <s v="8787067635"/>
  </r>
  <r>
    <x v="479"/>
    <s v="Sangita Ghosh"/>
    <x v="0"/>
    <s v="Adidas Ultraboost 22"/>
    <x v="18"/>
    <x v="2"/>
    <s v="Footwear"/>
    <n v="14840"/>
    <n v="4"/>
    <n v="59360"/>
    <n v="15"/>
    <x v="344"/>
    <n v="50456"/>
    <n v="12"/>
    <n v="6054.72"/>
    <n v="0"/>
    <n v="56510.720000000001"/>
    <x v="0"/>
    <s v="Same Day"/>
    <x v="0"/>
    <x v="2"/>
    <s v="Ritu Singh"/>
    <s v="Central"/>
    <s v="Coimbatore"/>
    <s v="Tamil Nadu"/>
    <x v="2"/>
    <s v="576739"/>
    <s v="Diwali25"/>
    <n v="4"/>
    <s v="No"/>
    <s v="other"/>
    <s v="WH-04"/>
    <s v="Amazon Logistics"/>
    <d v="2023-09-09T00:00:00"/>
    <x v="247"/>
    <d v="2023-09-24T00:00:00"/>
    <s v="ghosh_sangita@gmail_com"/>
    <s v="8783765915"/>
  </r>
  <r>
    <x v="480"/>
    <s v="Saurabh Kulkarni"/>
    <x v="0"/>
    <s v="Godrej 236L Fridge"/>
    <x v="14"/>
    <x v="1"/>
    <s v="Refrigerators"/>
    <n v="22880"/>
    <n v="2"/>
    <n v="45760"/>
    <n v="10"/>
    <x v="345"/>
    <n v="41184"/>
    <n v="5"/>
    <n v="2059.1999999999998"/>
    <n v="0"/>
    <n v="43243.199999999997"/>
    <x v="3"/>
    <s v="Overnight"/>
    <x v="5"/>
    <x v="2"/>
    <s v="Ritu Singh"/>
    <s v="Central"/>
    <s v="Jodhpur"/>
    <s v="Rajasthan"/>
    <x v="0"/>
    <s v="352657"/>
    <s v="None"/>
    <n v="2"/>
    <s v="No"/>
    <s v="other"/>
    <s v="WH-12"/>
    <s v="Delhivery"/>
    <d v="2023-09-12T00:00:00"/>
    <x v="211"/>
    <d v="2023-09-23T00:00:00"/>
    <s v="saurabh_kulkarni@gmail_com"/>
    <s v="6250692965"/>
  </r>
  <r>
    <x v="481"/>
    <s v="Divya Krishnan"/>
    <x v="0"/>
    <s v="Logitech Mx Master 3"/>
    <x v="41"/>
    <x v="0"/>
    <s v="Accessories"/>
    <n v="9530"/>
    <n v="2"/>
    <n v="19060"/>
    <n v="10"/>
    <x v="346"/>
    <n v="17154"/>
    <n v="18"/>
    <n v="3087.72"/>
    <n v="0"/>
    <n v="20241.72"/>
    <x v="0"/>
    <s v="Express"/>
    <x v="4"/>
    <x v="4"/>
    <s v="Neha Kulkarni"/>
    <s v="West"/>
    <s v="Surat"/>
    <s v="Gujarat"/>
    <x v="4"/>
    <s v="786445"/>
    <s v="Newuser"/>
    <n v="5"/>
    <s v="Yes"/>
    <s v="Changed Mind"/>
    <s v="WH-12"/>
    <s v="Delhivery"/>
    <d v="2023-05-22T00:00:00"/>
    <x v="329"/>
    <d v="2023-05-27T00:00:00"/>
    <s v="divya_krishnan@gmail_com"/>
    <s v="67972 51840"/>
  </r>
  <r>
    <x v="482"/>
    <s v="Harish Malhotra"/>
    <x v="0"/>
    <s v="Lg 8Kg Front Load"/>
    <x v="33"/>
    <x v="1"/>
    <s v="Washing Machines"/>
    <n v="29347.846790890268"/>
    <n v="2"/>
    <n v="58695.693581780535"/>
    <n v="5"/>
    <x v="347"/>
    <n v="89680"/>
    <n v="5"/>
    <n v="4484"/>
    <n v="0"/>
    <n v="94164"/>
    <x v="0"/>
    <s v="Overnight"/>
    <x v="0"/>
    <x v="2"/>
    <s v="Aman Bhatia"/>
    <s v="West"/>
    <s v="Delhi"/>
    <s v="Delhi"/>
    <x v="0"/>
    <s v="326894"/>
    <s v="Flat500"/>
    <n v="4"/>
    <s v="No"/>
    <s v="other"/>
    <s v="WH-06"/>
    <s v="Dtdc"/>
    <d v="2024-02-09T00:00:00"/>
    <x v="76"/>
    <d v="2024-02-21T00:00:00"/>
    <s v="harish_malhotra@gmail_com"/>
    <s v="8484264833"/>
  </r>
  <r>
    <x v="483"/>
    <s v="Eswaran Murugan"/>
    <x v="1"/>
    <s v="Lg 43-Inch 4K Tv"/>
    <x v="33"/>
    <x v="0"/>
    <s v="Televisions"/>
    <n v="39400"/>
    <n v="6"/>
    <n v="236400"/>
    <n v="0"/>
    <x v="2"/>
    <n v="236400"/>
    <n v="18"/>
    <n v="42552"/>
    <n v="0"/>
    <n v="278952"/>
    <x v="3"/>
    <s v="Standard"/>
    <x v="0"/>
    <x v="0"/>
    <s v="Deepa Menon"/>
    <s v="South"/>
    <s v="Pune"/>
    <s v="Maharashtra"/>
    <x v="4"/>
    <s v="657819"/>
    <s v="Flat500"/>
    <n v="3"/>
    <s v="No"/>
    <s v="other"/>
    <s v="WH-02"/>
    <s v="Delhivery"/>
    <d v="2024-01-15T00:00:00"/>
    <x v="288"/>
    <d v="2024-01-25T00:00:00"/>
    <s v="emurugan@rediffmail_com"/>
    <s v="9580803889"/>
  </r>
  <r>
    <x v="484"/>
    <s v="Deepak Nair"/>
    <x v="3"/>
    <s v="Sony Wh-1000Xm5"/>
    <x v="1"/>
    <x v="0"/>
    <s v="Audio"/>
    <n v="28940"/>
    <n v="2"/>
    <n v="57880"/>
    <n v="0"/>
    <x v="2"/>
    <n v="57880"/>
    <n v="18"/>
    <n v="10418.4"/>
    <n v="0"/>
    <n v="68298.399999999994"/>
    <x v="5"/>
    <s v="Overnight"/>
    <x v="3"/>
    <x v="3"/>
    <s v="Ankit Sharma"/>
    <s v="North"/>
    <s v="Nagpur"/>
    <s v="Maharashtra"/>
    <x v="4"/>
    <s v="318883"/>
    <s v="Save10"/>
    <n v="4"/>
    <s v="No"/>
    <s v="other"/>
    <s v="WH-02"/>
    <s v="Bluedart"/>
    <d v="2023-01-13T00:00:00"/>
    <x v="289"/>
    <d v="2023-01-22T00:00:00"/>
    <s v="deepak_nair@yahoo_com"/>
    <s v="6837161158"/>
  </r>
  <r>
    <x v="485"/>
    <s v="Ramesh Bose"/>
    <x v="0"/>
    <s v="Voltas 1.5T Ac"/>
    <x v="19"/>
    <x v="1"/>
    <s v="Air Conditioners"/>
    <n v="36950"/>
    <n v="3"/>
    <n v="110850"/>
    <n v="15"/>
    <x v="348"/>
    <n v="62815"/>
    <n v="5"/>
    <n v="3140.75"/>
    <n v="0"/>
    <n v="65955.75"/>
    <x v="0"/>
    <s v="Same Day"/>
    <x v="0"/>
    <x v="4"/>
    <s v="Neha Kulkarni"/>
    <s v="West"/>
    <s v="Chandigarh"/>
    <s v="Punjab"/>
    <x v="0"/>
    <s v="560886"/>
    <s v="Flat500"/>
    <n v="4"/>
    <s v="No"/>
    <s v="other"/>
    <s v="WH-11"/>
    <s v="Delhivery"/>
    <d v="2024-01-01T00:00:00"/>
    <x v="58"/>
    <d v="2024-01-17T00:00:00"/>
    <s v="rameshb@gmail_com"/>
    <s v="6580158466"/>
  </r>
  <r>
    <x v="486"/>
    <s v="Manisha Kadam"/>
    <x v="1"/>
    <s v="Amul Butter 500G"/>
    <x v="38"/>
    <x v="5"/>
    <s v="Dairy"/>
    <n v="270"/>
    <n v="2"/>
    <n v="540"/>
    <n v="0"/>
    <x v="2"/>
    <n v="540"/>
    <n v="5"/>
    <n v="27"/>
    <n v="79"/>
    <n v="567"/>
    <x v="6"/>
    <s v="Economy"/>
    <x v="0"/>
    <x v="4"/>
    <s v="Anjali Mehta"/>
    <s v="South"/>
    <s v="Rajkot"/>
    <s v="Gujarat"/>
    <x v="4"/>
    <s v="402195"/>
    <s v="Save10"/>
    <n v="4"/>
    <s v="No"/>
    <s v="other"/>
    <s v="WH-05"/>
    <s v="Ekart"/>
    <d v="2023-06-18T00:00:00"/>
    <x v="230"/>
    <d v="2023-06-25T00:00:00"/>
    <s v="manishak@gmail_com"/>
    <s v="7777711842"/>
  </r>
  <r>
    <x v="487"/>
    <s v="Muthukrishnan Arunachalam"/>
    <x v="1"/>
    <s v="Puma Softride"/>
    <x v="31"/>
    <x v="2"/>
    <s v="Footwear"/>
    <n v="5230"/>
    <n v="6"/>
    <n v="31380"/>
    <n v="20"/>
    <x v="349"/>
    <n v="25104"/>
    <n v="12"/>
    <n v="3012.48"/>
    <n v="0"/>
    <n v="28116.48"/>
    <x v="1"/>
    <s v="Overnight"/>
    <x v="4"/>
    <x v="0"/>
    <s v="Pooja Nair"/>
    <s v="South"/>
    <s v="Vadodara"/>
    <s v="Gujarat"/>
    <x v="4"/>
    <s v="764462"/>
    <s v="None"/>
    <n v="4"/>
    <s v="Yes"/>
    <s v="Changed Mind"/>
    <s v="WH-03"/>
    <s v="Ekart"/>
    <d v="2024-04-02T00:00:00"/>
    <x v="4"/>
    <d v="2024-04-09T00:00:00"/>
    <s v="muthukrishnan_arunachalam@gmail_com"/>
    <s v="74099 68334"/>
  </r>
  <r>
    <x v="488"/>
    <s v="Usha Chopra"/>
    <x v="0"/>
    <s v="Nikon D3500"/>
    <x v="3"/>
    <x v="0"/>
    <s v="Cameras"/>
    <n v="35960"/>
    <n v="1"/>
    <n v="35960"/>
    <n v="5"/>
    <x v="350"/>
    <n v="34162"/>
    <n v="18"/>
    <n v="6149.16"/>
    <n v="0"/>
    <n v="40311.160000000003"/>
    <x v="3"/>
    <s v="Economy"/>
    <x v="2"/>
    <x v="0"/>
    <s v="Aman Bhatia"/>
    <s v="West"/>
    <s v="Gaya"/>
    <s v="Bihar"/>
    <x v="1"/>
    <s v="223034"/>
    <s v="Festive20"/>
    <n v="4"/>
    <s v="No"/>
    <s v="other"/>
    <s v="WH-07"/>
    <s v="Bluedart"/>
    <d v="2023-01-14T00:00:00"/>
    <x v="14"/>
    <d v="2024-04-09T00:00:00"/>
    <s v="ushac@yahoo_co_in"/>
    <s v="6802658934"/>
  </r>
  <r>
    <x v="489"/>
    <s v="Chirag Desai"/>
    <x v="1"/>
    <s v="Durian Sofa 3-Seat"/>
    <x v="24"/>
    <x v="4"/>
    <s v="Sofas"/>
    <n v="29347.846790890268"/>
    <n v="1"/>
    <n v="29347.846790890268"/>
    <n v="20"/>
    <x v="351"/>
    <n v="34320"/>
    <n v="5"/>
    <n v="1716"/>
    <n v="0"/>
    <n v="36036"/>
    <x v="1"/>
    <s v="Express"/>
    <x v="4"/>
    <x v="2"/>
    <s v="Vinay Joshi"/>
    <s v="Central"/>
    <s v="Hyderabad"/>
    <s v="Telangana"/>
    <x v="2"/>
    <s v="793360"/>
    <s v="None"/>
    <n v="3"/>
    <s v="Yes"/>
    <s v="Defective"/>
    <s v="WH-11"/>
    <s v="Ekart"/>
    <d v="2023-10-18T00:00:00"/>
    <x v="55"/>
    <d v="2023-10-29T00:00:00"/>
    <s v="desai_chirag@gmail_com"/>
    <s v="924000208"/>
  </r>
  <r>
    <x v="490"/>
    <s v="Lalitha Devi"/>
    <x v="0"/>
    <s v="Jbl Flip 6"/>
    <x v="27"/>
    <x v="0"/>
    <s v="Audio"/>
    <n v="10350"/>
    <n v="1"/>
    <n v="10350"/>
    <n v="10"/>
    <x v="352"/>
    <n v="9315"/>
    <n v="18"/>
    <n v="1676.7"/>
    <n v="0"/>
    <n v="10991.7"/>
    <x v="6"/>
    <s v="Overnight"/>
    <x v="0"/>
    <x v="4"/>
    <s v="Ankit Sharma"/>
    <s v="North"/>
    <s v="Hyderabad"/>
    <s v="Telangana"/>
    <x v="2"/>
    <s v="196348"/>
    <s v="Festive20"/>
    <n v="4"/>
    <s v="No"/>
    <s v="other"/>
    <s v="WH-03"/>
    <s v="Ekart"/>
    <d v="2023-07-25T00:00:00"/>
    <x v="109"/>
    <d v="2023-08-03T00:00:00"/>
    <s v="lalitha_devi@gmail_com"/>
    <s v="85415 89290"/>
  </r>
  <r>
    <x v="491"/>
    <s v="Bhavani Shankar"/>
    <x v="0"/>
    <s v="Whirlpool 7Kg Washer"/>
    <x v="35"/>
    <x v="1"/>
    <s v="Washing Machines"/>
    <n v="34110"/>
    <n v="6"/>
    <n v="204660"/>
    <n v="0"/>
    <x v="2"/>
    <n v="204660"/>
    <n v="5"/>
    <n v="10233"/>
    <n v="0"/>
    <n v="214893"/>
    <x v="4"/>
    <s v="Standard"/>
    <x v="5"/>
    <x v="1"/>
    <s v="Karim Sheikh"/>
    <s v="North"/>
    <s v="Raipur"/>
    <s v="Chhattisgarh"/>
    <x v="3"/>
    <s v="213069"/>
    <s v="Diwali25"/>
    <n v="4"/>
    <s v="No"/>
    <s v="other"/>
    <s v="WH-08"/>
    <s v="Bluedart"/>
    <d v="2023-09-20T00:00:00"/>
    <x v="330"/>
    <d v="2023-08-03T00:00:00"/>
    <s v="bhavani_shankar@yahoo_com"/>
    <s v="7798421891"/>
  </r>
  <r>
    <x v="492"/>
    <s v="Prakash Dubey"/>
    <x v="0"/>
    <s v="Milton Water Purifier"/>
    <x v="22"/>
    <x v="1"/>
    <s v="Kitchen"/>
    <n v="10440"/>
    <n v="2"/>
    <n v="20880"/>
    <n v="10"/>
    <x v="353"/>
    <n v="18792"/>
    <n v="5"/>
    <n v="939.6"/>
    <n v="0"/>
    <n v="19731.599999999999"/>
    <x v="5"/>
    <s v="Express"/>
    <x v="0"/>
    <x v="0"/>
    <s v="Deepa Menon"/>
    <s v="South"/>
    <s v="Durgapur"/>
    <s v="West Bengal"/>
    <x v="1"/>
    <s v="630100"/>
    <s v="Summer15"/>
    <n v="4"/>
    <s v="No"/>
    <s v="other"/>
    <s v="WH-01"/>
    <s v="Dtdc"/>
    <d v="2024-01-02T00:00:00"/>
    <x v="331"/>
    <d v="2024-01-06T00:00:00"/>
    <s v="prakashd@rediffmail_com"/>
    <s v="9165228989"/>
  </r>
  <r>
    <x v="493"/>
    <s v="Manisha Kadam"/>
    <x v="1"/>
    <s v="Amul Butter 500G"/>
    <x v="38"/>
    <x v="5"/>
    <s v="Dairy"/>
    <n v="29347.846790890268"/>
    <n v="9"/>
    <n v="264130.62111801241"/>
    <n v="15"/>
    <x v="354"/>
    <n v="2065.5"/>
    <n v="5"/>
    <n v="103.28"/>
    <n v="49"/>
    <n v="2168.7800000000002"/>
    <x v="4"/>
    <s v="Economy"/>
    <x v="4"/>
    <x v="3"/>
    <s v="Anjali Mehta"/>
    <s v="South"/>
    <s v="Durgapur"/>
    <s v="West Bengal"/>
    <x v="1"/>
    <s v="625140"/>
    <s v="None"/>
    <n v="4"/>
    <s v="Yes"/>
    <s v="other"/>
    <s v="WH-01"/>
    <s v="Dtdc"/>
    <d v="2023-11-21T00:00:00"/>
    <x v="332"/>
    <d v="2023-11-25T00:00:00"/>
    <s v="mkadam@gmail_com"/>
    <s v=" 9188711486"/>
  </r>
  <r>
    <x v="494"/>
    <s v="Gita Pillai"/>
    <x v="3"/>
    <s v="Lavie Handbag"/>
    <x v="12"/>
    <x v="2"/>
    <s v="Bags"/>
    <n v="2860"/>
    <n v="1"/>
    <n v="2860"/>
    <n v="5"/>
    <x v="355"/>
    <n v="2717"/>
    <n v="12"/>
    <n v="326.04000000000002"/>
    <n v="49"/>
    <n v="3043.04"/>
    <x v="0"/>
    <s v="Overnight"/>
    <x v="0"/>
    <x v="1"/>
    <s v="Anjali Mehta"/>
    <s v="South"/>
    <s v="Chandigarh"/>
    <s v="Punjab"/>
    <x v="0"/>
    <s v="412284"/>
    <s v="None"/>
    <n v="4"/>
    <s v="No"/>
    <s v="other"/>
    <s v="WH-12"/>
    <s v="Ekart"/>
    <d v="2023-05-07T00:00:00"/>
    <x v="333"/>
    <d v="2023-05-12T00:00:00"/>
    <s v="pillai_gita@hotmail_com"/>
    <s v="8806200730"/>
  </r>
  <r>
    <x v="495"/>
    <s v="Ramachandran Pillai"/>
    <x v="3"/>
    <s v="Hp Pavilion 15"/>
    <x v="0"/>
    <x v="0"/>
    <s v="Laptops"/>
    <n v="60690"/>
    <n v="10"/>
    <n v="606900"/>
    <n v="5"/>
    <x v="356"/>
    <n v="576555"/>
    <n v="18"/>
    <n v="103779.9"/>
    <n v="0"/>
    <n v="680334.9"/>
    <x v="5"/>
    <s v="Same Day"/>
    <x v="2"/>
    <x v="1"/>
    <s v="Ritu Singh"/>
    <s v="Central"/>
    <s v="Jamshedpur"/>
    <s v="Jharkhand"/>
    <x v="1"/>
    <s v="336319"/>
    <s v="None"/>
    <n v="4"/>
    <s v="No"/>
    <s v="other"/>
    <s v="WH-07"/>
    <s v="Ekart"/>
    <d v="2023-11-10T00:00:00"/>
    <x v="45"/>
    <d v="2023-10-22T00:00:00"/>
    <s v="rpillai@gmail_com"/>
    <s v="7466886583"/>
  </r>
  <r>
    <x v="496"/>
    <s v="Ravi Shankar"/>
    <x v="0"/>
    <s v="Samsung Galaxy S24"/>
    <x v="2"/>
    <x v="0"/>
    <s v="Mobile Phones"/>
    <n v="75090"/>
    <n v="1"/>
    <n v="75090"/>
    <n v="10"/>
    <x v="357"/>
    <n v="67581"/>
    <n v="18"/>
    <n v="12164.58"/>
    <n v="0"/>
    <n v="79745.58"/>
    <x v="4"/>
    <s v="Economy"/>
    <x v="0"/>
    <x v="0"/>
    <s v="Ritu Singh"/>
    <s v="Central"/>
    <s v="Ahmedabad"/>
    <s v="Gujarat"/>
    <x v="4"/>
    <s v="600147"/>
    <s v="None"/>
    <n v="4"/>
    <s v="No"/>
    <s v="other"/>
    <s v="WH-12"/>
    <s v="Bluedart"/>
    <d v="2024-04-16T00:00:00"/>
    <x v="161"/>
    <d v="2024-04-27T00:00:00"/>
    <s v="shankar_ravi@gmail_com"/>
    <s v="8050450509"/>
  </r>
  <r>
    <x v="497"/>
    <s v="Girish More"/>
    <x v="1"/>
    <s v="Centuary Mattress"/>
    <x v="16"/>
    <x v="4"/>
    <s v="Beds"/>
    <n v="14130"/>
    <n v="1"/>
    <n v="14130"/>
    <n v="10"/>
    <x v="358"/>
    <n v="12717"/>
    <n v="5"/>
    <n v="635.85"/>
    <n v="0"/>
    <n v="13352.85"/>
    <x v="3"/>
    <s v="Standard"/>
    <x v="0"/>
    <x v="4"/>
    <s v="Pooja Nair"/>
    <s v="South"/>
    <s v="Ranchi"/>
    <s v="Jharkhand"/>
    <x v="1"/>
    <s v="387026"/>
    <s v="None"/>
    <n v="4"/>
    <s v="Yes"/>
    <s v="other"/>
    <s v="WH-11"/>
    <s v="Bluedart"/>
    <d v="2023-05-01T00:00:00"/>
    <x v="334"/>
    <d v="2023-01-17T00:00:00"/>
    <s v="gmore@gmail_com"/>
    <s v=" 8279433795"/>
  </r>
  <r>
    <x v="498"/>
    <s v="Girish More"/>
    <x v="0"/>
    <s v="Macbook Air M2"/>
    <x v="13"/>
    <x v="0"/>
    <s v="Laptops"/>
    <n v="118850"/>
    <n v="1"/>
    <n v="118850"/>
    <n v="5"/>
    <x v="359"/>
    <n v="112907.5"/>
    <n v="18"/>
    <n v="20323.349999999999"/>
    <n v="0"/>
    <n v="133230.85"/>
    <x v="2"/>
    <s v="Same Day"/>
    <x v="0"/>
    <x v="2"/>
    <s v="Anjali Mehta"/>
    <s v="South"/>
    <s v="Vadodara"/>
    <s v="Gujarat"/>
    <x v="4"/>
    <s v="284888"/>
    <s v="Save10"/>
    <n v="5"/>
    <s v="No"/>
    <s v="other"/>
    <s v="WH-05"/>
    <s v="Amazon Logistics"/>
    <d v="2024-06-20T00:00:00"/>
    <x v="235"/>
    <d v="2024-07-02T00:00:00"/>
    <s v="gmore@gmail_com"/>
    <s v="9537062728"/>
  </r>
  <r>
    <x v="499"/>
    <s v="Paramjit Brar"/>
    <x v="3"/>
    <s v="Logitech Mx Master 3"/>
    <x v="41"/>
    <x v="0"/>
    <s v="Accessories"/>
    <n v="9170"/>
    <n v="1"/>
    <n v="9170"/>
    <n v="0"/>
    <x v="2"/>
    <n v="9170"/>
    <n v="18"/>
    <n v="1650.6"/>
    <n v="0"/>
    <n v="10820.6"/>
    <x v="2"/>
    <s v="Overnight"/>
    <x v="1"/>
    <x v="2"/>
    <s v="Raj Kumar"/>
    <s v="North"/>
    <s v="Howrah"/>
    <s v="West Bengal"/>
    <x v="1"/>
    <s v="470875"/>
    <s v="Flat500"/>
    <n v="4"/>
    <s v="No"/>
    <s v="other"/>
    <s v="WH-02"/>
    <s v="Ekart"/>
    <d v="2024-06-07T00:00:00"/>
    <x v="335"/>
    <d v="2024-06-23T00:00:00"/>
    <s v="paramjit_brar@gmail_com"/>
    <s v="6505998226"/>
  </r>
  <r>
    <x v="500"/>
    <s v="Gita Pillai"/>
    <x v="3"/>
    <s v="Voltas 1.5T Ac"/>
    <x v="19"/>
    <x v="1"/>
    <s v="Air Conditioners"/>
    <n v="35840"/>
    <n v="6"/>
    <n v="215040"/>
    <n v="0"/>
    <x v="2"/>
    <n v="215040"/>
    <n v="5"/>
    <n v="10752"/>
    <n v="0"/>
    <n v="225792"/>
    <x v="2"/>
    <s v="Express"/>
    <x v="1"/>
    <x v="3"/>
    <s v="Vinay Joshi"/>
    <s v="Central"/>
    <s v="Patna"/>
    <s v="Bihar"/>
    <x v="1"/>
    <s v="264222"/>
    <s v="Summer15"/>
    <n v="4"/>
    <s v="No"/>
    <s v="other"/>
    <s v="WH-02"/>
    <s v="Amazon Logistics"/>
    <d v="2023-09-06T00:00:00"/>
    <x v="13"/>
    <d v="2023-09-16T00:00:00"/>
    <s v="gpillai@hotmail_com"/>
    <s v="7443183436"/>
  </r>
  <r>
    <x v="501"/>
    <s v="Kiran Rao"/>
    <x v="0"/>
    <s v="Daikin 1.5T Inverter"/>
    <x v="30"/>
    <x v="1"/>
    <s v="Air Conditioners"/>
    <n v="48520"/>
    <n v="3"/>
    <n v="145560"/>
    <n v="0"/>
    <x v="2"/>
    <n v="145560"/>
    <n v="5"/>
    <n v="7278"/>
    <n v="0"/>
    <n v="152838"/>
    <x v="1"/>
    <s v="Standard"/>
    <x v="1"/>
    <x v="0"/>
    <s v="Ritu Singh"/>
    <s v="Central"/>
    <s v="Coimbatore"/>
    <s v="Tamil Nadu"/>
    <x v="2"/>
    <m/>
    <s v="None"/>
    <n v="4"/>
    <s v="No"/>
    <s v="other"/>
    <s v="WH-11"/>
    <s v="Bluedart"/>
    <d v="2023-07-03T00:00:00"/>
    <x v="249"/>
    <d v="2023-03-16T00:00:00"/>
    <s v="kiran_rao@gmail_com"/>
    <s v="6376710529"/>
  </r>
  <r>
    <x v="502"/>
    <s v="Gurpreet Kaur"/>
    <x v="3"/>
    <s v="Titan Raga"/>
    <x v="26"/>
    <x v="2"/>
    <s v="Accessories"/>
    <n v="8520"/>
    <n v="7"/>
    <n v="59640"/>
    <n v="5"/>
    <x v="360"/>
    <n v="56658"/>
    <n v="12"/>
    <n v="6798.96"/>
    <n v="0"/>
    <n v="63456.959999999999"/>
    <x v="4"/>
    <s v="Economy"/>
    <x v="0"/>
    <x v="1"/>
    <s v="Anjali Mehta"/>
    <s v="South"/>
    <s v="Gaya"/>
    <s v="Bihar"/>
    <x v="1"/>
    <s v="277440"/>
    <s v="Flat500"/>
    <n v="4"/>
    <s v="No"/>
    <s v="other"/>
    <s v="WH-02"/>
    <s v="Delhivery"/>
    <d v="2023-07-03T00:00:00"/>
    <x v="87"/>
    <d v="2023-08-19T00:00:00"/>
    <s v="gurpreet_kaur@outlook_com"/>
    <s v="9182368810"/>
  </r>
  <r>
    <x v="503"/>
    <s v="Venkatesan Rajan"/>
    <x v="0"/>
    <s v="Amul Butter 500G"/>
    <x v="38"/>
    <x v="5"/>
    <s v="Dairy"/>
    <n v="290"/>
    <n v="4"/>
    <n v="1160"/>
    <n v="0"/>
    <x v="2"/>
    <n v="1160"/>
    <n v="5"/>
    <n v="58"/>
    <n v="49"/>
    <n v="1218"/>
    <x v="6"/>
    <s v="Standard"/>
    <x v="0"/>
    <x v="2"/>
    <s v="Pooja Nair"/>
    <s v="South"/>
    <s v="Chandigarh"/>
    <s v="Punjab"/>
    <x v="0"/>
    <s v="664788"/>
    <s v="Flat500"/>
    <n v="4"/>
    <s v="No"/>
    <s v="other"/>
    <s v="WH-02"/>
    <s v="Amazon Logistics"/>
    <d v="2023-03-20T00:00:00"/>
    <x v="141"/>
    <d v="2023-04-04T00:00:00"/>
    <s v="venkatesan_rajan@gmail_com"/>
    <s v="9005214107"/>
  </r>
  <r>
    <x v="504"/>
    <s v="Usha Chopra"/>
    <x v="3"/>
    <s v="Pepperfry Coffee Table"/>
    <x v="20"/>
    <x v="4"/>
    <s v="Tables"/>
    <n v="11800"/>
    <n v="1"/>
    <n v="11800"/>
    <n v="5"/>
    <x v="361"/>
    <n v="11210"/>
    <n v="5"/>
    <n v="560.5"/>
    <n v="0"/>
    <n v="11770.5"/>
    <x v="6"/>
    <s v="Express"/>
    <x v="2"/>
    <x v="2"/>
    <s v="Arjun Das"/>
    <s v="East"/>
    <s v="Hubballi"/>
    <s v="Karnataka"/>
    <x v="2"/>
    <s v="256581"/>
    <s v="None"/>
    <n v="4"/>
    <s v="No"/>
    <s v="other"/>
    <s v="WH-11"/>
    <s v="Amazon Logistics"/>
    <d v="2023-09-23T00:00:00"/>
    <x v="336"/>
    <d v="2023-10-04T00:00:00"/>
    <s v="chopra_usha@yahoo_co_in"/>
    <s v="6639561266"/>
  </r>
  <r>
    <x v="505"/>
    <s v="Abhijeet Sawant"/>
    <x v="0"/>
    <s v="Dell Xps 15 Laptop"/>
    <x v="23"/>
    <x v="0"/>
    <s v="Laptops"/>
    <n v="119370"/>
    <n v="1"/>
    <n v="119370"/>
    <n v="0"/>
    <x v="2"/>
    <n v="119370"/>
    <n v="18"/>
    <n v="21486.6"/>
    <n v="0"/>
    <n v="140856.6"/>
    <x v="2"/>
    <s v="Economy"/>
    <x v="1"/>
    <x v="2"/>
    <s v="Neha Kulkarni"/>
    <s v="West"/>
    <s v="Hubballi"/>
    <s v="Karnataka"/>
    <x v="2"/>
    <s v="620050"/>
    <s v="Festive20"/>
    <n v="4"/>
    <s v="No"/>
    <s v="other"/>
    <s v="WH-11"/>
    <s v="Delhivery"/>
    <d v="2024-02-05T00:00:00"/>
    <x v="101"/>
    <d v="2024-02-13T00:00:00"/>
    <s v="sawant_abhijeet@outlook_com"/>
    <s v="6636470465"/>
  </r>
  <r>
    <x v="506"/>
    <s v="Girish More"/>
    <x v="0"/>
    <s v="Wildcraft Backpack"/>
    <x v="28"/>
    <x v="2"/>
    <s v="Bags"/>
    <n v="2140"/>
    <n v="1"/>
    <n v="2140"/>
    <n v="5"/>
    <x v="362"/>
    <n v="2033"/>
    <n v="12"/>
    <n v="243.96"/>
    <n v="79"/>
    <n v="2276.96"/>
    <x v="2"/>
    <s v="Same Day"/>
    <x v="0"/>
    <x v="1"/>
    <s v="Aman Bhatia"/>
    <s v="West"/>
    <s v="Kanpur"/>
    <s v="Uttar Pradesh"/>
    <x v="0"/>
    <s v="580597"/>
    <s v="None"/>
    <n v="4"/>
    <s v="No"/>
    <s v="other"/>
    <s v="WH-01"/>
    <s v="Bluedart"/>
    <d v="2023-05-29T00:00:00"/>
    <x v="148"/>
    <d v="2023-06-08T00:00:00"/>
    <s v="girishm@gmail_com"/>
    <s v="9830181796"/>
  </r>
  <r>
    <x v="507"/>
    <s v="Lalita Shah"/>
    <x v="0"/>
    <s v="Macbook Air M2"/>
    <x v="13"/>
    <x v="0"/>
    <s v="Laptops"/>
    <n v="119270"/>
    <n v="2"/>
    <n v="238540"/>
    <n v="10"/>
    <x v="363"/>
    <n v="214686"/>
    <n v="18"/>
    <n v="38643.480000000003"/>
    <n v="0"/>
    <n v="253329.48"/>
    <x v="2"/>
    <s v="Standard"/>
    <x v="0"/>
    <x v="2"/>
    <s v="Deepa Menon"/>
    <s v="South"/>
    <s v="Mysuru"/>
    <s v="Karnataka"/>
    <x v="2"/>
    <s v="789761"/>
    <s v="Festive20"/>
    <n v="4"/>
    <s v="No"/>
    <s v="other"/>
    <s v="WH-10"/>
    <s v="Delhivery"/>
    <d v="2024-02-24T00:00:00"/>
    <x v="337"/>
    <d v="2024-03-09T00:00:00"/>
    <s v="lalitas@yahoo_com"/>
    <s v="6312975572"/>
  </r>
  <r>
    <x v="508"/>
    <s v="Deepak Nair"/>
    <x v="0"/>
    <s v="Macbook Air M2"/>
    <x v="13"/>
    <x v="0"/>
    <s v="Laptops"/>
    <n v="109170"/>
    <n v="2"/>
    <n v="218340"/>
    <n v="10"/>
    <x v="364"/>
    <n v="196506"/>
    <n v="18"/>
    <n v="35371.08"/>
    <n v="0"/>
    <n v="231877.08000000002"/>
    <x v="5"/>
    <s v="Express"/>
    <x v="0"/>
    <x v="4"/>
    <s v="Suraj Verma"/>
    <s v="East"/>
    <s v="Jabalpur"/>
    <s v="Madhya Pradesh"/>
    <x v="3"/>
    <s v="615235"/>
    <s v="None"/>
    <n v="5"/>
    <s v="No"/>
    <s v="other"/>
    <s v="WH-12"/>
    <s v="Delhivery"/>
    <d v="2023-01-14T00:00:00"/>
    <x v="14"/>
    <d v="2023-01-21T00:00:00"/>
    <s v="nair_deepakyahoo_com"/>
    <s v="7490372954"/>
  </r>
  <r>
    <x v="509"/>
    <s v="Smita Patil"/>
    <x v="0"/>
    <s v="Lenovo Thinkpad E14"/>
    <x v="4"/>
    <x v="0"/>
    <s v="Laptops"/>
    <n v="53980"/>
    <n v="7"/>
    <n v="377860"/>
    <n v="15"/>
    <x v="365"/>
    <n v="321181"/>
    <n v="18"/>
    <n v="57812.58"/>
    <n v="0"/>
    <n v="378993.58"/>
    <x v="4"/>
    <s v="Same Day"/>
    <x v="5"/>
    <x v="2"/>
    <s v="Ritu Singh"/>
    <s v="Central"/>
    <s v="Kochi"/>
    <s v="Kerala"/>
    <x v="2"/>
    <s v="761966"/>
    <s v="None"/>
    <n v="5"/>
    <s v="No"/>
    <s v="other"/>
    <s v="WH-10"/>
    <s v="Bluedart"/>
    <d v="2023-10-06T00:00:00"/>
    <x v="338"/>
    <d v="2023-10-11T00:00:00"/>
    <s v="smita_patil@gmail_com"/>
    <s v="7639945413"/>
  </r>
  <r>
    <x v="510"/>
    <s v="Chandra  Sekar"/>
    <x v="1"/>
    <s v="Fastrack Watch"/>
    <x v="6"/>
    <x v="2"/>
    <s v="Accessories"/>
    <n v="2540"/>
    <n v="4"/>
    <n v="10160"/>
    <n v="0"/>
    <x v="2"/>
    <n v="10160"/>
    <n v="12"/>
    <n v="1219.2"/>
    <n v="0"/>
    <n v="11379.2"/>
    <x v="5"/>
    <s v="Express"/>
    <x v="0"/>
    <x v="3"/>
    <s v="Priya Sinha"/>
    <s v="West"/>
    <s v="Thiruvananthapuram"/>
    <s v="Kerala"/>
    <x v="2"/>
    <s v="541799"/>
    <s v="None"/>
    <n v="5"/>
    <s v="No"/>
    <s v="other"/>
    <s v="WH-04"/>
    <s v="Delhivery"/>
    <d v="2023-10-12T00:00:00"/>
    <x v="339"/>
    <d v="2023-10-20T00:00:00"/>
    <s v="sekar_chandra@gmail_com"/>
    <s v="8707217340"/>
  </r>
  <r>
    <x v="511"/>
    <s v="Jayalakshmi Kumar"/>
    <x v="0"/>
    <s v="Lenovo Thinkpad E14"/>
    <x v="4"/>
    <x v="0"/>
    <s v="Laptops"/>
    <n v="58490"/>
    <n v="5"/>
    <n v="292450"/>
    <n v="20"/>
    <x v="366"/>
    <n v="233960"/>
    <n v="18"/>
    <n v="42112.800000000003"/>
    <n v="0"/>
    <n v="276072.8"/>
    <x v="1"/>
    <s v="Standard"/>
    <x v="0"/>
    <x v="4"/>
    <s v="Ritu Singh"/>
    <s v="Central"/>
    <s v="Jamshedpur"/>
    <s v="Jharkhand"/>
    <x v="1"/>
    <s v="207873"/>
    <s v="Newuser"/>
    <n v="4"/>
    <s v="No"/>
    <s v="other"/>
    <s v="WH-10"/>
    <s v="Delhivery"/>
    <d v="2023-11-14T00:00:00"/>
    <x v="190"/>
    <d v="2023-11-23T00:00:00"/>
    <s v="jayalakshmi_kumar@gmail_com"/>
    <s v="9615640994"/>
  </r>
  <r>
    <x v="512"/>
    <s v="Nisha Jain"/>
    <x v="3"/>
    <s v="Samsung Galaxy S24"/>
    <x v="2"/>
    <x v="0"/>
    <s v="Mobile Phones"/>
    <n v="75930"/>
    <n v="1"/>
    <n v="75930"/>
    <n v="25"/>
    <x v="367"/>
    <n v="56947.5"/>
    <n v="18"/>
    <n v="10250.549999999999"/>
    <n v="0"/>
    <n v="67198.05"/>
    <x v="0"/>
    <s v="Express"/>
    <x v="0"/>
    <x v="2"/>
    <s v="Suraj Verma"/>
    <s v="East"/>
    <s v="Jamshedpur"/>
    <s v="Jharkhand"/>
    <x v="1"/>
    <s v="393283"/>
    <s v="None"/>
    <n v="4"/>
    <s v="No"/>
    <s v="other"/>
    <s v="WH-04"/>
    <s v="Ekart"/>
    <d v="2023-11-22T00:00:00"/>
    <x v="275"/>
    <d v="2023-12-03T00:00:00"/>
    <s v="jain_nisha@gmail_com"/>
    <s v="9861941183"/>
  </r>
  <r>
    <x v="513"/>
    <s v="Fathima Begum"/>
    <x v="3"/>
    <s v="Canon Eos 200D"/>
    <x v="7"/>
    <x v="0"/>
    <s v="Cameras"/>
    <n v="52220"/>
    <n v="9"/>
    <n v="469980"/>
    <n v="5"/>
    <x v="368"/>
    <n v="446481"/>
    <n v="18"/>
    <n v="80366.58"/>
    <n v="0"/>
    <n v="526847.57999999996"/>
    <x v="1"/>
    <s v="Standard"/>
    <x v="1"/>
    <x v="0"/>
    <s v="Neha Kulkarni"/>
    <s v="West"/>
    <s v="Udaipur"/>
    <s v="Rajasthan"/>
    <x v="0"/>
    <s v="118658"/>
    <s v="None"/>
    <n v="5"/>
    <s v="No"/>
    <s v="other"/>
    <s v="WH-07"/>
    <s v="Ekart"/>
    <d v="2023-08-02T00:00:00"/>
    <x v="340"/>
    <d v="2023-08-13T00:00:00"/>
    <s v="begum_fathima@gmail_com"/>
    <s v="7550743509"/>
  </r>
  <r>
    <x v="514"/>
    <s v="Preeti Deshpande"/>
    <x v="1"/>
    <s v="Jbl Flip 6"/>
    <x v="27"/>
    <x v="0"/>
    <s v="Audio"/>
    <n v="9930"/>
    <n v="1"/>
    <n v="9930"/>
    <n v="15"/>
    <x v="369"/>
    <n v="8440.5"/>
    <n v="18"/>
    <n v="1519.29"/>
    <n v="0"/>
    <n v="9959.7900000000009"/>
    <x v="2"/>
    <s v="Standard"/>
    <x v="0"/>
    <x v="0"/>
    <s v="Ankit Sharma"/>
    <s v="North"/>
    <s v="Chennai"/>
    <s v="Tamil Nadu"/>
    <x v="2"/>
    <s v="196021"/>
    <s v="None"/>
    <n v="3"/>
    <s v="No"/>
    <s v="other"/>
    <s v="WH-04"/>
    <s v="Ekart"/>
    <d v="2023-04-09T00:00:00"/>
    <x v="341"/>
    <d v="2023-04-25T00:00:00"/>
    <s v="deshpande_preeti@gmail_com"/>
    <s v="68667 98994"/>
  </r>
  <r>
    <x v="515"/>
    <s v="Nidhi Joshi"/>
    <x v="0"/>
    <s v="Lenovo Thinkpad E14"/>
    <x v="4"/>
    <x v="0"/>
    <s v="Laptops"/>
    <n v="53360"/>
    <n v="4"/>
    <n v="213440"/>
    <n v="5"/>
    <x v="370"/>
    <n v="202768"/>
    <n v="18"/>
    <n v="36498.239999999998"/>
    <n v="0"/>
    <n v="239266.24"/>
    <x v="6"/>
    <s v="Economy"/>
    <x v="0"/>
    <x v="1"/>
    <s v="Sneha Reddy"/>
    <s v="South"/>
    <s v="Coimbatore"/>
    <s v="Tamil Nadu"/>
    <x v="2"/>
    <s v="698241"/>
    <s v="None"/>
    <n v="4"/>
    <s v="No"/>
    <s v="other"/>
    <s v="WH-08"/>
    <s v="Ekart"/>
    <d v="2024-05-06T00:00:00"/>
    <x v="130"/>
    <d v="2024-05-20T00:00:00"/>
    <s v="njoshi@yahoo_co_in"/>
    <s v="7969850450"/>
  </r>
  <r>
    <x v="516"/>
    <s v="Rohit Singh"/>
    <x v="0"/>
    <s v="Lg 43-Inch 4K Tv"/>
    <x v="33"/>
    <x v="0"/>
    <s v="Televisions"/>
    <n v="41520"/>
    <n v="20"/>
    <n v="830400"/>
    <n v="0"/>
    <x v="2"/>
    <n v="830400"/>
    <n v="18"/>
    <n v="149472"/>
    <n v="0"/>
    <n v="979872"/>
    <x v="4"/>
    <s v="Same Day"/>
    <x v="0"/>
    <x v="0"/>
    <s v="Anjali Mehta"/>
    <s v="South"/>
    <s v="Coimbatore"/>
    <s v="Tamil Nadu"/>
    <x v="2"/>
    <s v="496792"/>
    <s v="Festive20"/>
    <n v="4"/>
    <s v="No"/>
    <s v="other"/>
    <s v="WH-12"/>
    <s v="Bluedart"/>
    <d v="2023-04-09T00:00:00"/>
    <x v="342"/>
    <d v="2023-09-16T00:00:00"/>
    <s v="rohit_singh@outlook_com"/>
    <s v="9635853010"/>
  </r>
  <r>
    <x v="517"/>
    <s v="Preeti Deshpande"/>
    <x v="0"/>
    <s v="Bajaj Mixer 750W"/>
    <x v="5"/>
    <x v="1"/>
    <s v="Kitchen"/>
    <n v="2700"/>
    <n v="2"/>
    <n v="5400"/>
    <n v="10"/>
    <x v="371"/>
    <n v="4860"/>
    <n v="5"/>
    <n v="243"/>
    <n v="0"/>
    <n v="5103"/>
    <x v="6"/>
    <s v="Overnight"/>
    <x v="0"/>
    <x v="2"/>
    <s v="Anjali Mehta"/>
    <s v="South"/>
    <s v="Agra"/>
    <s v="Uttar Pradesh"/>
    <x v="0"/>
    <s v="622109"/>
    <s v="Flat500"/>
    <n v="4"/>
    <s v="No"/>
    <s v="other"/>
    <s v="WH-05"/>
    <s v="Ekart"/>
    <d v="2023-07-18T00:00:00"/>
    <x v="8"/>
    <d v="2023-08-01T00:00:00"/>
    <s v="preeti_deshpande@gmail_com"/>
    <s v="6731744577"/>
  </r>
  <r>
    <x v="518"/>
    <s v="Harish Malhotra"/>
    <x v="3"/>
    <s v="Kurl-On King Bed"/>
    <x v="15"/>
    <x v="4"/>
    <s v="Beds"/>
    <n v="53720"/>
    <n v="1"/>
    <n v="53720"/>
    <n v="0"/>
    <x v="2"/>
    <n v="53720"/>
    <n v="5"/>
    <n v="2686"/>
    <n v="0"/>
    <n v="56406"/>
    <x v="4"/>
    <s v="Same Day"/>
    <x v="1"/>
    <x v="1"/>
    <s v="Pooja Nair"/>
    <s v="South"/>
    <s v="Mangaluru"/>
    <s v="Karnataka"/>
    <x v="2"/>
    <s v="538911"/>
    <s v="Flat500"/>
    <n v="4"/>
    <s v="No"/>
    <s v="other"/>
    <s v="WH-06"/>
    <s v="Ekart"/>
    <d v="2023-09-03T00:00:00"/>
    <x v="239"/>
    <d v="2023-09-16T00:00:00"/>
    <s v="harish_malhotra@gmail_com"/>
    <s v="7149753411"/>
  </r>
  <r>
    <x v="519"/>
    <s v="Archana Srivastava"/>
    <x v="3"/>
    <s v="Camlin Art Kit"/>
    <x v="34"/>
    <x v="3"/>
    <s v="Art Supplies"/>
    <n v="570"/>
    <n v="2"/>
    <n v="1140"/>
    <n v="25"/>
    <x v="372"/>
    <n v="855"/>
    <n v="5"/>
    <n v="42.75"/>
    <n v="79"/>
    <n v="897.75"/>
    <x v="0"/>
    <s v="Economy"/>
    <x v="3"/>
    <x v="2"/>
    <s v="Arjun Das"/>
    <s v="East"/>
    <s v="Bengaluru"/>
    <s v="Karnataka"/>
    <x v="2"/>
    <s v="579576"/>
    <s v="Save10"/>
    <n v="4"/>
    <s v="No"/>
    <s v="other"/>
    <s v="WH-05"/>
    <s v="Bluedart"/>
    <d v="2023-09-08T00:00:00"/>
    <x v="239"/>
    <d v="2023-09-20T00:00:00"/>
    <s v="archana_srivastava@gmail_com"/>
    <s v="9110349561"/>
  </r>
  <r>
    <x v="520"/>
    <s v="Jyoti Narayan"/>
    <x v="3"/>
    <s v="Puma Softride"/>
    <x v="31"/>
    <x v="2"/>
    <s v="Footwear"/>
    <n v="4820"/>
    <n v="4"/>
    <n v="19280"/>
    <n v="5"/>
    <x v="373"/>
    <n v="18316"/>
    <n v="12"/>
    <n v="2197.92"/>
    <n v="0"/>
    <n v="20513.919999999998"/>
    <x v="5"/>
    <s v="Economy"/>
    <x v="1"/>
    <x v="0"/>
    <s v="Sneha Reddy"/>
    <s v="South"/>
    <s v="Kochi"/>
    <s v="Kerala"/>
    <x v="2"/>
    <s v="180499"/>
    <s v="Summer15"/>
    <n v="4"/>
    <s v="No"/>
    <s v="other"/>
    <s v="WH-02"/>
    <s v="Dtdc"/>
    <d v="2023-04-06T00:00:00"/>
    <x v="119"/>
    <d v="2023-04-19T00:00:00"/>
    <s v="narayan_jyoti@yahoo_com"/>
    <s v="8914233029"/>
  </r>
  <r>
    <x v="521"/>
    <s v="Sangita Ghosh"/>
    <x v="0"/>
    <s v="Jbl Flip 6"/>
    <x v="27"/>
    <x v="0"/>
    <s v="Audio"/>
    <n v="9470"/>
    <n v="3"/>
    <n v="28410"/>
    <n v="5"/>
    <x v="374"/>
    <n v="26989.5"/>
    <n v="18"/>
    <n v="4858.1099999999997"/>
    <n v="0"/>
    <n v="31847.61"/>
    <x v="4"/>
    <s v="Express"/>
    <x v="3"/>
    <x v="1"/>
    <s v="Ankit Sharma"/>
    <s v="North"/>
    <s v="Asansol"/>
    <s v="West Bengal"/>
    <x v="1"/>
    <s v="443741"/>
    <s v="Flat500"/>
    <n v="3"/>
    <s v="No"/>
    <s v="other"/>
    <s v="WH-02"/>
    <s v="Bluedart"/>
    <d v="2023-04-03T00:00:00"/>
    <x v="261"/>
    <d v="2023-04-15T00:00:00"/>
    <s v="sangitag@gmail_com"/>
    <s v="735186647"/>
  </r>
  <r>
    <x v="522"/>
    <s v="Gopal Menon"/>
    <x v="1"/>
    <s v="Voltas 1.5T Ac"/>
    <x v="19"/>
    <x v="1"/>
    <s v="Air Conditioners"/>
    <n v="38750"/>
    <n v="2"/>
    <n v="77500"/>
    <n v="10"/>
    <x v="375"/>
    <n v="69750"/>
    <n v="5"/>
    <n v="3487.5"/>
    <n v="0"/>
    <n v="73237.5"/>
    <x v="6"/>
    <s v="Same Day"/>
    <x v="2"/>
    <x v="1"/>
    <s v="Priya Sinha"/>
    <s v="West"/>
    <s v="Ranchi"/>
    <s v="Jharkhand"/>
    <x v="1"/>
    <s v="291456"/>
    <s v="Summer15"/>
    <n v="5"/>
    <s v="No"/>
    <s v="other"/>
    <s v="WH-03"/>
    <s v="Delhivery"/>
    <d v="2023-05-02T00:00:00"/>
    <x v="246"/>
    <d v="2023-05-16T00:00:00"/>
    <s v="gopal_menon@gmail_com"/>
    <s v="9923831934"/>
  </r>
  <r>
    <x v="523"/>
    <s v="Prakash Dubey"/>
    <x v="0"/>
    <s v="Tata Tea Premium 1Kg"/>
    <x v="17"/>
    <x v="5"/>
    <s v="Beverages"/>
    <n v="480"/>
    <n v="1"/>
    <n v="480"/>
    <n v="0"/>
    <x v="2"/>
    <n v="480"/>
    <n v="5"/>
    <n v="24"/>
    <n v="49"/>
    <n v="504"/>
    <x v="5"/>
    <s v="Standard"/>
    <x v="0"/>
    <x v="4"/>
    <s v="Vinay Joshi"/>
    <s v="Central"/>
    <s v="Nashik"/>
    <s v="Maharashtra"/>
    <x v="4"/>
    <s v="235493"/>
    <s v="Flat500"/>
    <n v="4"/>
    <s v="No"/>
    <s v="other"/>
    <s v="WH-12"/>
    <s v="India Post"/>
    <d v="2023-04-15T00:00:00"/>
    <x v="343"/>
    <d v="2023-04-20T00:00:00"/>
    <s v="prakashdrediffmail_com"/>
    <s v="6440778110"/>
  </r>
  <r>
    <x v="524"/>
    <s v="Chirag Desai"/>
    <x v="1"/>
    <s v="Godrej Interio Desk"/>
    <x v="14"/>
    <x v="4"/>
    <s v="Desks"/>
    <n v="19250"/>
    <n v="4"/>
    <n v="77000"/>
    <n v="20"/>
    <x v="376"/>
    <n v="61600"/>
    <n v="5"/>
    <n v="3080"/>
    <n v="0"/>
    <n v="64680"/>
    <x v="2"/>
    <s v="Economy"/>
    <x v="2"/>
    <x v="1"/>
    <s v="Neha Kulkarni"/>
    <s v="West"/>
    <s v="Patna"/>
    <s v="Bihar"/>
    <x v="1"/>
    <s v="312955"/>
    <s v="None"/>
    <n v="5"/>
    <s v="No"/>
    <s v="other"/>
    <s v="WH-08"/>
    <s v="Dtdc"/>
    <d v="2023-12-16T00:00:00"/>
    <x v="343"/>
    <d v="2023-12-20T00:00:00"/>
    <s v="desai_chirag@gmail_com"/>
    <s v="8421682682"/>
  </r>
  <r>
    <x v="525"/>
    <s v="Rahul Sharma"/>
    <x v="3"/>
    <s v="Iphone 15 Pro"/>
    <x v="13"/>
    <x v="0"/>
    <s v="Mobile Phones"/>
    <n v="90740"/>
    <n v="5"/>
    <n v="453700"/>
    <n v="5"/>
    <x v="377"/>
    <n v="431015"/>
    <n v="18"/>
    <n v="77582.7"/>
    <n v="0"/>
    <n v="508597.7"/>
    <x v="0"/>
    <s v="Express"/>
    <x v="1"/>
    <x v="1"/>
    <s v="Ankit Sharma"/>
    <s v="North"/>
    <s v="Madurai"/>
    <s v="Tamil Nadu"/>
    <x v="2"/>
    <s v="508568"/>
    <s v="Save10"/>
    <n v="5"/>
    <s v="No"/>
    <s v="other"/>
    <s v="WH-09"/>
    <s v="Delhivery"/>
    <d v="2023-08-24T00:00:00"/>
    <x v="344"/>
    <d v="2023-09-02T00:00:00"/>
    <s v="rahuls@gmail_com"/>
    <s v="8871295145"/>
  </r>
  <r>
    <x v="526"/>
    <s v="Priya Patel"/>
    <x v="0"/>
    <s v="Bajaj Mixer 750W"/>
    <x v="5"/>
    <x v="1"/>
    <s v="Kitchen"/>
    <n v="2890"/>
    <n v="5"/>
    <n v="14450"/>
    <n v="10"/>
    <x v="378"/>
    <n v="13005"/>
    <n v="5"/>
    <n v="650.25"/>
    <n v="0"/>
    <n v="13655.25"/>
    <x v="1"/>
    <s v="Overnight"/>
    <x v="0"/>
    <x v="1"/>
    <s v="Vinay Joshi"/>
    <s v="Central"/>
    <s v="Madurai"/>
    <s v="Tamil Nadu"/>
    <x v="2"/>
    <s v="254759"/>
    <s v="Newuser"/>
    <n v="5"/>
    <s v="No"/>
    <s v="other"/>
    <s v="WH-01"/>
    <s v="Amazon Logistics"/>
    <d v="2023-11-04T00:00:00"/>
    <x v="255"/>
    <d v="2023-11-14T00:00:00"/>
    <s v="ppatel@yahoo_co_in"/>
    <s v="6655623887"/>
  </r>
  <r>
    <x v="527"/>
    <s v="Abhijeet Sawant"/>
    <x v="0"/>
    <s v="Iphone 15 Pro"/>
    <x v="13"/>
    <x v="0"/>
    <s v="Mobile Phones"/>
    <n v="91110"/>
    <n v="1"/>
    <n v="91110"/>
    <n v="0"/>
    <x v="2"/>
    <n v="91110"/>
    <n v="18"/>
    <n v="16399.8"/>
    <n v="0"/>
    <n v="107509.8"/>
    <x v="0"/>
    <s v="Same Day"/>
    <x v="0"/>
    <x v="1"/>
    <s v="Karim Sheikh"/>
    <s v="North"/>
    <s v="Mysuru"/>
    <s v="Karnataka"/>
    <x v="2"/>
    <s v="522975"/>
    <s v="Newuser"/>
    <n v="5"/>
    <s v="No"/>
    <s v="other"/>
    <s v="WH-09"/>
    <s v="Delhivery"/>
    <d v="2023-11-10T00:00:00"/>
    <x v="253"/>
    <d v="2023-10-26T00:00:00"/>
    <s v="sawant_abhijeet@outlook_com"/>
    <s v="6914790534"/>
  </r>
  <r>
    <x v="528"/>
    <s v="Indira Gandhi"/>
    <x v="1"/>
    <s v="Peter England Suit"/>
    <x v="37"/>
    <x v="2"/>
    <s v="Clothing"/>
    <n v="9130"/>
    <n v="4"/>
    <n v="36520"/>
    <n v="0"/>
    <x v="2"/>
    <n v="36520"/>
    <n v="12"/>
    <n v="4382.3999999999996"/>
    <n v="0"/>
    <n v="40902.400000000001"/>
    <x v="1"/>
    <s v="Overnight"/>
    <x v="2"/>
    <x v="4"/>
    <s v="Ritu Singh"/>
    <s v="Central"/>
    <s v="Indore"/>
    <s v="Madhya Pradesh"/>
    <x v="3"/>
    <s v="712765"/>
    <s v="Summer15"/>
    <n v="4"/>
    <s v="No"/>
    <s v="other"/>
    <s v="WH-03"/>
    <s v="Delhivery"/>
    <d v="2024-02-28T00:00:00"/>
    <x v="253"/>
    <d v="2024-03-13T00:00:00"/>
    <s v="indirag@gmail_com"/>
    <s v="6068856846"/>
  </r>
  <r>
    <x v="529"/>
    <s v="Thiruvengadam Natarajan"/>
    <x v="0"/>
    <s v="Samsung 253L Fridge"/>
    <x v="2"/>
    <x v="1"/>
    <s v="Refrigerators"/>
    <n v="29010"/>
    <n v="4"/>
    <n v="116040"/>
    <n v="0"/>
    <x v="2"/>
    <n v="116040"/>
    <n v="5"/>
    <n v="5802"/>
    <n v="0"/>
    <n v="121842"/>
    <x v="1"/>
    <s v="Same Day"/>
    <x v="1"/>
    <x v="0"/>
    <s v="Pooja Nair"/>
    <s v="South"/>
    <s v="Patna"/>
    <s v="Bihar"/>
    <x v="1"/>
    <s v="703206"/>
    <s v="None"/>
    <n v="4"/>
    <s v="Yes"/>
    <s v="other"/>
    <s v="WH-12"/>
    <s v="Dtdc"/>
    <d v="2023-06-12T00:00:00"/>
    <x v="217"/>
    <d v="2023-06-26T00:00:00"/>
    <s v="thiruvengadam_natarajan@outlook_com"/>
    <s v=" 7764534965"/>
  </r>
  <r>
    <x v="530"/>
    <s v="Ajay Pandey"/>
    <x v="3"/>
    <s v="Oneplus 12"/>
    <x v="32"/>
    <x v="0"/>
    <s v="Mobile Phones"/>
    <n v="69390"/>
    <n v="1"/>
    <n v="69390"/>
    <n v="0"/>
    <x v="2"/>
    <n v="69390"/>
    <n v="18"/>
    <n v="12490.2"/>
    <n v="0"/>
    <n v="81880.2"/>
    <x v="4"/>
    <s v="Overnight"/>
    <x v="0"/>
    <x v="4"/>
    <s v="Ritu Singh"/>
    <s v="Central"/>
    <s v="Gurugram"/>
    <s v="Haryana"/>
    <x v="0"/>
    <s v="383904"/>
    <s v="Newuser"/>
    <n v="5"/>
    <s v="No"/>
    <s v="other"/>
    <s v="WH-01"/>
    <s v="Bluedart"/>
    <d v="2023-12-02T00:00:00"/>
    <x v="345"/>
    <d v="2023-06-26T00:00:00"/>
    <s v="apandey@outlook_com"/>
    <s v=" 9180403348"/>
  </r>
  <r>
    <x v="531"/>
    <s v="Kruti Bhatt"/>
    <x v="0"/>
    <s v="Levi'S 511 Jeans"/>
    <x v="10"/>
    <x v="2"/>
    <s v="Clothing"/>
    <n v="3110"/>
    <n v="1"/>
    <n v="3110"/>
    <n v="0"/>
    <x v="2"/>
    <n v="3110"/>
    <n v="12"/>
    <n v="373.2"/>
    <n v="99"/>
    <n v="3483.2"/>
    <x v="2"/>
    <s v="Standard"/>
    <x v="1"/>
    <x v="0"/>
    <s v="Aman Bhatia"/>
    <s v="West"/>
    <s v="Mysuru"/>
    <s v="Karnataka"/>
    <x v="2"/>
    <m/>
    <s v="Summer15"/>
    <n v="4"/>
    <s v="No"/>
    <s v="other"/>
    <s v="WH-09"/>
    <s v="Dtdc"/>
    <d v="2024-02-17T00:00:00"/>
    <x v="346"/>
    <d v="2024-02-27T00:00:00"/>
    <s v="bhatt_kruti@gmail_com"/>
    <s v="6215538307"/>
  </r>
  <r>
    <x v="532"/>
    <s v="Anand Swaminathan"/>
    <x v="0"/>
    <s v="Classmate Notebook"/>
    <x v="9"/>
    <x v="3"/>
    <s v="Books"/>
    <n v="110"/>
    <n v="2"/>
    <n v="220"/>
    <n v="10"/>
    <x v="146"/>
    <n v="198"/>
    <n v="5"/>
    <n v="9.9"/>
    <n v="99"/>
    <n v="207.9"/>
    <x v="4"/>
    <s v="Same Day"/>
    <x v="0"/>
    <x v="0"/>
    <s v="Raj Kumar"/>
    <s v="North"/>
    <s v="Bhubaneswar"/>
    <s v="Odisha"/>
    <x v="1"/>
    <s v="626560"/>
    <s v="Summer15"/>
    <n v="3"/>
    <s v="No"/>
    <s v="other"/>
    <s v="WH-07"/>
    <s v="Ekart"/>
    <d v="2024-05-31T00:00:00"/>
    <x v="347"/>
    <d v="2024-06-10T00:00:00"/>
    <s v="anands@gmail_com"/>
    <s v="9974776565"/>
  </r>
  <r>
    <x v="533"/>
    <s v="Venugopal Krishnan"/>
    <x v="0"/>
    <s v="Iphone 15 Pro"/>
    <x v="13"/>
    <x v="0"/>
    <s v="Mobile Phones"/>
    <n v="87100"/>
    <n v="4"/>
    <n v="348400"/>
    <n v="0"/>
    <x v="2"/>
    <n v="348400"/>
    <n v="18"/>
    <n v="62712"/>
    <n v="0"/>
    <n v="411112"/>
    <x v="6"/>
    <s v="Economy"/>
    <x v="0"/>
    <x v="2"/>
    <s v="Neha Kulkarni"/>
    <s v="West"/>
    <s v="Cuttack"/>
    <s v="Odisha"/>
    <x v="1"/>
    <s v="502265"/>
    <s v="Festive20"/>
    <n v="5"/>
    <s v="No"/>
    <s v="other"/>
    <s v="WH-10"/>
    <s v="Ekart"/>
    <d v="2023-02-25T00:00:00"/>
    <x v="348"/>
    <d v="2023-09-03T00:00:00"/>
    <s v="venugopalk@gmail_com"/>
    <s v="7431487225"/>
  </r>
  <r>
    <x v="534"/>
    <s v="Sunil Jadhav"/>
    <x v="2"/>
    <s v="Voltas 1.5T Ac"/>
    <x v="19"/>
    <x v="1"/>
    <s v="Air Conditioners"/>
    <n v="40020"/>
    <n v="3"/>
    <n v="120060"/>
    <n v="5"/>
    <x v="379"/>
    <n v="114057"/>
    <n v="5"/>
    <n v="5702.85"/>
    <n v="0"/>
    <n v="119759.85"/>
    <x v="1"/>
    <s v="Economy"/>
    <x v="0"/>
    <x v="2"/>
    <s v="Deepa Menon"/>
    <s v="South"/>
    <s v="Madurai"/>
    <s v="Tamil Nadu"/>
    <x v="2"/>
    <s v="414975"/>
    <s v="Save10"/>
    <n v="4"/>
    <s v="No"/>
    <s v="other"/>
    <s v="WH-06"/>
    <s v="Ekart"/>
    <d v="2023-01-19T00:00:00"/>
    <x v="349"/>
    <d v="2023-02-02T00:00:00"/>
    <s v="sunilj@gmail_com"/>
    <s v="6347040714"/>
  </r>
  <r>
    <x v="535"/>
    <s v="Uma Shankar"/>
    <x v="0"/>
    <s v="Jbl Flip 6"/>
    <x v="27"/>
    <x v="0"/>
    <s v="Audio"/>
    <n v="9500"/>
    <n v="2"/>
    <n v="19000"/>
    <n v="15"/>
    <x v="380"/>
    <n v="16150"/>
    <n v="18"/>
    <n v="2907"/>
    <n v="0"/>
    <n v="19057"/>
    <x v="2"/>
    <s v="Economy"/>
    <x v="0"/>
    <x v="3"/>
    <s v="Neha Kulkarni"/>
    <s v="West"/>
    <s v="Thrissur"/>
    <s v="Kerala"/>
    <x v="2"/>
    <s v="531323"/>
    <s v="None"/>
    <n v="4"/>
    <s v="No"/>
    <s v="other"/>
    <s v="WH-06"/>
    <s v="India Post"/>
    <d v="2024-01-17T00:00:00"/>
    <x v="350"/>
    <d v="2024-01-31T00:00:00"/>
    <s v="uma_shankar@gmail_com"/>
    <s v="7907869285"/>
  </r>
  <r>
    <x v="536"/>
    <s v="Varsha Shinde"/>
    <x v="0"/>
    <s v="Parker Pen Set"/>
    <x v="36"/>
    <x v="3"/>
    <s v="Writing"/>
    <n v="850"/>
    <n v="1"/>
    <n v="850"/>
    <n v="0"/>
    <x v="2"/>
    <n v="850"/>
    <n v="5"/>
    <n v="42.5"/>
    <n v="49"/>
    <n v="892.5"/>
    <x v="0"/>
    <s v="Same Day"/>
    <x v="5"/>
    <x v="1"/>
    <s v="Ankit Sharma"/>
    <s v="North"/>
    <s v="Howrah"/>
    <s v="West Bengal"/>
    <x v="1"/>
    <s v="491897"/>
    <s v="Flat500"/>
    <n v="4"/>
    <s v="No"/>
    <s v="other"/>
    <s v="WH-07"/>
    <s v="Ekart"/>
    <d v="2024-02-22T00:00:00"/>
    <x v="346"/>
    <d v="2024-03-03T00:00:00"/>
    <s v="varsha_shinde@yahoo_co_in"/>
    <s v="9366357967"/>
  </r>
  <r>
    <x v="537"/>
    <s v="Smita Patil"/>
    <x v="3"/>
    <s v="Boat Rockerz 450"/>
    <x v="8"/>
    <x v="0"/>
    <s v="Audio"/>
    <n v="1550"/>
    <n v="9"/>
    <n v="13950"/>
    <n v="15"/>
    <x v="381"/>
    <n v="11857.5"/>
    <n v="18"/>
    <n v="2134.35"/>
    <n v="0"/>
    <n v="13991.85"/>
    <x v="6"/>
    <s v="Overnight"/>
    <x v="0"/>
    <x v="2"/>
    <s v="Sneha Reddy"/>
    <s v="South"/>
    <s v="Ahmedabad"/>
    <s v="Gujarat"/>
    <x v="4"/>
    <s v="299650"/>
    <s v="None"/>
    <n v="5"/>
    <s v="No"/>
    <s v="other"/>
    <s v="WH-06"/>
    <s v="Delhivery"/>
    <d v="2023-08-31T00:00:00"/>
    <x v="239"/>
    <d v="2023-09-15T00:00:00"/>
    <s v="smitap@gmail_com"/>
    <s v="8526119789"/>
  </r>
  <r>
    <x v="538"/>
    <s v="Ramachandran Pillai"/>
    <x v="0"/>
    <s v="Fastrack Watch"/>
    <x v="6"/>
    <x v="2"/>
    <s v="Accessories"/>
    <n v="2500"/>
    <n v="2"/>
    <n v="5000"/>
    <n v="0"/>
    <x v="2"/>
    <n v="5000"/>
    <n v="12"/>
    <n v="600"/>
    <n v="0"/>
    <n v="5600"/>
    <x v="2"/>
    <s v="Express"/>
    <x v="0"/>
    <x v="0"/>
    <s v="Vinay Joshi"/>
    <s v="Central"/>
    <s v="Ahmedabad"/>
    <s v="Gujarat"/>
    <x v="4"/>
    <s v="642843"/>
    <s v="None"/>
    <n v="4"/>
    <s v="No"/>
    <s v="other"/>
    <s v="WH-07"/>
    <s v="Amazon Logistics"/>
    <d v="2023-12-17T00:00:00"/>
    <x v="351"/>
    <d v="2023-12-23T00:00:00"/>
    <s v="rpillai@gmail_com"/>
    <s v="7471462201"/>
  </r>
  <r>
    <x v="539"/>
    <s v="Bhavani Shankar"/>
    <x v="3"/>
    <s v="Iphone 15 Pro"/>
    <x v="13"/>
    <x v="0"/>
    <s v="Mobile Phones"/>
    <n v="89500"/>
    <n v="1"/>
    <n v="89500"/>
    <n v="0"/>
    <x v="2"/>
    <n v="89500"/>
    <n v="18"/>
    <n v="16110"/>
    <n v="0"/>
    <n v="105610"/>
    <x v="2"/>
    <s v="Economy"/>
    <x v="1"/>
    <x v="2"/>
    <s v="Pooja Nair"/>
    <s v="South"/>
    <s v="Visakhapatnam"/>
    <s v="Andhra Pradesh"/>
    <x v="2"/>
    <s v="148803"/>
    <s v="None"/>
    <n v="4"/>
    <s v="No"/>
    <s v="other"/>
    <s v="WH-11"/>
    <s v="Ekart"/>
    <d v="2024-05-09T00:00:00"/>
    <x v="130"/>
    <d v="2024-05-16T00:00:00"/>
    <s v="bshankar@yahoo_com"/>
    <s v="9680418693"/>
  </r>
  <r>
    <x v="540"/>
    <s v="Naveen Bajaj"/>
    <x v="0"/>
    <s v="Wildcraft Backpack"/>
    <x v="28"/>
    <x v="2"/>
    <s v="Bags"/>
    <n v="2100"/>
    <n v="1"/>
    <n v="2100"/>
    <n v="25"/>
    <x v="382"/>
    <n v="1575"/>
    <n v="12"/>
    <n v="189"/>
    <n v="149"/>
    <n v="1764"/>
    <x v="2"/>
    <s v="Overnight"/>
    <x v="1"/>
    <x v="1"/>
    <s v="Ankit Sharma"/>
    <s v="North"/>
    <s v="Nagpur"/>
    <s v="Maharashtra"/>
    <x v="4"/>
    <s v="742800"/>
    <s v="Diwali25"/>
    <n v="4"/>
    <s v="No"/>
    <s v="other"/>
    <s v="WH-06"/>
    <s v="Dtdc"/>
    <d v="2024-05-13T00:00:00"/>
    <x v="16"/>
    <d v="2024-05-21T00:00:00"/>
    <s v="naveen_bajaj@gmail_com"/>
    <s v="8153193625"/>
  </r>
  <r>
    <x v="541"/>
    <s v="Nidhi Joshi"/>
    <x v="0"/>
    <s v="Nikon D3500"/>
    <x v="3"/>
    <x v="0"/>
    <s v="Cameras"/>
    <n v="35410"/>
    <n v="1"/>
    <n v="35410"/>
    <n v="15"/>
    <x v="383"/>
    <n v="30098.5"/>
    <n v="18"/>
    <n v="5417.73"/>
    <n v="0"/>
    <n v="35516.229999999996"/>
    <x v="2"/>
    <s v="Standard"/>
    <x v="1"/>
    <x v="4"/>
    <s v="Vinay Joshi"/>
    <s v="Central"/>
    <s v="Chennai"/>
    <s v="Tamil Nadu"/>
    <x v="2"/>
    <m/>
    <s v="Festive20"/>
    <n v="2"/>
    <s v="No"/>
    <s v="other"/>
    <s v="WH-02"/>
    <s v="India Post"/>
    <d v="2023-03-28T00:00:00"/>
    <x v="189"/>
    <d v="2023-04-07T00:00:00"/>
    <s v="joshi_nidhi@yahoo_co_in"/>
    <s v="9979903597"/>
  </r>
  <r>
    <x v="542"/>
    <s v="Janaki Ramanathan"/>
    <x v="1"/>
    <s v="Durian Sofa 3-Seat"/>
    <x v="24"/>
    <x v="4"/>
    <s v="Sofas"/>
    <n v="42230"/>
    <n v="3"/>
    <n v="126690"/>
    <n v="10"/>
    <x v="384"/>
    <n v="114021"/>
    <n v="5"/>
    <n v="5701.05"/>
    <n v="0"/>
    <n v="119722.05"/>
    <x v="5"/>
    <s v="Economy"/>
    <x v="2"/>
    <x v="2"/>
    <s v="Ankit Sharma"/>
    <s v="North"/>
    <s v="Asansol"/>
    <s v="West Bengal"/>
    <x v="1"/>
    <s v="669237"/>
    <s v="None"/>
    <n v="3"/>
    <s v="No"/>
    <s v="other"/>
    <s v="WH-10"/>
    <s v="Bluedart"/>
    <d v="2023-11-25T00:00:00"/>
    <x v="308"/>
    <d v="2023-12-02T00:00:00"/>
    <s v="ramanathan_janaki@gmail_com"/>
    <s v="6317303324"/>
  </r>
  <r>
    <x v="543"/>
    <s v="Divya Krishnan"/>
    <x v="0"/>
    <s v="Macbook Air M2"/>
    <x v="13"/>
    <x v="0"/>
    <s v="Laptops"/>
    <n v="108690"/>
    <n v="6"/>
    <n v="652140"/>
    <n v="0"/>
    <x v="2"/>
    <n v="652140"/>
    <n v="18"/>
    <n v="117385.2"/>
    <n v="0"/>
    <n v="769525.2"/>
    <x v="4"/>
    <s v="Overnight"/>
    <x v="1"/>
    <x v="3"/>
    <s v="Raj Kumar"/>
    <s v="North"/>
    <s v="Durgapur"/>
    <s v="West Bengal"/>
    <x v="1"/>
    <s v="508696"/>
    <s v="None"/>
    <n v="4"/>
    <s v="No"/>
    <s v="other"/>
    <s v="WH-06"/>
    <s v="Ekart"/>
    <d v="2023-12-19T00:00:00"/>
    <x v="352"/>
    <d v="2023-12-25T00:00:00"/>
    <s v="krishnan_divya@gmail_com"/>
    <s v="6754565728"/>
  </r>
  <r>
    <x v="431"/>
    <s v="Abhijeet Sawant"/>
    <x v="0"/>
    <s v="Camlin Art Kit"/>
    <x v="34"/>
    <x v="3"/>
    <s v="Art Supplies"/>
    <n v="640"/>
    <n v="3"/>
    <n v="1920"/>
    <n v="15"/>
    <x v="385"/>
    <n v="1632"/>
    <n v="5"/>
    <n v="81.599999999999994"/>
    <n v="149"/>
    <n v="1713.6"/>
    <x v="4"/>
    <s v="Economy"/>
    <x v="0"/>
    <x v="2"/>
    <s v="Aman Bhatia"/>
    <s v="West"/>
    <s v="Cuttack"/>
    <s v="Odisha"/>
    <x v="1"/>
    <s v="353090"/>
    <s v="None"/>
    <n v="3"/>
    <s v="No"/>
    <s v="other"/>
    <s v="WH-04"/>
    <s v="Delhivery"/>
    <d v="2023-07-06T00:00:00"/>
    <x v="149"/>
    <d v="2023-07-21T00:00:00"/>
    <s v="abhijeet_sawant@outlook_com"/>
    <s v="8779271107"/>
  </r>
  <r>
    <x v="544"/>
    <s v="Naveen Bajaj"/>
    <x v="0"/>
    <s v="Hp Laserjet 1020"/>
    <x v="0"/>
    <x v="0"/>
    <s v="Printers"/>
    <n v="12260"/>
    <n v="9"/>
    <n v="110340"/>
    <n v="25"/>
    <x v="386"/>
    <n v="82755"/>
    <n v="18"/>
    <n v="14895.9"/>
    <n v="0"/>
    <n v="97650.9"/>
    <x v="0"/>
    <s v="Standard"/>
    <x v="0"/>
    <x v="2"/>
    <s v="Anjali Mehta"/>
    <s v="South"/>
    <s v="Hyderabad"/>
    <s v="Telangana"/>
    <x v="2"/>
    <s v="436127"/>
    <s v="None"/>
    <n v="3"/>
    <s v="No"/>
    <s v="other"/>
    <s v="WH-09"/>
    <s v="Ekart"/>
    <d v="2024-02-15T00:00:00"/>
    <x v="353"/>
    <d v="2024-02-24T00:00:00"/>
    <s v="bajaj_naveen@gmail_com"/>
    <s v="7853700644"/>
  </r>
  <r>
    <x v="545"/>
    <s v="Dinesh Thakur"/>
    <x v="3"/>
    <s v="Lg 43-Inch 4K Tv"/>
    <x v="33"/>
    <x v="0"/>
    <s v="Televisions"/>
    <n v="42340"/>
    <n v="9"/>
    <n v="381060"/>
    <n v="10"/>
    <x v="387"/>
    <n v="342954"/>
    <n v="18"/>
    <n v="61731.72"/>
    <n v="0"/>
    <n v="404685.72"/>
    <x v="5"/>
    <s v="Standard"/>
    <x v="0"/>
    <x v="4"/>
    <s v="Arjun Das"/>
    <s v="East"/>
    <s v="Salem"/>
    <s v="Tamil Nadu"/>
    <x v="2"/>
    <s v="538545"/>
    <s v="Save10"/>
    <n v="4"/>
    <s v="No"/>
    <s v="other"/>
    <s v="WH-02"/>
    <s v="Bluedart"/>
    <d v="2023-01-31T00:00:00"/>
    <x v="354"/>
    <d v="2023-02-14T00:00:00"/>
    <s v="dinesh_thakur@gmail_com"/>
    <s v="6958663992"/>
  </r>
  <r>
    <x v="546"/>
    <s v="Jyoti Narayan"/>
    <x v="1"/>
    <s v="Whirlpool 7Kg Washer"/>
    <x v="35"/>
    <x v="1"/>
    <s v="Washing Machines"/>
    <n v="32030"/>
    <n v="3"/>
    <n v="96090"/>
    <n v="5"/>
    <x v="388"/>
    <n v="91285.5"/>
    <n v="5"/>
    <n v="4564.2700000000004"/>
    <n v="0"/>
    <n v="95849.77"/>
    <x v="2"/>
    <s v="Standard"/>
    <x v="0"/>
    <x v="4"/>
    <s v="Sneha Reddy"/>
    <s v="South"/>
    <s v="Faridabad"/>
    <s v="Haryana"/>
    <x v="0"/>
    <s v="708897"/>
    <s v="None"/>
    <n v="4"/>
    <s v="No"/>
    <s v="other"/>
    <s v="WH-05"/>
    <s v="Delhivery"/>
    <d v="2023-01-09T00:00:00"/>
    <x v="115"/>
    <d v="2023-01-16T00:00:00"/>
    <s v="jyoti_narayan@yahoo_com"/>
    <s v="8545416487"/>
  </r>
  <r>
    <x v="547"/>
    <s v="Vikram Mehta"/>
    <x v="0"/>
    <s v="Realme Gt 5"/>
    <x v="25"/>
    <x v="0"/>
    <s v="Mobile Phones"/>
    <n v="26660"/>
    <n v="5"/>
    <n v="133300"/>
    <n v="10"/>
    <x v="90"/>
    <n v="119970"/>
    <n v="18"/>
    <n v="21594.6"/>
    <n v="0"/>
    <n v="141564.6"/>
    <x v="5"/>
    <s v="Express"/>
    <x v="0"/>
    <x v="4"/>
    <s v="Deepa Menon"/>
    <s v="South"/>
    <s v="Kozhikode"/>
    <s v="Kerala"/>
    <x v="2"/>
    <s v="477419"/>
    <s v="None"/>
    <n v="4"/>
    <s v="No"/>
    <s v="other"/>
    <s v="WH-03"/>
    <s v="Delhivery"/>
    <d v="2023-12-16T00:00:00"/>
    <x v="355"/>
    <d v="2023-12-29T00:00:00"/>
    <s v="vmehta@gmail_com"/>
    <s v="9232671485"/>
  </r>
  <r>
    <x v="548"/>
    <s v="Venkatesan Rajan"/>
    <x v="0"/>
    <s v="Camlin Art Kit"/>
    <x v="34"/>
    <x v="3"/>
    <s v="Art Supplies"/>
    <n v="590"/>
    <n v="10"/>
    <n v="5900"/>
    <n v="0"/>
    <x v="2"/>
    <n v="5900"/>
    <n v="5"/>
    <n v="295"/>
    <n v="0"/>
    <n v="6195"/>
    <x v="1"/>
    <s v="Express"/>
    <x v="0"/>
    <x v="2"/>
    <s v="Arjun Das"/>
    <s v="East"/>
    <s v="Bhopal"/>
    <s v="Madhya Pradesh"/>
    <x v="3"/>
    <s v="359796"/>
    <s v="None"/>
    <n v="3"/>
    <s v="No"/>
    <s v="other"/>
    <s v="WH-03"/>
    <s v="Bluedart"/>
    <d v="2023-05-10T00:00:00"/>
    <x v="244"/>
    <d v="2023-05-17T00:00:00"/>
    <s v="vrajan@gmail_com"/>
    <s v="9163971492"/>
  </r>
  <r>
    <x v="549"/>
    <s v="Prakash Dubey"/>
    <x v="0"/>
    <s v="Classmate Notebook"/>
    <x v="9"/>
    <x v="3"/>
    <s v="Books"/>
    <n v="130"/>
    <n v="1"/>
    <n v="130"/>
    <n v="5"/>
    <x v="389"/>
    <n v="123.5"/>
    <n v="5"/>
    <n v="6.17"/>
    <n v="149"/>
    <n v="129.66999999999999"/>
    <x v="4"/>
    <s v="Same Day"/>
    <x v="0"/>
    <x v="3"/>
    <s v="Priya Sinha"/>
    <s v="West"/>
    <s v="Delhi"/>
    <s v="Delhi"/>
    <x v="0"/>
    <s v="766917"/>
    <s v="Flat500"/>
    <n v="4"/>
    <s v="No"/>
    <s v="other"/>
    <s v="WH-01"/>
    <s v="Dtdc"/>
    <d v="2023-11-04T00:00:00"/>
    <x v="64"/>
    <d v="2023-11-19T00:00:00"/>
    <s v="prakash_dubey@rediffmail_com"/>
    <s v="8571564380"/>
  </r>
  <r>
    <x v="63"/>
    <s v="Foram Trivedi"/>
    <x v="0"/>
    <s v="Classmate Notebook"/>
    <x v="9"/>
    <x v="3"/>
    <s v="Books"/>
    <n v="120"/>
    <n v="6"/>
    <n v="720"/>
    <n v="10"/>
    <x v="390"/>
    <n v="648"/>
    <n v="5"/>
    <n v="32.4"/>
    <n v="79"/>
    <n v="680.4"/>
    <x v="3"/>
    <s v="Overnight"/>
    <x v="0"/>
    <x v="4"/>
    <s v="Karim Sheikh"/>
    <s v="North"/>
    <s v="Madurai"/>
    <s v="Tamil Nadu"/>
    <x v="2"/>
    <s v="343596"/>
    <s v="Save10"/>
    <n v="4"/>
    <s v="No"/>
    <s v="other"/>
    <s v="WH-06"/>
    <s v="Dtdc"/>
    <d v="2023-08-22T00:00:00"/>
    <x v="344"/>
    <d v="2023-09-03T00:00:00"/>
    <s v="foram_trivedi@gmail_com"/>
    <s v="7273117226"/>
  </r>
  <r>
    <x v="550"/>
    <s v="Jyoti Narayan"/>
    <x v="0"/>
    <s v="Samsung 65-Inch Qled"/>
    <x v="2"/>
    <x v="0"/>
    <s v="Televisions"/>
    <n v="101260"/>
    <n v="4"/>
    <n v="405040"/>
    <n v="5"/>
    <x v="391"/>
    <n v="384788"/>
    <n v="18"/>
    <n v="69261.84"/>
    <n v="0"/>
    <n v="454049.83999999997"/>
    <x v="2"/>
    <s v="Same Day"/>
    <x v="0"/>
    <x v="4"/>
    <s v="Ankit Sharma"/>
    <s v="North"/>
    <s v="Lucknow"/>
    <s v="Uttar Pradesh"/>
    <x v="0"/>
    <s v="165048"/>
    <s v="None"/>
    <n v="4"/>
    <s v="No"/>
    <s v="other"/>
    <s v="WH-05"/>
    <s v="Delhivery"/>
    <d v="2023-09-06T00:00:00"/>
    <x v="231"/>
    <d v="2023-09-20T00:00:00"/>
    <s v="jyotin@yahoo_com"/>
    <s v="6032990900"/>
  </r>
  <r>
    <x v="551"/>
    <s v="Eswaran Murugan"/>
    <x v="0"/>
    <s v="Sony Bravia 55-Inch"/>
    <x v="1"/>
    <x v="0"/>
    <s v="Televisions"/>
    <n v="83590"/>
    <n v="2"/>
    <n v="167180"/>
    <n v="20"/>
    <x v="392"/>
    <n v="133744"/>
    <n v="18"/>
    <n v="24073.919999999998"/>
    <n v="0"/>
    <n v="157817.91999999998"/>
    <x v="0"/>
    <s v="Same Day"/>
    <x v="0"/>
    <x v="4"/>
    <s v="Aman Bhatia"/>
    <s v="West"/>
    <s v="Bhopal"/>
    <s v="Madhya Pradesh"/>
    <x v="3"/>
    <s v="297395"/>
    <s v="None"/>
    <n v="4"/>
    <s v="No"/>
    <s v="other"/>
    <s v="WH-08"/>
    <s v="Amazon Logistics"/>
    <d v="2023-03-04T00:00:00"/>
    <x v="269"/>
    <d v="2023-03-18T00:00:00"/>
    <s v="eswaranm@rediffmail_com"/>
    <s v="9287835733"/>
  </r>
  <r>
    <x v="535"/>
    <s v="Manisha Kadam"/>
    <x v="0"/>
    <s v="Sony Wh-1000Xm5"/>
    <x v="1"/>
    <x v="0"/>
    <s v="Audio"/>
    <n v="29150"/>
    <n v="2"/>
    <n v="58300"/>
    <n v="0"/>
    <x v="2"/>
    <n v="58300"/>
    <n v="18"/>
    <n v="10494"/>
    <n v="0"/>
    <n v="68794"/>
    <x v="0"/>
    <s v="Express"/>
    <x v="0"/>
    <x v="3"/>
    <s v="Vinay Joshi"/>
    <s v="Central"/>
    <s v="Rajkot"/>
    <s v="Gujarat"/>
    <x v="4"/>
    <s v="371585"/>
    <s v="Festive20"/>
    <n v="5"/>
    <s v="No"/>
    <s v="other"/>
    <s v="WH-12"/>
    <s v="India Post"/>
    <d v="2024-04-14T00:00:00"/>
    <x v="356"/>
    <d v="2024-04-18T00:00:00"/>
    <s v="manisha_kadam@gmail_com"/>
    <s v="9042245641"/>
  </r>
  <r>
    <x v="552"/>
    <s v="Aarav Sharma"/>
    <x v="0"/>
    <s v="Canon Eos 200D"/>
    <x v="7"/>
    <x v="0"/>
    <s v="Cameras"/>
    <n v="29347.846790890268"/>
    <n v="10"/>
    <n v="293478.46790890268"/>
    <n v="20"/>
    <x v="393"/>
    <n v="423760"/>
    <n v="18"/>
    <n v="76276.800000000003"/>
    <n v="0"/>
    <n v="500036.8"/>
    <x v="1"/>
    <s v="Economy"/>
    <x v="0"/>
    <x v="3"/>
    <s v="Aman Bhatia"/>
    <s v="West"/>
    <s v="Bhopal"/>
    <s v="Madhya Pradesh"/>
    <x v="3"/>
    <s v="485914"/>
    <s v="Diwali25"/>
    <n v="4"/>
    <s v="No"/>
    <s v="other"/>
    <s v="WH-07"/>
    <s v="Dtdc"/>
    <d v="2023-11-14T00:00:00"/>
    <x v="140"/>
    <d v="2023-11-25T00:00:00"/>
    <s v="aaravs@gmail_com"/>
    <s v="6306162185"/>
  </r>
  <r>
    <x v="553"/>
    <s v="Divya Krishnan"/>
    <x v="1"/>
    <s v="Classmate Notebook"/>
    <x v="9"/>
    <x v="3"/>
    <s v="Books"/>
    <n v="120"/>
    <n v="1"/>
    <n v="120"/>
    <n v="15"/>
    <x v="394"/>
    <n v="102"/>
    <n v="5"/>
    <n v="5.0999999999999996"/>
    <n v="49"/>
    <n v="107.1"/>
    <x v="1"/>
    <s v="Express"/>
    <x v="3"/>
    <x v="0"/>
    <s v="Anjali Mehta"/>
    <s v="South"/>
    <s v="Vijayawada"/>
    <s v="Andhra Pradesh"/>
    <x v="2"/>
    <s v="278100"/>
    <s v="Summer15"/>
    <n v="4"/>
    <s v="No"/>
    <s v="other"/>
    <s v="WH-03"/>
    <s v="Dtdc"/>
    <d v="2024-06-01T00:00:00"/>
    <x v="279"/>
    <d v="2024-06-04T00:00:00"/>
    <s v="divya_krishnan@gmail_com"/>
    <s v="9388168785"/>
  </r>
  <r>
    <x v="153"/>
    <s v="Uma Shankar"/>
    <x v="1"/>
    <s v="Levi'S 511 Jeans"/>
    <x v="10"/>
    <x v="2"/>
    <s v="Clothing"/>
    <n v="3390"/>
    <n v="4"/>
    <n v="13560"/>
    <n v="5"/>
    <x v="395"/>
    <n v="12882"/>
    <n v="12"/>
    <n v="1545.84"/>
    <n v="0"/>
    <n v="14427.84"/>
    <x v="5"/>
    <s v="Express"/>
    <x v="1"/>
    <x v="3"/>
    <s v="Vinay Joshi"/>
    <s v="Central"/>
    <s v="Lucknow"/>
    <s v="Uttar Pradesh"/>
    <x v="0"/>
    <s v="581273"/>
    <s v="None"/>
    <n v="2"/>
    <s v="No"/>
    <s v="other"/>
    <s v="WH-09"/>
    <s v="Bluedart"/>
    <d v="2023-01-02T00:00:00"/>
    <x v="357"/>
    <d v="2023-01-18T00:00:00"/>
    <s v="umasgmail_com"/>
    <s v="7978999514"/>
  </r>
  <r>
    <x v="554"/>
    <s v="Vijay Pillai"/>
    <x v="0"/>
    <s v="Milton Water Purifier"/>
    <x v="22"/>
    <x v="1"/>
    <s v="Kitchen"/>
    <n v="10510"/>
    <n v="5"/>
    <n v="52550"/>
    <n v="0"/>
    <x v="2"/>
    <n v="52550"/>
    <n v="5"/>
    <n v="2627.5"/>
    <n v="0"/>
    <n v="55177.5"/>
    <x v="4"/>
    <s v="Standard"/>
    <x v="0"/>
    <x v="0"/>
    <s v="Arjun Das"/>
    <s v="East"/>
    <s v="Hubballi"/>
    <s v="Karnataka"/>
    <x v="2"/>
    <s v="260552"/>
    <s v="Save10"/>
    <n v="5"/>
    <s v="No"/>
    <s v="other"/>
    <s v="WH-01"/>
    <s v="Delhivery"/>
    <d v="2024-03-17T00:00:00"/>
    <x v="70"/>
    <d v="2023-01-18T00:00:00"/>
    <s v="vpillai@gmail_com"/>
    <s v="865337773"/>
  </r>
  <r>
    <x v="555"/>
    <s v="Kavita Reddy"/>
    <x v="0"/>
    <s v="Samsung 253L Fridge"/>
    <x v="2"/>
    <x v="1"/>
    <s v="Refrigerators"/>
    <n v="27220"/>
    <n v="3"/>
    <n v="81660"/>
    <n v="0"/>
    <x v="2"/>
    <n v="81660"/>
    <n v="5"/>
    <n v="4083"/>
    <n v="0"/>
    <n v="85743"/>
    <x v="5"/>
    <s v="Economy"/>
    <x v="3"/>
    <x v="4"/>
    <s v="Ankit Sharma"/>
    <s v="North"/>
    <s v="Mangaluru"/>
    <s v="Karnataka"/>
    <x v="2"/>
    <s v="516309"/>
    <s v="None"/>
    <n v="4"/>
    <s v="No"/>
    <s v="other"/>
    <s v="WH-10"/>
    <s v="Bluedart"/>
    <d v="2023-02-02T00:00:00"/>
    <x v="358"/>
    <d v="2023-01-18T00:00:00"/>
    <s v="kreddy@gmail_com"/>
    <s v="7000914352"/>
  </r>
  <r>
    <x v="556"/>
    <s v="Fathima Begum"/>
    <x v="0"/>
    <s v="Daikin 1.5T Inverter"/>
    <x v="30"/>
    <x v="1"/>
    <s v="Air Conditioners"/>
    <n v="42730"/>
    <n v="3"/>
    <n v="128190"/>
    <n v="0"/>
    <x v="2"/>
    <n v="128190"/>
    <n v="5"/>
    <n v="6409.5"/>
    <n v="0"/>
    <n v="134599.5"/>
    <x v="0"/>
    <s v="Express"/>
    <x v="0"/>
    <x v="3"/>
    <s v="Priya Sinha"/>
    <s v="West"/>
    <s v="Lucknow"/>
    <s v="Uttar Pradesh"/>
    <x v="0"/>
    <s v="145280"/>
    <s v="Save10"/>
    <n v="3"/>
    <s v="No"/>
    <s v="other"/>
    <s v="WH-07"/>
    <s v="Ekart"/>
    <d v="2023-12-11T00:00:00"/>
    <x v="286"/>
    <d v="2023-12-22T00:00:00"/>
    <s v="fathima_begum@gmail_com"/>
    <s v="9904182805"/>
  </r>
  <r>
    <x v="557"/>
    <s v="Geetha Devi"/>
    <x v="0"/>
    <s v="Lg 8Kg Front Load"/>
    <x v="33"/>
    <x v="1"/>
    <s v="Washing Machines"/>
    <n v="29347.846790890268"/>
    <n v="1"/>
    <n v="29347.846790890268"/>
    <n v="0"/>
    <x v="2"/>
    <n v="50300"/>
    <n v="5"/>
    <n v="2515"/>
    <n v="0"/>
    <n v="52815"/>
    <x v="3"/>
    <s v="Overnight"/>
    <x v="1"/>
    <x v="0"/>
    <s v="Ritu Singh"/>
    <s v="Central"/>
    <s v="Asansol"/>
    <s v="West Bengal"/>
    <x v="1"/>
    <s v="718344"/>
    <s v="None"/>
    <n v="4"/>
    <s v="No"/>
    <s v="other"/>
    <s v="WH-10"/>
    <s v="Delhivery"/>
    <d v="2023-10-16T00:00:00"/>
    <x v="180"/>
    <d v="2023-10-25T00:00:00"/>
    <s v="geethad@gmail_com"/>
    <s v="8802669141"/>
  </r>
  <r>
    <x v="558"/>
    <s v="Muthukrishnan Arunachalam"/>
    <x v="0"/>
    <s v="Kurl-On King Bed"/>
    <x v="15"/>
    <x v="4"/>
    <s v="Beds"/>
    <n v="57440"/>
    <n v="3"/>
    <n v="172320"/>
    <n v="0"/>
    <x v="2"/>
    <n v="172320"/>
    <n v="5"/>
    <n v="8616"/>
    <n v="0"/>
    <n v="180936"/>
    <x v="0"/>
    <s v="Same Day"/>
    <x v="5"/>
    <x v="1"/>
    <s v="Priya Sinha"/>
    <s v="West"/>
    <s v="Patna"/>
    <s v="Bihar"/>
    <x v="1"/>
    <s v="662146"/>
    <s v="Newuser"/>
    <n v="4"/>
    <s v="No"/>
    <s v="other"/>
    <s v="WH-01"/>
    <s v="Delhivery"/>
    <d v="2023-11-08T00:00:00"/>
    <x v="157"/>
    <d v="2023-11-23T00:00:00"/>
    <s v="muthukrishnan_arunachalam@gmail_com"/>
    <s v="7132517904"/>
  </r>
  <r>
    <x v="559"/>
    <s v="Chandni Gupta"/>
    <x v="0"/>
    <s v="Daikin 1.5T Inverter"/>
    <x v="30"/>
    <x v="1"/>
    <s v="Air Conditioners"/>
    <n v="29347.846790890268"/>
    <n v="4"/>
    <n v="117391.38716356107"/>
    <n v="0"/>
    <x v="2"/>
    <n v="183200"/>
    <n v="5"/>
    <n v="9160"/>
    <n v="0"/>
    <n v="192360"/>
    <x v="1"/>
    <s v="Same Day"/>
    <x v="0"/>
    <x v="1"/>
    <s v="Arjun Das"/>
    <s v="East"/>
    <s v="Mysuru"/>
    <s v="Karnataka"/>
    <x v="2"/>
    <s v="693555"/>
    <s v="Flat500"/>
    <n v="4"/>
    <s v="Yes"/>
    <s v="other"/>
    <s v="WH-07"/>
    <s v="Delhivery"/>
    <d v="2024-04-30T00:00:00"/>
    <x v="359"/>
    <d v="2024-05-06T00:00:00"/>
    <s v="gupta_chandni@gmail_com"/>
    <s v="8339136941"/>
  </r>
  <r>
    <x v="560"/>
    <s v="Vijay Pillai"/>
    <x v="0"/>
    <s v="Samsung Galaxy S24"/>
    <x v="2"/>
    <x v="0"/>
    <s v="Mobile Phones"/>
    <n v="70990"/>
    <n v="3"/>
    <n v="212970"/>
    <n v="0"/>
    <x v="2"/>
    <n v="354950"/>
    <n v="18"/>
    <n v="63891"/>
    <n v="0"/>
    <n v="418841"/>
    <x v="3"/>
    <s v="Standard"/>
    <x v="0"/>
    <x v="1"/>
    <s v="Ankit Sharma"/>
    <s v="North"/>
    <s v="Durgapur"/>
    <s v="West Bengal"/>
    <x v="1"/>
    <s v="434999"/>
    <s v="Newuser"/>
    <n v="3"/>
    <s v="Yes"/>
    <s v="Late Delivery"/>
    <s v="WH-01"/>
    <s v="Bluedart"/>
    <d v="2024-02-20T00:00:00"/>
    <x v="213"/>
    <d v="2024-03-04T00:00:00"/>
    <s v="pillai_vijay@gmail_com"/>
    <s v="94848 17036"/>
  </r>
  <r>
    <x v="561"/>
    <s v="Anita Bhatt"/>
    <x v="0"/>
    <s v="Wildcraft Backpack"/>
    <x v="28"/>
    <x v="2"/>
    <s v="Bags"/>
    <n v="1850"/>
    <n v="1"/>
    <n v="1850"/>
    <n v="20"/>
    <x v="396"/>
    <n v="1480"/>
    <n v="12"/>
    <n v="177.6"/>
    <n v="99"/>
    <n v="1657.6"/>
    <x v="2"/>
    <s v="Same Day"/>
    <x v="0"/>
    <x v="3"/>
    <s v="Ritu Singh"/>
    <s v="Central"/>
    <s v="Rajkot"/>
    <s v="Gujarat"/>
    <x v="4"/>
    <s v="227093"/>
    <s v="None"/>
    <n v="3"/>
    <s v="No"/>
    <s v="other"/>
    <s v="WH-10"/>
    <s v="Bluedart"/>
    <d v="2024-03-09T00:00:00"/>
    <x v="52"/>
    <d v="2024-03-18T00:00:00"/>
    <s v="anita_bhatt@outlook_com"/>
    <s v="7523917033"/>
  </r>
  <r>
    <x v="562"/>
    <s v="Anita Bhatt"/>
    <x v="0"/>
    <s v="Adidas Ultraboost 22"/>
    <x v="18"/>
    <x v="2"/>
    <s v="Footwear"/>
    <n v="14010"/>
    <n v="1"/>
    <n v="14010"/>
    <n v="15"/>
    <x v="397"/>
    <n v="11908.5"/>
    <n v="12"/>
    <n v="1429.02"/>
    <n v="0"/>
    <n v="13337.52"/>
    <x v="0"/>
    <s v="Overnight"/>
    <x v="0"/>
    <x v="3"/>
    <s v="Ankit Sharma"/>
    <s v="North"/>
    <s v="Jaipur"/>
    <s v="Rajasthan"/>
    <x v="0"/>
    <s v="517457"/>
    <s v="None"/>
    <n v="3"/>
    <s v="No"/>
    <s v="other"/>
    <s v="WH-01"/>
    <s v="Bluedart"/>
    <d v="2023-11-07T00:00:00"/>
    <x v="157"/>
    <d v="2023-11-22T00:00:00"/>
    <s v="anita_bhatt@outlook_com"/>
    <s v="6413493179"/>
  </r>
  <r>
    <x v="563"/>
    <s v="Ajay Pandey"/>
    <x v="0"/>
    <s v="Voltas 1.5T Ac"/>
    <x v="19"/>
    <x v="1"/>
    <s v="Air Conditioners"/>
    <n v="29347.846790890268"/>
    <n v="3"/>
    <n v="88043.540372670803"/>
    <n v="5"/>
    <x v="398"/>
    <n v="111663"/>
    <n v="5"/>
    <n v="5583.15"/>
    <n v="0"/>
    <n v="117246.15"/>
    <x v="3"/>
    <s v="Same Day"/>
    <x v="0"/>
    <x v="3"/>
    <s v="Neha Kulkarni"/>
    <s v="West"/>
    <s v="Jabalpur"/>
    <s v="Madhya Pradesh"/>
    <x v="3"/>
    <s v="554736"/>
    <s v="None"/>
    <n v="4"/>
    <s v="No"/>
    <s v="other"/>
    <s v="WH-02"/>
    <s v="Ekart"/>
    <d v="2024-02-07T00:00:00"/>
    <x v="164"/>
    <d v="2024-02-18T00:00:00"/>
    <s v="ajay_pandey@outlook_com"/>
    <s v="9692552905"/>
  </r>
  <r>
    <x v="564"/>
    <s v="Aarav Sharma"/>
    <x v="3"/>
    <s v="Godrej Interio Desk"/>
    <x v="14"/>
    <x v="4"/>
    <s v="Desks"/>
    <n v="18500"/>
    <n v="1"/>
    <n v="18500"/>
    <n v="10"/>
    <x v="399"/>
    <n v="16650"/>
    <n v="5"/>
    <n v="832.5"/>
    <n v="0"/>
    <n v="17482.5"/>
    <x v="4"/>
    <s v="Express"/>
    <x v="0"/>
    <x v="0"/>
    <s v="Deepa Menon"/>
    <s v="South"/>
    <s v="Ranchi"/>
    <s v="Jharkhand"/>
    <x v="1"/>
    <s v="242588"/>
    <s v="Newuser"/>
    <n v="4"/>
    <s v="No"/>
    <s v="other"/>
    <s v="WH-09"/>
    <s v="Dtdc"/>
    <d v="2023-03-25T00:00:00"/>
    <x v="141"/>
    <d v="2023-03-30T00:00:00"/>
    <s v="sharma_aarav@gmail_com"/>
    <s v="6233104481"/>
  </r>
  <r>
    <x v="565"/>
    <s v="Bhavesh Patel"/>
    <x v="1"/>
    <s v="Hp Pavilion 15"/>
    <x v="0"/>
    <x v="0"/>
    <s v="Laptops"/>
    <n v="63370"/>
    <n v="2"/>
    <n v="126740"/>
    <n v="10"/>
    <x v="400"/>
    <n v="114066"/>
    <n v="18"/>
    <n v="20531.88"/>
    <n v="0"/>
    <n v="134597.88"/>
    <x v="4"/>
    <s v="Standard"/>
    <x v="1"/>
    <x v="4"/>
    <s v="Aman Bhatia"/>
    <s v="West"/>
    <s v="Howrah"/>
    <s v="West Bengal"/>
    <x v="1"/>
    <s v="586278"/>
    <s v="Flat500"/>
    <n v="3"/>
    <s v="No"/>
    <s v="other"/>
    <s v="WH-03"/>
    <s v="Bluedart"/>
    <d v="2024-02-12T00:00:00"/>
    <x v="266"/>
    <d v="2024-02-25T00:00:00"/>
    <s v="bpatel@yahoo_com"/>
    <s v="8916764032"/>
  </r>
  <r>
    <x v="566"/>
    <s v="Usha Chopra"/>
    <x v="3"/>
    <s v="Nilkamal Chair"/>
    <x v="11"/>
    <x v="4"/>
    <s v="Seating"/>
    <n v="4790"/>
    <n v="2"/>
    <n v="9580"/>
    <n v="5"/>
    <x v="401"/>
    <n v="9101"/>
    <n v="5"/>
    <n v="455.05"/>
    <n v="0"/>
    <n v="9556.0499999999993"/>
    <x v="3"/>
    <s v="Overnight"/>
    <x v="0"/>
    <x v="3"/>
    <s v="Ankit Sharma"/>
    <s v="North"/>
    <s v="Gaya"/>
    <s v="Bihar"/>
    <x v="1"/>
    <s v="666424"/>
    <s v="Flat500"/>
    <n v="5"/>
    <s v="No"/>
    <s v="other"/>
    <s v="WH-10"/>
    <s v="Delhivery"/>
    <d v="2023-11-25T00:00:00"/>
    <x v="252"/>
    <d v="2023-06-12T00:00:00"/>
    <s v="usha_chopra@yahoo_co_in"/>
    <s v="6306409805"/>
  </r>
  <r>
    <x v="567"/>
    <s v="Suresh Gupta"/>
    <x v="0"/>
    <s v="Classmate Notebook"/>
    <x v="9"/>
    <x v="3"/>
    <s v="Books"/>
    <n v="110"/>
    <n v="1"/>
    <n v="110"/>
    <n v="15"/>
    <x v="251"/>
    <n v="93.5"/>
    <n v="5"/>
    <n v="4.67"/>
    <n v="149"/>
    <n v="98.17"/>
    <x v="2"/>
    <s v="Express"/>
    <x v="0"/>
    <x v="4"/>
    <s v="Anjali Mehta"/>
    <s v="South"/>
    <s v="Agra"/>
    <s v="Uttar Pradesh"/>
    <x v="0"/>
    <m/>
    <s v="Flat500"/>
    <n v="3"/>
    <s v="No"/>
    <s v="other"/>
    <s v="WH-12"/>
    <s v="Dtdc"/>
    <d v="2023-09-30T00:00:00"/>
    <x v="252"/>
    <d v="2023-10-09T00:00:00"/>
    <s v="gupta_suresh@gmail_com"/>
    <s v="7737939579"/>
  </r>
  <r>
    <x v="568"/>
    <s v="Lalitha Devi"/>
    <x v="1"/>
    <s v="Adidas Ultraboost 22"/>
    <x v="18"/>
    <x v="2"/>
    <s v="Footwear"/>
    <n v="14780"/>
    <n v="1"/>
    <n v="14780"/>
    <n v="0"/>
    <x v="2"/>
    <n v="14780"/>
    <n v="12"/>
    <n v="1773.6"/>
    <n v="0"/>
    <n v="16553.599999999999"/>
    <x v="2"/>
    <s v="Overnight"/>
    <x v="0"/>
    <x v="1"/>
    <s v="Raj Kumar"/>
    <s v="South"/>
    <s v="Vijayawada"/>
    <s v="Andhra Pradesh"/>
    <x v="2"/>
    <s v="581009"/>
    <s v="Diwali25"/>
    <n v="3"/>
    <s v="No"/>
    <s v="other"/>
    <s v="WH-09"/>
    <s v="Delhivery"/>
    <d v="2023-04-16T00:00:00"/>
    <x v="1"/>
    <d v="2023-04-25T00:00:00"/>
    <s v="ldevi@gmail_com"/>
    <s v="828732107"/>
  </r>
  <r>
    <x v="569"/>
    <s v="Obeysekara Fernando"/>
    <x v="0"/>
    <s v="Dell Xps 15 Laptop"/>
    <x v="23"/>
    <x v="0"/>
    <s v="Laptops"/>
    <n v="122910"/>
    <n v="1"/>
    <n v="122910"/>
    <n v="0"/>
    <x v="2"/>
    <n v="122910"/>
    <n v="18"/>
    <n v="22123.8"/>
    <n v="0"/>
    <n v="145033.79999999999"/>
    <x v="1"/>
    <s v="Same Day"/>
    <x v="1"/>
    <x v="3"/>
    <s v="Pooja Nair"/>
    <s v="South"/>
    <s v="Vijayawada"/>
    <s v="Andhra Pradesh"/>
    <x v="2"/>
    <s v="780822"/>
    <s v="Diwali25"/>
    <n v="4"/>
    <s v="No"/>
    <s v="other"/>
    <s v="WH-08"/>
    <s v="Bluedart"/>
    <d v="2023-06-14T00:00:00"/>
    <x v="241"/>
    <d v="2023-06-26T00:00:00"/>
    <s v="fernando_obeysekara@gmail_com"/>
    <s v="64226 23003"/>
  </r>
  <r>
    <x v="570"/>
    <s v="Bhavani Shankar"/>
    <x v="0"/>
    <s v="Sony Bravia 55-Inch"/>
    <x v="1"/>
    <x v="0"/>
    <s v="Televisions"/>
    <n v="78010"/>
    <n v="1"/>
    <n v="78010"/>
    <n v="20"/>
    <x v="402"/>
    <n v="62408"/>
    <n v="18"/>
    <n v="11233.44"/>
    <n v="0"/>
    <n v="73641.440000000002"/>
    <x v="5"/>
    <s v="Overnight"/>
    <x v="0"/>
    <x v="2"/>
    <s v="Anjali Mehta"/>
    <s v="South"/>
    <s v="Asansol"/>
    <s v="West Bengal"/>
    <x v="1"/>
    <s v="210551"/>
    <s v="None"/>
    <n v="2"/>
    <s v="No"/>
    <s v="other"/>
    <s v="WH-01"/>
    <s v="Bluedart"/>
    <d v="2023-04-25T00:00:00"/>
    <x v="60"/>
    <d v="2023-05-10T00:00:00"/>
    <s v="bhavani_shankar@yahoo_com"/>
    <s v="7649700844"/>
  </r>
  <r>
    <x v="404"/>
    <s v="Geetha Devi"/>
    <x v="0"/>
    <s v="Wildcraft Backpack"/>
    <x v="28"/>
    <x v="2"/>
    <s v="Bags"/>
    <n v="2070"/>
    <n v="6"/>
    <n v="12420"/>
    <n v="5"/>
    <x v="403"/>
    <n v="11799"/>
    <n v="12"/>
    <n v="1415.88"/>
    <n v="0"/>
    <n v="13214.880000000001"/>
    <x v="1"/>
    <s v="Express"/>
    <x v="1"/>
    <x v="4"/>
    <s v="Sneha Reddy"/>
    <s v="South"/>
    <s v="Rajkot"/>
    <s v="Gujarat"/>
    <x v="4"/>
    <s v="674452"/>
    <s v="None"/>
    <n v="5"/>
    <s v="No"/>
    <s v="other"/>
    <s v="WH-01"/>
    <s v="Delhivery"/>
    <d v="2023-04-12T00:00:00"/>
    <x v="1"/>
    <d v="2023-04-23T00:00:00"/>
    <s v="geetha_devi@gmail_com"/>
    <s v="75404 76253"/>
  </r>
  <r>
    <x v="571"/>
    <s v="Durga Prasad"/>
    <x v="1"/>
    <s v="Samsung Galaxy S24"/>
    <x v="2"/>
    <x v="0"/>
    <s v="Mobile Phones"/>
    <n v="77480"/>
    <n v="3"/>
    <n v="232440"/>
    <n v="10"/>
    <x v="404"/>
    <n v="209196"/>
    <n v="18"/>
    <n v="37655.279999999999"/>
    <n v="0"/>
    <n v="246851.28"/>
    <x v="6"/>
    <s v="Economy"/>
    <x v="0"/>
    <x v="1"/>
    <s v="Anjali Mehta"/>
    <s v="South"/>
    <s v="Udaipur"/>
    <s v="Rajasthan"/>
    <x v="0"/>
    <s v="541675"/>
    <s v="Newuser"/>
    <n v="5"/>
    <s v="No"/>
    <s v="other"/>
    <s v="WH-08"/>
    <s v="Amazon Logistics"/>
    <d v="2023-09-18T00:00:00"/>
    <x v="84"/>
    <d v="2023-01-10T00:00:00"/>
    <s v="dprasad@gmail_com"/>
    <s v="6920559675"/>
  </r>
  <r>
    <x v="572"/>
    <s v="Anita Bhatt"/>
    <x v="0"/>
    <s v="Hp Pavilion 15"/>
    <x v="0"/>
    <x v="0"/>
    <s v="Laptops"/>
    <n v="64540"/>
    <n v="1"/>
    <n v="64540"/>
    <n v="20"/>
    <x v="405"/>
    <n v="51632"/>
    <n v="18"/>
    <n v="9293.76"/>
    <n v="0"/>
    <n v="60925.760000000002"/>
    <x v="0"/>
    <s v="Express"/>
    <x v="1"/>
    <x v="1"/>
    <s v="Anjali Mehta"/>
    <s v="South"/>
    <s v="Hyderabad"/>
    <s v="Telangana"/>
    <x v="2"/>
    <s v="774170"/>
    <s v="Flat500"/>
    <n v="4"/>
    <s v="No"/>
    <s v="other"/>
    <s v="WH-06"/>
    <s v="Ekart"/>
    <d v="2024-01-01T00:00:00"/>
    <x v="347"/>
    <d v="2023-01-10T00:00:00"/>
    <s v="abhatt@outlook_com"/>
    <s v="7289899307"/>
  </r>
  <r>
    <x v="573"/>
    <s v="Manoj Tomar"/>
    <x v="0"/>
    <s v="Jbl Flip 6"/>
    <x v="27"/>
    <x v="0"/>
    <s v="Audio"/>
    <n v="10610"/>
    <n v="4"/>
    <n v="42440"/>
    <n v="0"/>
    <x v="2"/>
    <n v="42440"/>
    <n v="18"/>
    <n v="7639.2"/>
    <n v="0"/>
    <n v="50079.199999999997"/>
    <x v="1"/>
    <s v="Overnight"/>
    <x v="0"/>
    <x v="0"/>
    <s v="Pooja Nair"/>
    <s v="South"/>
    <s v="Howrah"/>
    <s v="West Bengal"/>
    <x v="1"/>
    <s v="288632"/>
    <s v="None"/>
    <n v="3"/>
    <s v="No"/>
    <s v="other"/>
    <s v="WH-03"/>
    <s v="Bluedart"/>
    <d v="2024-12-05T00:00:00"/>
    <x v="184"/>
    <d v="2024-05-28T00:00:00"/>
    <s v="manoj_tomar@yahoo_com"/>
    <s v="7090073794"/>
  </r>
  <r>
    <x v="574"/>
    <s v="Ritu Chauhan"/>
    <x v="3"/>
    <s v="Whirlpool 7Kg Washer"/>
    <x v="35"/>
    <x v="1"/>
    <s v="Washing Machines"/>
    <n v="33540"/>
    <n v="1"/>
    <n v="33540"/>
    <n v="0"/>
    <x v="2"/>
    <n v="33540"/>
    <n v="5"/>
    <n v="1677"/>
    <n v="0"/>
    <n v="35217"/>
    <x v="1"/>
    <s v="Overnight"/>
    <x v="0"/>
    <x v="4"/>
    <s v="Karim Sheikh"/>
    <s v="North"/>
    <s v="Raipur"/>
    <s v="Chhattisgarh"/>
    <x v="3"/>
    <s v="574369"/>
    <s v="None"/>
    <n v="4"/>
    <s v="Yes"/>
    <s v="Wrong Item"/>
    <s v="WH-11"/>
    <s v="Ekart"/>
    <d v="2023-12-30T00:00:00"/>
    <x v="319"/>
    <d v="2024-01-07T00:00:00"/>
    <s v="chauhan_ritu@gmail_com"/>
    <s v="6658578375"/>
  </r>
  <r>
    <x v="575"/>
    <s v="Janaki Ramanathan"/>
    <x v="1"/>
    <s v="Sony Wh-1000Xm5"/>
    <x v="1"/>
    <x v="0"/>
    <s v="Audio"/>
    <n v="29450"/>
    <n v="3"/>
    <n v="88350"/>
    <n v="0"/>
    <x v="2"/>
    <n v="88350"/>
    <n v="18"/>
    <n v="15903"/>
    <n v="0"/>
    <n v="104253"/>
    <x v="1"/>
    <s v="Overnight"/>
    <x v="0"/>
    <x v="3"/>
    <s v="Pooja Nair"/>
    <s v="South"/>
    <s v="Chennai"/>
    <s v="Tamil Nadu"/>
    <x v="2"/>
    <s v="620970"/>
    <s v="Newuser"/>
    <n v="4"/>
    <s v="No"/>
    <s v="other"/>
    <s v="WH-07"/>
    <s v="Ekart"/>
    <d v="2023-01-27T00:00:00"/>
    <x v="65"/>
    <d v="2023-02-04T00:00:00"/>
    <s v="jramanathan@gmail_com"/>
    <s v="8231265327"/>
  </r>
  <r>
    <x v="576"/>
    <s v="Varsha Shinde"/>
    <x v="3"/>
    <s v="Lg 8Kg Front Load"/>
    <x v="33"/>
    <x v="1"/>
    <s v="Washing Machines"/>
    <n v="47770"/>
    <n v="2"/>
    <n v="95540"/>
    <n v="0"/>
    <x v="2"/>
    <n v="95540"/>
    <n v="5"/>
    <n v="4777"/>
    <n v="0"/>
    <n v="100317"/>
    <x v="3"/>
    <s v="Same Day"/>
    <x v="0"/>
    <x v="3"/>
    <s v="Arjun Das"/>
    <s v="East"/>
    <s v="Salem"/>
    <s v="Tamil Nadu"/>
    <x v="2"/>
    <s v="379138"/>
    <s v="None"/>
    <n v="2"/>
    <s v="No"/>
    <s v="other"/>
    <s v="WH-06"/>
    <s v="Ekart"/>
    <d v="2024-04-07T00:00:00"/>
    <x v="360"/>
    <d v="2024-04-12T00:00:00"/>
    <s v="shinde_varsha@yahoo_co_in"/>
    <s v="8706507612"/>
  </r>
  <r>
    <x v="577"/>
    <s v="Rahul Sharma"/>
    <x v="0"/>
    <s v="Levi'S 511 Jeans"/>
    <x v="10"/>
    <x v="2"/>
    <s v="Clothing"/>
    <n v="3150"/>
    <n v="1"/>
    <n v="3150"/>
    <n v="25"/>
    <x v="406"/>
    <n v="2362.5"/>
    <n v="12"/>
    <n v="283.5"/>
    <n v="49"/>
    <n v="2646"/>
    <x v="4"/>
    <s v="Economy"/>
    <x v="0"/>
    <x v="1"/>
    <s v="Karim Sheikh"/>
    <s v="North"/>
    <s v="Thrissur"/>
    <s v="Kerala"/>
    <x v="2"/>
    <s v="150552"/>
    <s v="Save10"/>
    <n v="4"/>
    <s v="No"/>
    <s v="other"/>
    <s v="WH-10"/>
    <s v="Ekart"/>
    <d v="2023-11-16T00:00:00"/>
    <x v="278"/>
    <d v="2023-11-28T00:00:00"/>
    <s v="rahuls@gmail_com"/>
    <s v="7902220975"/>
  </r>
  <r>
    <x v="578"/>
    <s v="Rohit Singh"/>
    <x v="0"/>
    <s v="Adidas Ultraboost 22"/>
    <x v="18"/>
    <x v="2"/>
    <s v="Footwear"/>
    <n v="14110"/>
    <n v="4"/>
    <n v="56440"/>
    <n v="0"/>
    <x v="2"/>
    <n v="56440"/>
    <n v="12"/>
    <n v="6772.8"/>
    <n v="0"/>
    <n v="63212.800000000003"/>
    <x v="1"/>
    <s v="Express"/>
    <x v="0"/>
    <x v="0"/>
    <s v="Ankit Sharma"/>
    <s v="North"/>
    <s v="Vijayawada"/>
    <s v="Andhra Pradesh"/>
    <x v="2"/>
    <s v="576517"/>
    <s v="None"/>
    <n v="5"/>
    <s v="No"/>
    <s v="other"/>
    <s v="WH-09"/>
    <s v="Amazon Logistics"/>
    <d v="2024-05-02T00:00:00"/>
    <x v="248"/>
    <d v="2024-05-07T00:00:00"/>
    <s v="rohits@outlook_com"/>
    <s v="8307122600"/>
  </r>
  <r>
    <x v="579"/>
    <s v="Ramachandran Pillai"/>
    <x v="0"/>
    <s v="Centuary Mattress"/>
    <x v="16"/>
    <x v="4"/>
    <s v="Beds"/>
    <n v="13930"/>
    <n v="3"/>
    <n v="41790"/>
    <n v="0"/>
    <x v="2"/>
    <n v="41790"/>
    <n v="5"/>
    <n v="2089.5"/>
    <n v="0"/>
    <n v="43879.5"/>
    <x v="5"/>
    <s v="Same Day"/>
    <x v="0"/>
    <x v="0"/>
    <s v="Vinay Joshi"/>
    <s v="Central"/>
    <s v="Howrah"/>
    <s v="West Bengal"/>
    <x v="1"/>
    <s v="165426"/>
    <s v="None"/>
    <n v="3"/>
    <s v="No"/>
    <s v="other"/>
    <s v="WH-02"/>
    <s v="Delhivery"/>
    <d v="2023-01-27T00:00:00"/>
    <x v="361"/>
    <d v="2023-02-01T00:00:00"/>
    <s v="ramachandran_pillai@gmail_com"/>
    <s v="6724525737"/>
  </r>
  <r>
    <x v="580"/>
    <s v="Jyoti Narayan"/>
    <x v="0"/>
    <s v="Sony Bravia 55-Inch"/>
    <x v="1"/>
    <x v="0"/>
    <s v="Televisions"/>
    <n v="83970"/>
    <n v="15"/>
    <n v="1259550"/>
    <n v="10"/>
    <x v="407"/>
    <n v="1133595"/>
    <n v="18"/>
    <n v="204047.1"/>
    <n v="0"/>
    <n v="1337642.1000000001"/>
    <x v="1"/>
    <s v="Economy"/>
    <x v="0"/>
    <x v="3"/>
    <s v="Deepa Menon"/>
    <s v="South"/>
    <s v="Warangal"/>
    <s v="Telangana"/>
    <x v="2"/>
    <s v="393176"/>
    <s v="Festive20"/>
    <n v="3"/>
    <s v="No"/>
    <s v="other"/>
    <s v="WH-07"/>
    <s v="Ekart"/>
    <d v="2023-03-04T00:00:00"/>
    <x v="199"/>
    <d v="2023-03-15T00:00:00"/>
    <s v="jyoti_narayan@yahoo_com"/>
    <s v="7880316647"/>
  </r>
  <r>
    <x v="581"/>
    <s v="Meenakshi Sundaram"/>
    <x v="0"/>
    <s v="Kurl-On King Bed"/>
    <x v="15"/>
    <x v="4"/>
    <s v="Beds"/>
    <n v="54750"/>
    <n v="4"/>
    <n v="219000"/>
    <n v="10"/>
    <x v="408"/>
    <n v="197100"/>
    <n v="5"/>
    <n v="9855"/>
    <n v="0"/>
    <n v="206955"/>
    <x v="1"/>
    <s v="Economy"/>
    <x v="2"/>
    <x v="2"/>
    <s v="Deepa Menon"/>
    <s v="South"/>
    <s v="Bengaluru"/>
    <s v="Karnataka"/>
    <x v="2"/>
    <s v="221291"/>
    <s v="Festive20"/>
    <n v="3"/>
    <s v="No"/>
    <s v="other"/>
    <s v="WH-12"/>
    <s v="Bluedart"/>
    <d v="2023-01-21T00:00:00"/>
    <x v="349"/>
    <d v="2023-02-04T00:00:00"/>
    <s v="msundaram@gmail_com__"/>
    <s v="8368957967"/>
  </r>
  <r>
    <x v="582"/>
    <s v="Tarun Bansal"/>
    <x v="0"/>
    <s v="Wildcraft Backpack"/>
    <x v="28"/>
    <x v="2"/>
    <s v="Bags"/>
    <n v="2050"/>
    <n v="1"/>
    <n v="2050"/>
    <n v="10"/>
    <x v="409"/>
    <n v="1845"/>
    <n v="12"/>
    <n v="221.4"/>
    <n v="149"/>
    <n v="2066.4"/>
    <x v="6"/>
    <s v="Overnight"/>
    <x v="0"/>
    <x v="2"/>
    <s v="Priya Sinha"/>
    <s v="West"/>
    <s v="Kozhikode"/>
    <s v="Kerala"/>
    <x v="2"/>
    <s v="306770"/>
    <s v="Newuser"/>
    <n v="4"/>
    <s v="No"/>
    <s v="other"/>
    <s v="WH-10"/>
    <s v="Ekart"/>
    <d v="2023-08-24T00:00:00"/>
    <x v="185"/>
    <d v="2023-09-03T00:00:00"/>
    <s v="bansal_tarun@outlook_com"/>
    <s v=" 8744252694"/>
  </r>
  <r>
    <x v="583"/>
    <s v="Bhavesh Patel"/>
    <x v="1"/>
    <s v="Prestige Induction"/>
    <x v="29"/>
    <x v="1"/>
    <s v="Kitchen"/>
    <n v="3430"/>
    <n v="4"/>
    <n v="13720"/>
    <n v="20"/>
    <x v="410"/>
    <n v="10976"/>
    <n v="5"/>
    <n v="548.79999999999995"/>
    <n v="0"/>
    <n v="11524.8"/>
    <x v="3"/>
    <s v="Same Day"/>
    <x v="3"/>
    <x v="2"/>
    <s v="Ankit Sharma"/>
    <s v="North"/>
    <s v="Indore"/>
    <s v="Madhya Pradesh"/>
    <x v="3"/>
    <s v="442753"/>
    <s v="Festive20"/>
    <n v="5"/>
    <s v="No"/>
    <s v="other"/>
    <s v="WH-08"/>
    <s v="Ekart"/>
    <d v="2024-04-03T00:00:00"/>
    <x v="362"/>
    <d v="2024-04-17T00:00:00"/>
    <s v="bhavesh_patel@yahoo_com"/>
    <s v="6449908035"/>
  </r>
  <r>
    <x v="584"/>
    <s v="Kavita Reddy"/>
    <x v="0"/>
    <s v="Classmate Notebook"/>
    <x v="9"/>
    <x v="3"/>
    <s v="Books"/>
    <n v="120"/>
    <n v="2"/>
    <n v="240"/>
    <n v="10"/>
    <x v="8"/>
    <n v="216"/>
    <n v="5"/>
    <n v="10.8"/>
    <n v="99"/>
    <n v="226.8"/>
    <x v="4"/>
    <s v="Express"/>
    <x v="1"/>
    <x v="1"/>
    <s v="Arjun Das"/>
    <s v="East"/>
    <s v="Howrah"/>
    <s v="West Bengal"/>
    <x v="1"/>
    <s v="216929"/>
    <s v="Flat500"/>
    <n v="3"/>
    <s v="No"/>
    <s v="other"/>
    <s v="WH-03"/>
    <s v="India Post"/>
    <d v="2023-03-14T00:00:00"/>
    <x v="363"/>
    <d v="2023-03-25T00:00:00"/>
    <s v="kavitar@gmail_com"/>
    <s v="6002264259"/>
  </r>
  <r>
    <x v="585"/>
    <s v="Parvati Devi"/>
    <x v="0"/>
    <s v="Logitech Mx Master 3"/>
    <x v="41"/>
    <x v="0"/>
    <s v="Accessories"/>
    <n v="9120"/>
    <n v="1"/>
    <n v="9120"/>
    <n v="20"/>
    <x v="411"/>
    <n v="7296"/>
    <n v="18"/>
    <n v="1313.28"/>
    <n v="0"/>
    <n v="8609.2800000000007"/>
    <x v="5"/>
    <s v="Overnight"/>
    <x v="4"/>
    <x v="3"/>
    <s v="Aman Bhatia"/>
    <s v="West"/>
    <s v="Patna"/>
    <s v="Bihar"/>
    <x v="1"/>
    <s v="231160"/>
    <s v="None"/>
    <n v="4"/>
    <s v="Yes"/>
    <s v="Changed Mind"/>
    <s v="WH-12"/>
    <s v="Amazon Logistics"/>
    <d v="2023-10-14T00:00:00"/>
    <x v="339"/>
    <d v="2023-10-24T00:00:00"/>
    <s v="parvatid@gmail_com"/>
    <s v="6045292676"/>
  </r>
  <r>
    <x v="586"/>
    <s v="Rahul Sharma"/>
    <x v="0"/>
    <s v="Classmate Notebook"/>
    <x v="9"/>
    <x v="3"/>
    <s v="Books"/>
    <n v="130"/>
    <n v="20"/>
    <n v="2600"/>
    <n v="10"/>
    <x v="412"/>
    <n v="2340"/>
    <n v="5"/>
    <n v="117"/>
    <n v="99"/>
    <n v="2457"/>
    <x v="0"/>
    <s v="Overnight"/>
    <x v="0"/>
    <x v="0"/>
    <s v="Ankit Sharma"/>
    <s v="North"/>
    <s v="Coimbatore"/>
    <s v="Tamil Nadu"/>
    <x v="2"/>
    <s v="247699"/>
    <s v="Save10"/>
    <n v="4"/>
    <s v="No"/>
    <s v="other"/>
    <s v="WH-08"/>
    <s v="Dtdc"/>
    <d v="2024-03-21T00:00:00"/>
    <x v="90"/>
    <d v="2024-04-01T00:00:00"/>
    <s v="rahuls@gmail_com"/>
    <s v="8611568622"/>
  </r>
  <r>
    <x v="587"/>
    <s v="Vishal Chaudhary"/>
    <x v="0"/>
    <s v="Pepperfry Coffee Table"/>
    <x v="20"/>
    <x v="4"/>
    <s v="Tables"/>
    <n v="11590"/>
    <n v="3"/>
    <n v="34770"/>
    <n v="5"/>
    <x v="413"/>
    <n v="33031.5"/>
    <n v="5"/>
    <n v="1651.58"/>
    <n v="0"/>
    <n v="34683.08"/>
    <x v="5"/>
    <s v="Express"/>
    <x v="3"/>
    <x v="1"/>
    <s v="Ritu Singh"/>
    <s v="Central"/>
    <s v="Rajkot"/>
    <s v="Gujarat"/>
    <x v="4"/>
    <s v="289680"/>
    <s v="Festive20"/>
    <n v="4"/>
    <s v="No"/>
    <s v="other"/>
    <s v="WH-09"/>
    <s v="Ekart"/>
    <d v="2024-05-18T00:00:00"/>
    <x v="90"/>
    <d v="2024-05-29T00:00:00"/>
    <s v="vishal_chaudhary@yahoo_co_in"/>
    <s v="6661545985"/>
  </r>
  <r>
    <x v="588"/>
    <s v="Meena Iyer"/>
    <x v="0"/>
    <s v="Lg 8Kg Front Load"/>
    <x v="33"/>
    <x v="1"/>
    <s v="Washing Machines"/>
    <n v="48010"/>
    <n v="1"/>
    <n v="48010"/>
    <n v="0"/>
    <x v="2"/>
    <n v="48010"/>
    <n v="5"/>
    <n v="2400.5"/>
    <n v="0"/>
    <n v="50410.5"/>
    <x v="6"/>
    <s v="Same Day"/>
    <x v="1"/>
    <x v="2"/>
    <s v="Neha Kulkarni"/>
    <s v="West"/>
    <s v="Gaya"/>
    <s v="Bihar"/>
    <x v="1"/>
    <s v="664890"/>
    <s v="Save10"/>
    <n v="3"/>
    <s v="No"/>
    <s v="other"/>
    <s v="WH-07"/>
    <s v="India Post"/>
    <d v="2024-02-04T00:00:00"/>
    <x v="101"/>
    <d v="2024-02-19T00:00:00"/>
    <s v="iyer_meena@gmail_com"/>
    <s v="6123203668"/>
  </r>
  <r>
    <x v="589"/>
    <s v="Nidhi Joshi"/>
    <x v="0"/>
    <s v="Titan Raga"/>
    <x v="26"/>
    <x v="2"/>
    <s v="Accessories"/>
    <n v="8540"/>
    <n v="1"/>
    <n v="8540"/>
    <n v="10"/>
    <x v="414"/>
    <n v="7686"/>
    <n v="12"/>
    <n v="922.32"/>
    <n v="0"/>
    <n v="8608.32"/>
    <x v="3"/>
    <s v="Same Day"/>
    <x v="2"/>
    <x v="3"/>
    <s v="Vinay Joshi"/>
    <s v="Central"/>
    <s v="Jodhpur"/>
    <s v="Rajasthan"/>
    <x v="0"/>
    <s v="281146"/>
    <s v="None"/>
    <n v="4"/>
    <s v="No"/>
    <s v="other"/>
    <s v="WH-01"/>
    <s v="Ekart"/>
    <d v="2023-10-03T00:00:00"/>
    <x v="338"/>
    <d v="2023-10-10T00:00:00"/>
    <s v="nidhi_joshi@yahoo_co_in"/>
    <s v=" 8045358597"/>
  </r>
  <r>
    <x v="590"/>
    <s v="Archana Srivastava"/>
    <x v="1"/>
    <s v="Bajaj Mixer 750W"/>
    <x v="5"/>
    <x v="1"/>
    <s v="Kitchen"/>
    <n v="2870"/>
    <n v="15"/>
    <n v="43050"/>
    <n v="0"/>
    <x v="2"/>
    <n v="43050"/>
    <n v="5"/>
    <n v="2152.5"/>
    <n v="0"/>
    <n v="45202.5"/>
    <x v="5"/>
    <s v="Overnight"/>
    <x v="0"/>
    <x v="0"/>
    <s v="Ankit Sharma"/>
    <s v="North"/>
    <s v="Howrah"/>
    <s v="West Bengal"/>
    <x v="1"/>
    <s v="553800"/>
    <s v="Festive20"/>
    <n v="3"/>
    <s v="No"/>
    <s v="other"/>
    <s v="WH-04"/>
    <s v="Ekart"/>
    <d v="2023-08-17T00:00:00"/>
    <x v="209"/>
    <d v="2023-08-31T00:00:00"/>
    <s v="archanas@gmail_com"/>
    <s v="8690448467"/>
  </r>
  <r>
    <x v="591"/>
    <s v="Durga Prasad"/>
    <x v="0"/>
    <s v="Kurl-On King Bed"/>
    <x v="15"/>
    <x v="4"/>
    <s v="Beds"/>
    <n v="55490"/>
    <n v="1"/>
    <n v="55490"/>
    <n v="5"/>
    <x v="415"/>
    <n v="52715.5"/>
    <n v="5"/>
    <n v="2635.78"/>
    <n v="0"/>
    <n v="55351.28"/>
    <x v="0"/>
    <s v="Standard"/>
    <x v="0"/>
    <x v="4"/>
    <s v="Priya Sinha"/>
    <s v="West"/>
    <s v="Mysuru"/>
    <s v="Karnataka"/>
    <x v="2"/>
    <s v="624854"/>
    <s v="Flat500"/>
    <n v="4"/>
    <s v="No"/>
    <s v="other"/>
    <s v="WH-08"/>
    <s v="Delhivery"/>
    <d v="2024-03-07T00:00:00"/>
    <x v="364"/>
    <d v="2024-03-12T00:00:00"/>
    <s v="durga_prasad@gmail_com"/>
    <s v="9356890581"/>
  </r>
  <r>
    <x v="592"/>
    <s v="Sunil Jadhav"/>
    <x v="3"/>
    <s v="Nilkamal Chair"/>
    <x v="11"/>
    <x v="4"/>
    <s v="Seating"/>
    <n v="4550"/>
    <n v="2"/>
    <n v="9100"/>
    <n v="10"/>
    <x v="416"/>
    <n v="8190"/>
    <n v="5"/>
    <n v="409.5"/>
    <n v="0"/>
    <n v="8599.5"/>
    <x v="3"/>
    <s v="Standard"/>
    <x v="0"/>
    <x v="3"/>
    <s v="Pooja Nair"/>
    <s v="South"/>
    <s v="Vijayawada"/>
    <s v="Andhra Pradesh"/>
    <x v="2"/>
    <s v="180361"/>
    <s v="Diwali25"/>
    <n v="5"/>
    <s v="No"/>
    <s v="other"/>
    <s v="WH-12"/>
    <s v="Delhivery"/>
    <d v="2024-01-12T00:00:00"/>
    <x v="365"/>
    <d v="2024-01-22T00:00:00"/>
    <s v="sunil_jadhav@gmail_com"/>
    <s v="7418395252"/>
  </r>
  <r>
    <x v="593"/>
    <s v="Thiruvengadam Natarajan"/>
    <x v="3"/>
    <s v="Epson L3250"/>
    <x v="39"/>
    <x v="0"/>
    <s v="Printers"/>
    <n v="15070"/>
    <n v="5"/>
    <n v="75350"/>
    <n v="10"/>
    <x v="417"/>
    <n v="67815"/>
    <n v="18"/>
    <n v="12206.7"/>
    <n v="0"/>
    <n v="80021.7"/>
    <x v="3"/>
    <s v="Economy"/>
    <x v="2"/>
    <x v="4"/>
    <s v="Priya Sinha"/>
    <s v="West"/>
    <s v="Chennai"/>
    <s v="Tamil Nadu"/>
    <x v="2"/>
    <s v="611425"/>
    <s v="Save10"/>
    <n v="4"/>
    <s v="No"/>
    <s v="other"/>
    <s v="WH-10"/>
    <s v="Dtdc"/>
    <d v="2023-03-03T00:00:00"/>
    <x v="269"/>
    <d v="2023-03-15T00:00:00"/>
    <s v="thiruvengadamn@outlook_com"/>
    <s v="7244029363"/>
  </r>
  <r>
    <x v="594"/>
    <s v="Fathima Begum"/>
    <x v="0"/>
    <s v="Logitech Mx Master 3"/>
    <x v="41"/>
    <x v="0"/>
    <s v="Accessories"/>
    <n v="9070"/>
    <n v="1"/>
    <n v="9070"/>
    <n v="10"/>
    <x v="418"/>
    <n v="8163"/>
    <n v="18"/>
    <n v="1469.34"/>
    <n v="0"/>
    <n v="9632.34"/>
    <x v="4"/>
    <s v="Standard"/>
    <x v="4"/>
    <x v="4"/>
    <s v="Priya Sinha"/>
    <s v="West"/>
    <s v="Gurugram"/>
    <s v="Haryana"/>
    <x v="0"/>
    <s v="151350"/>
    <s v="Newuser"/>
    <n v="4"/>
    <s v="Yes"/>
    <s v="other"/>
    <s v="WH-09"/>
    <s v="Delhivery"/>
    <d v="2023-08-31T00:00:00"/>
    <x v="197"/>
    <d v="2023-09-09T00:00:00"/>
    <s v="fathima_begum@gmail_com__"/>
    <s v="8996276861"/>
  </r>
  <r>
    <x v="595"/>
    <s v="Deepak Nair"/>
    <x v="0"/>
    <s v="Titan Raga"/>
    <x v="26"/>
    <x v="2"/>
    <s v="Accessories"/>
    <n v="8710"/>
    <n v="4"/>
    <n v="34840"/>
    <n v="5"/>
    <x v="419"/>
    <n v="33098"/>
    <n v="12"/>
    <n v="3971.76"/>
    <n v="0"/>
    <n v="37069.760000000002"/>
    <x v="4"/>
    <s v="Overnight"/>
    <x v="0"/>
    <x v="1"/>
    <s v="Pooja Nair"/>
    <s v="South"/>
    <s v="Durgapur"/>
    <s v="West Bengal"/>
    <x v="1"/>
    <s v="141639"/>
    <s v="None"/>
    <n v="4"/>
    <s v="No"/>
    <s v="other"/>
    <s v="WH-12"/>
    <s v="Delhivery"/>
    <d v="2024-06-24T00:00:00"/>
    <x v="306"/>
    <d v="2024-07-03T00:00:00"/>
    <s v="nair_deepak@yahoo_com"/>
    <s v="9172366704"/>
  </r>
  <r>
    <x v="596"/>
    <s v="Sangita Ghosh"/>
    <x v="1"/>
    <s v="Hp Laserjet 1020"/>
    <x v="0"/>
    <x v="0"/>
    <s v="Printers"/>
    <n v="13290"/>
    <n v="1"/>
    <n v="13290"/>
    <n v="5"/>
    <x v="420"/>
    <n v="12625.5"/>
    <n v="18"/>
    <n v="2272.59"/>
    <n v="0"/>
    <n v="14898.09"/>
    <x v="2"/>
    <s v="Economy"/>
    <x v="0"/>
    <x v="2"/>
    <s v="Ankit Sharma"/>
    <s v="North"/>
    <s v="Bengaluru"/>
    <s v="Karnataka"/>
    <x v="2"/>
    <m/>
    <s v="Diwali25"/>
    <n v="4"/>
    <s v="No"/>
    <s v="other"/>
    <s v="WH-06"/>
    <s v="Dtdc"/>
    <d v="2024-01-12T00:00:00"/>
    <x v="365"/>
    <d v="2024-01-18T00:00:00"/>
    <s v="sangita_ghosh@gmail_com"/>
    <s v="7160378110"/>
  </r>
  <r>
    <x v="597"/>
    <s v="Vikram Mehta"/>
    <x v="1"/>
    <s v="Kurl-On King Bed"/>
    <x v="15"/>
    <x v="4"/>
    <s v="Beds"/>
    <n v="50860"/>
    <n v="2"/>
    <n v="101720"/>
    <n v="0"/>
    <x v="2"/>
    <n v="101720"/>
    <n v="5"/>
    <n v="5086"/>
    <n v="0"/>
    <n v="106806"/>
    <x v="6"/>
    <s v="Standard"/>
    <x v="1"/>
    <x v="1"/>
    <s v="Suraj Verma"/>
    <s v="East"/>
    <s v="Patna"/>
    <s v="Bihar"/>
    <x v="1"/>
    <s v="258241"/>
    <s v="None"/>
    <n v="4"/>
    <s v="No"/>
    <s v="other"/>
    <s v="WH-09"/>
    <s v="Amazon Logistics"/>
    <d v="2023-05-21T00:00:00"/>
    <x v="201"/>
    <d v="2023-06-02T00:00:00"/>
    <s v="vikramm@gmail_com"/>
    <s v="8658744888"/>
  </r>
  <r>
    <x v="598"/>
    <s v="Mohan Tiwari"/>
    <x v="3"/>
    <s v="Jbl Flip 6"/>
    <x v="27"/>
    <x v="0"/>
    <s v="Audio"/>
    <n v="10670"/>
    <n v="10"/>
    <n v="106700"/>
    <n v="10"/>
    <x v="421"/>
    <n v="96030"/>
    <n v="18"/>
    <n v="17285.400000000001"/>
    <n v="0"/>
    <n v="113315.4"/>
    <x v="4"/>
    <s v="Express"/>
    <x v="0"/>
    <x v="2"/>
    <s v="Ritu Singh"/>
    <s v="Central"/>
    <s v="Gaya"/>
    <s v="Bihar"/>
    <x v="1"/>
    <s v="220782"/>
    <s v="None"/>
    <n v="4"/>
    <s v="No"/>
    <s v="other"/>
    <s v="WH-06"/>
    <s v="Amazon Logistics"/>
    <d v="2023-04-28T00:00:00"/>
    <x v="366"/>
    <d v="2023-05-11T00:00:00"/>
    <s v="mohant@gmail_com"/>
    <s v="7800436475"/>
  </r>
  <r>
    <x v="599"/>
    <s v="Harish Malhotra"/>
    <x v="3"/>
    <s v="Logitech Mx Master 3"/>
    <x v="41"/>
    <x v="0"/>
    <s v="Accessories"/>
    <n v="8580"/>
    <n v="2"/>
    <n v="17160"/>
    <n v="5"/>
    <x v="422"/>
    <n v="16302"/>
    <n v="18"/>
    <n v="2934.36"/>
    <n v="0"/>
    <n v="19236.36"/>
    <x v="5"/>
    <s v="Overnight"/>
    <x v="0"/>
    <x v="2"/>
    <s v="Arjun Das"/>
    <s v="East"/>
    <s v="Gurugram"/>
    <s v="Haryana"/>
    <x v="0"/>
    <s v="395938"/>
    <s v="Festive20"/>
    <n v="4"/>
    <s v="No"/>
    <s v="other"/>
    <s v="WH-06"/>
    <s v="Delhivery"/>
    <d v="2024-03-25T00:00:00"/>
    <x v="56"/>
    <d v="2024-04-06T00:00:00"/>
    <s v="malhotra_harish@gmail_com"/>
    <s v="8555465426"/>
  </r>
  <r>
    <x v="600"/>
    <s v="Varsha Shinde"/>
    <x v="3"/>
    <s v="Kurl-On King Bed"/>
    <x v="15"/>
    <x v="4"/>
    <s v="Beds"/>
    <n v="29347.846790890268"/>
    <n v="1"/>
    <n v="29347.846790890268"/>
    <n v="10"/>
    <x v="423"/>
    <n v="46224"/>
    <n v="5"/>
    <n v="2311.1999999999998"/>
    <n v="0"/>
    <n v="48535.199999999997"/>
    <x v="0"/>
    <s v="Express"/>
    <x v="0"/>
    <x v="2"/>
    <s v="Ritu Singh"/>
    <s v="Central"/>
    <s v="Visakhapatnam"/>
    <s v="Andhra Pradesh"/>
    <x v="2"/>
    <s v="541870"/>
    <s v="Summer15"/>
    <n v="5"/>
    <s v="Yes"/>
    <s v="other"/>
    <s v="WH-01"/>
    <s v="Delhivery"/>
    <d v="2024-03-10T00:00:00"/>
    <x v="3"/>
    <d v="2024-03-13T00:00:00"/>
    <s v="varsha_shinde@yahoo_co_in"/>
    <s v="63683 85095"/>
  </r>
  <r>
    <x v="601"/>
    <s v="Harish Malhotra"/>
    <x v="2"/>
    <s v="Sony Wh-1000Xm5"/>
    <x v="1"/>
    <x v="0"/>
    <s v="Audio"/>
    <n v="29930"/>
    <n v="1"/>
    <n v="29930"/>
    <n v="10"/>
    <x v="424"/>
    <n v="26937"/>
    <n v="18"/>
    <n v="4848.66"/>
    <n v="0"/>
    <n v="31785.66"/>
    <x v="6"/>
    <s v="Same Day"/>
    <x v="1"/>
    <x v="1"/>
    <s v="Karim Sheikh"/>
    <s v="North"/>
    <s v="Indore"/>
    <s v="Madhya Pradesh"/>
    <x v="3"/>
    <s v="408390"/>
    <s v="Newuser"/>
    <n v="5"/>
    <s v="No"/>
    <s v="other"/>
    <s v="WH-06"/>
    <s v="Dtdc"/>
    <d v="2024-04-19T00:00:00"/>
    <x v="161"/>
    <d v="2024-04-22T00:00:00"/>
    <s v="hmalhotra@gmail_com"/>
    <s v="9756275280"/>
  </r>
  <r>
    <x v="602"/>
    <s v="Lalita Shah"/>
    <x v="3"/>
    <s v="Bajaj Mixer 750W"/>
    <x v="5"/>
    <x v="1"/>
    <s v="Kitchen"/>
    <n v="2810"/>
    <n v="7"/>
    <n v="19670"/>
    <n v="5"/>
    <x v="425"/>
    <n v="18686.5"/>
    <n v="5"/>
    <n v="934.33"/>
    <n v="0"/>
    <n v="19620.830000000002"/>
    <x v="1"/>
    <s v="Standard"/>
    <x v="0"/>
    <x v="1"/>
    <s v="Suraj Verma"/>
    <s v="East"/>
    <s v="Rajkot"/>
    <s v="Gujarat"/>
    <x v="4"/>
    <s v="616875"/>
    <s v="Festive20"/>
    <n v="3"/>
    <s v="No"/>
    <s v="other"/>
    <s v="WH-09"/>
    <s v="Ekart"/>
    <d v="2023-08-22T00:00:00"/>
    <x v="221"/>
    <d v="2023-09-02T00:00:00"/>
    <s v="lshah@yahoo_com"/>
    <s v="8304948414"/>
  </r>
  <r>
    <x v="603"/>
    <s v="Harpreet Singh"/>
    <x v="3"/>
    <s v="Wildcraft Backpack"/>
    <x v="28"/>
    <x v="2"/>
    <s v="Bags"/>
    <n v="1930"/>
    <n v="2"/>
    <n v="3860"/>
    <n v="5"/>
    <x v="426"/>
    <n v="3667"/>
    <n v="12"/>
    <n v="440.04"/>
    <n v="149"/>
    <n v="4107.04"/>
    <x v="2"/>
    <s v="Same Day"/>
    <x v="0"/>
    <x v="0"/>
    <s v="Raj Kumar"/>
    <s v="North"/>
    <s v="Asansol"/>
    <s v="West Bengal"/>
    <x v="1"/>
    <s v="428171"/>
    <s v="None"/>
    <n v="4"/>
    <s v="No"/>
    <s v="other"/>
    <s v="WH-05"/>
    <s v="Amazon Logistics"/>
    <d v="2023-08-02T00:00:00"/>
    <x v="200"/>
    <d v="2023-08-07T00:00:00"/>
    <s v="harpreet_singh@gmail_com"/>
    <s v=" 9941079116"/>
  </r>
  <r>
    <x v="604"/>
    <s v="Nagalakshmi Venkatesh"/>
    <x v="0"/>
    <s v="Peter England Suit"/>
    <x v="37"/>
    <x v="2"/>
    <s v="Clothing"/>
    <n v="9240"/>
    <n v="20"/>
    <n v="184800"/>
    <n v="25"/>
    <x v="427"/>
    <n v="138600"/>
    <n v="12"/>
    <n v="16632"/>
    <n v="0"/>
    <n v="155232"/>
    <x v="4"/>
    <s v="Economy"/>
    <x v="1"/>
    <x v="2"/>
    <s v="Vinay Joshi"/>
    <s v="Central"/>
    <s v="Durgapur"/>
    <s v="West Bengal"/>
    <x v="1"/>
    <s v="176247"/>
    <s v="Save10"/>
    <n v="4"/>
    <s v="No"/>
    <s v="other"/>
    <s v="WH-07"/>
    <s v="Ekart"/>
    <d v="2023-12-11T00:00:00"/>
    <x v="145"/>
    <d v="2023-12-21T00:00:00"/>
    <s v="nagalakshmi_venkatesh@yahoo_com"/>
    <s v="6082267990"/>
  </r>
  <r>
    <x v="605"/>
    <s v="Rahul Sharma"/>
    <x v="0"/>
    <s v="Iphone 15 Pro"/>
    <x v="13"/>
    <x v="0"/>
    <s v="Mobile Phones"/>
    <n v="89820"/>
    <n v="5"/>
    <n v="449100"/>
    <n v="15"/>
    <x v="428"/>
    <n v="381735"/>
    <n v="18"/>
    <n v="68712.3"/>
    <n v="0"/>
    <n v="450447.3"/>
    <x v="6"/>
    <s v="Economy"/>
    <x v="0"/>
    <x v="2"/>
    <s v="Pooja Nair"/>
    <s v="South"/>
    <s v="Chandigarh"/>
    <s v="Punjab"/>
    <x v="0"/>
    <s v="399593"/>
    <s v="None"/>
    <n v="4"/>
    <s v="No"/>
    <s v="other"/>
    <s v="WH-10"/>
    <s v="Dtdc"/>
    <d v="2024-04-28T00:00:00"/>
    <x v="367"/>
    <d v="2024-05-01T00:00:00"/>
    <s v="sharma_rahul@gmail_com"/>
    <s v="8492674876"/>
  </r>
  <r>
    <x v="606"/>
    <s v="Durga Prasad"/>
    <x v="0"/>
    <s v="Hp Laserjet 1020"/>
    <x v="0"/>
    <x v="0"/>
    <s v="Printers"/>
    <n v="11760"/>
    <n v="2"/>
    <n v="23520"/>
    <n v="0"/>
    <x v="2"/>
    <n v="23520"/>
    <n v="18"/>
    <n v="4233.6000000000004"/>
    <n v="0"/>
    <n v="27753.599999999999"/>
    <x v="0"/>
    <s v="Economy"/>
    <x v="0"/>
    <x v="0"/>
    <s v="Karim Sheikh"/>
    <s v="North"/>
    <s v="Thrissur"/>
    <s v="Kerala"/>
    <x v="2"/>
    <s v="712676"/>
    <s v="Flat500"/>
    <n v="4"/>
    <s v="No"/>
    <s v="other"/>
    <s v="WH-01"/>
    <s v="Delhivery"/>
    <d v="2023-12-25T00:00:00"/>
    <x v="368"/>
    <d v="2023-12-28T00:00:00"/>
    <s v="dprasad@gmail_com"/>
    <s v="730907406"/>
  </r>
  <r>
    <x v="607"/>
    <s v="Hina Shah"/>
    <x v="3"/>
    <s v="Camlin Art Kit"/>
    <x v="34"/>
    <x v="3"/>
    <s v="Art Supplies"/>
    <n v="650"/>
    <n v="1"/>
    <n v="650"/>
    <n v="0"/>
    <x v="2"/>
    <n v="650"/>
    <n v="5"/>
    <n v="32.5"/>
    <n v="99"/>
    <n v="682.5"/>
    <x v="0"/>
    <s v="Overnight"/>
    <x v="1"/>
    <x v="4"/>
    <s v="Sneha Reddy"/>
    <s v="South"/>
    <s v="Raipur"/>
    <s v="Chhattisgarh"/>
    <x v="3"/>
    <s v="649638"/>
    <s v="None"/>
    <n v="4"/>
    <s v="No"/>
    <s v="other"/>
    <s v="WH-05"/>
    <s v="Bluedart"/>
    <d v="2023-08-02T00:00:00"/>
    <x v="320"/>
    <d v="2023-08-08T00:00:00"/>
    <s v="shah_hina@yahoo_com"/>
    <s v="8337008942"/>
  </r>
  <r>
    <x v="608"/>
    <s v="Kannappan Ponnusamy"/>
    <x v="0"/>
    <s v="Levi'S 511 Jeans"/>
    <x v="10"/>
    <x v="2"/>
    <s v="Clothing"/>
    <n v="3210"/>
    <n v="1"/>
    <n v="3210"/>
    <n v="15"/>
    <x v="429"/>
    <n v="2728.5"/>
    <n v="12"/>
    <n v="327.42"/>
    <n v="99"/>
    <n v="3055.92"/>
    <x v="1"/>
    <s v="Standard"/>
    <x v="2"/>
    <x v="2"/>
    <s v="Pooja Nair"/>
    <s v="South"/>
    <s v="Asansol"/>
    <s v="West Bengal"/>
    <x v="1"/>
    <s v="249237"/>
    <s v="None"/>
    <n v="4"/>
    <s v="No"/>
    <s v="other"/>
    <s v="WH-09"/>
    <s v="Delhivery"/>
    <d v="2023-01-13T00:00:00"/>
    <x v="187"/>
    <d v="2023-01-25T00:00:00"/>
    <s v="kponnusamy@gmail_com"/>
    <s v="71578 37926"/>
  </r>
  <r>
    <x v="609"/>
    <s v="Parag Soni"/>
    <x v="3"/>
    <s v="Godrej Interio Desk"/>
    <x v="14"/>
    <x v="4"/>
    <s v="Desks"/>
    <n v="17630"/>
    <n v="1"/>
    <n v="17630"/>
    <n v="0"/>
    <x v="2"/>
    <n v="17630"/>
    <n v="5"/>
    <n v="881.5"/>
    <n v="0"/>
    <n v="18511.5"/>
    <x v="6"/>
    <s v="Same Day"/>
    <x v="0"/>
    <x v="0"/>
    <s v="Karim Sheikh"/>
    <s v="North"/>
    <s v="Patna"/>
    <s v="Bihar"/>
    <x v="1"/>
    <s v="663373"/>
    <s v="None"/>
    <n v="3"/>
    <s v="No"/>
    <s v="other"/>
    <s v="WH-05"/>
    <s v="Delhivery"/>
    <d v="2024-06-14T00:00:00"/>
    <x v="369"/>
    <d v="2024-06-26T00:00:00"/>
    <s v="psoni@gmail_com"/>
    <s v="6686067347"/>
  </r>
  <r>
    <x v="610"/>
    <s v="Anita Bhatt"/>
    <x v="3"/>
    <s v="Lg 8Kg Front Load"/>
    <x v="33"/>
    <x v="1"/>
    <s v="Washing Machines"/>
    <n v="51730"/>
    <n v="3"/>
    <n v="155190"/>
    <n v="0"/>
    <x v="2"/>
    <n v="155190"/>
    <n v="5"/>
    <n v="7759.5"/>
    <n v="0"/>
    <n v="162949.5"/>
    <x v="6"/>
    <s v="Same Day"/>
    <x v="1"/>
    <x v="0"/>
    <s v="Ankit Sharma"/>
    <s v="North"/>
    <s v="Madurai"/>
    <s v="Tamil Nadu"/>
    <x v="2"/>
    <s v="304918"/>
    <s v="Newuser"/>
    <n v="4"/>
    <s v="No"/>
    <s v="other"/>
    <s v="WH-12"/>
    <s v="Delhivery"/>
    <d v="2024-02-15T00:00:00"/>
    <x v="370"/>
    <d v="2024-02-26T00:00:00"/>
    <s v="abhatt@outlook_com"/>
    <s v="8087300210"/>
  </r>
  <r>
    <x v="611"/>
    <s v="Anand Swaminathan"/>
    <x v="3"/>
    <s v="Jbl Flip 6"/>
    <x v="27"/>
    <x v="0"/>
    <s v="Audio"/>
    <n v="9400"/>
    <n v="3"/>
    <n v="28200"/>
    <n v="10"/>
    <x v="430"/>
    <n v="8460"/>
    <n v="18"/>
    <n v="1522.8"/>
    <n v="0"/>
    <n v="9982.7999999999993"/>
    <x v="6"/>
    <s v="Economy"/>
    <x v="0"/>
    <x v="2"/>
    <s v="Raj Kumar"/>
    <s v="North"/>
    <s v="Patna"/>
    <s v="Bihar"/>
    <x v="1"/>
    <s v="493514"/>
    <s v="Save10"/>
    <n v="4"/>
    <s v="No"/>
    <s v="other"/>
    <s v="WH-09"/>
    <s v="Delhivery"/>
    <d v="2024-03-12T00:00:00"/>
    <x v="70"/>
    <d v="2024-03-26T00:00:00"/>
    <s v="anand_swaminathan@gmail_com"/>
    <s v="6937859541"/>
  </r>
  <r>
    <x v="612"/>
    <s v="Harpreet Singh"/>
    <x v="0"/>
    <s v="Nikon D3500"/>
    <x v="3"/>
    <x v="0"/>
    <s v="Cameras"/>
    <n v="33390"/>
    <n v="2"/>
    <n v="66780"/>
    <n v="25"/>
    <x v="431"/>
    <n v="50085"/>
    <n v="18"/>
    <n v="9015.2999999999993"/>
    <n v="0"/>
    <n v="59100.3"/>
    <x v="5"/>
    <s v="Overnight"/>
    <x v="0"/>
    <x v="1"/>
    <s v="Neha Kulkarni"/>
    <s v="West"/>
    <s v="Rajkot"/>
    <s v="Gujarat"/>
    <x v="4"/>
    <s v="267074"/>
    <s v="Diwali25"/>
    <n v="4"/>
    <s v="No"/>
    <s v="other"/>
    <s v="WH-09"/>
    <s v="Amazon Logistics"/>
    <d v="2024-03-04T00:00:00"/>
    <x v="371"/>
    <d v="2024-03-14T00:00:00"/>
    <s v="harpreet_singh@gmail_com"/>
    <s v="8847719888"/>
  </r>
  <r>
    <x v="613"/>
    <s v="Pallavi Gaikwad"/>
    <x v="0"/>
    <s v="Hp Laserjet 1020"/>
    <x v="0"/>
    <x v="0"/>
    <s v="Printers"/>
    <n v="12220"/>
    <n v="6"/>
    <n v="73320"/>
    <n v="10"/>
    <x v="432"/>
    <n v="65988"/>
    <n v="18"/>
    <n v="11877.84"/>
    <n v="0"/>
    <n v="77865.84"/>
    <x v="0"/>
    <s v="Standard"/>
    <x v="1"/>
    <x v="4"/>
    <s v="Ritu Singh"/>
    <s v="Central"/>
    <s v="Warangal"/>
    <s v="Telangana"/>
    <x v="2"/>
    <s v="156431"/>
    <s v="Festive20"/>
    <n v="4"/>
    <s v="No"/>
    <s v="other"/>
    <s v="WH-04"/>
    <s v="Ekart"/>
    <d v="2023-06-19T00:00:00"/>
    <x v="53"/>
    <d v="2023-06-27T00:00:00"/>
    <s v="pallavi_gaikwad@gmail_com"/>
    <s v="8694660490"/>
  </r>
  <r>
    <x v="614"/>
    <s v="Saraswathi Rao"/>
    <x v="0"/>
    <s v="Lg 8Kg Front Load"/>
    <x v="33"/>
    <x v="1"/>
    <s v="Washing Machines"/>
    <n v="49060"/>
    <n v="4"/>
    <n v="196240"/>
    <n v="20"/>
    <x v="433"/>
    <n v="156992"/>
    <n v="5"/>
    <n v="7849.6"/>
    <n v="0"/>
    <n v="164841.60000000001"/>
    <x v="4"/>
    <s v="Same Day"/>
    <x v="0"/>
    <x v="1"/>
    <s v="Deepa Menon"/>
    <s v="South"/>
    <s v="Madurai"/>
    <s v="Tamil Nadu"/>
    <x v="2"/>
    <s v="696088"/>
    <s v="Diwali25"/>
    <n v="4"/>
    <s v="No"/>
    <s v="other"/>
    <s v="WH-12"/>
    <s v="Amazon Logistics"/>
    <d v="2024-02-23T00:00:00"/>
    <x v="372"/>
    <d v="2024-03-10T00:00:00"/>
    <s v="saraswathi_rao@gmail_com"/>
    <s v="8855002957"/>
  </r>
  <r>
    <x v="615"/>
    <s v="Archana Srivastava"/>
    <x v="0"/>
    <s v="Nilkamal Chair"/>
    <x v="11"/>
    <x v="4"/>
    <s v="Seating"/>
    <n v="4170"/>
    <n v="4"/>
    <n v="16680"/>
    <n v="5"/>
    <x v="434"/>
    <n v="15846"/>
    <n v="5"/>
    <n v="792.3"/>
    <n v="0"/>
    <n v="16638.3"/>
    <x v="2"/>
    <s v="Overnight"/>
    <x v="0"/>
    <x v="4"/>
    <s v="Ritu Singh"/>
    <s v="Central"/>
    <s v="Bhubaneswar"/>
    <s v="Odisha"/>
    <x v="1"/>
    <s v="388069"/>
    <s v="None"/>
    <n v="3"/>
    <s v="No"/>
    <s v="other"/>
    <s v="WH-01"/>
    <s v="Amazon Logistics"/>
    <d v="2023-04-29T00:00:00"/>
    <x v="242"/>
    <d v="2023-05-09T00:00:00"/>
    <s v="srivastava_archana@gmail_com"/>
    <s v="9929328507"/>
  </r>
  <r>
    <x v="616"/>
    <s v="Nisha Jain"/>
    <x v="1"/>
    <s v="Puma Softride"/>
    <x v="31"/>
    <x v="2"/>
    <s v="Footwear"/>
    <n v="4800"/>
    <n v="4"/>
    <n v="19200"/>
    <n v="0"/>
    <x v="2"/>
    <n v="19200"/>
    <n v="12"/>
    <n v="2304"/>
    <n v="0"/>
    <n v="21504"/>
    <x v="2"/>
    <s v="Express"/>
    <x v="0"/>
    <x v="2"/>
    <s v="Arjun Das"/>
    <s v="East"/>
    <s v="Thrissur"/>
    <s v="Kerala"/>
    <x v="2"/>
    <s v="484528"/>
    <s v="Summer15"/>
    <n v="4"/>
    <s v="No"/>
    <s v="other"/>
    <s v="WH-12"/>
    <s v="Dtdc"/>
    <d v="2024-06-18T00:00:00"/>
    <x v="235"/>
    <d v="2024-06-30T00:00:00"/>
    <s v="nisha_jain@gmail_com"/>
    <s v="9121186018"/>
  </r>
  <r>
    <x v="617"/>
    <s v="Smita  Patil"/>
    <x v="0"/>
    <s v="Nilkamal Chair"/>
    <x v="11"/>
    <x v="4"/>
    <s v="Seating"/>
    <n v="29347.846790890268"/>
    <n v="7"/>
    <n v="205434.92753623187"/>
    <n v="10"/>
    <x v="435"/>
    <n v="29295"/>
    <n v="5"/>
    <n v="1464.75"/>
    <n v="0"/>
    <n v="30759.75"/>
    <x v="5"/>
    <s v="Overnight"/>
    <x v="1"/>
    <x v="1"/>
    <s v="Deepa Menon"/>
    <s v="South"/>
    <s v="Vijayawada"/>
    <s v="Andhra Pradesh"/>
    <x v="2"/>
    <m/>
    <s v="Newuser"/>
    <n v="3"/>
    <s v="No"/>
    <s v="other"/>
    <s v="WH-11"/>
    <s v="Ekart"/>
    <d v="2024-06-01T00:00:00"/>
    <x v="373"/>
    <d v="2024-06-30T00:00:00"/>
    <s v="smita_patil@gmail_com"/>
    <s v="9641804460"/>
  </r>
  <r>
    <x v="618"/>
    <s v="Parag Soni"/>
    <x v="3"/>
    <s v="Logitech Mx Master 3"/>
    <x v="41"/>
    <x v="0"/>
    <s v="Accessories"/>
    <n v="9060"/>
    <n v="3"/>
    <n v="27180"/>
    <n v="15"/>
    <x v="436"/>
    <n v="23103"/>
    <n v="18"/>
    <n v="4158.54"/>
    <n v="0"/>
    <n v="27261.54"/>
    <x v="2"/>
    <s v="Economy"/>
    <x v="1"/>
    <x v="3"/>
    <s v="Sneha Reddy"/>
    <s v="South"/>
    <s v="Coimbatore"/>
    <s v="Tamil Nadu"/>
    <x v="2"/>
    <s v="503557"/>
    <s v="Summer15"/>
    <n v="4"/>
    <s v="No"/>
    <s v="other"/>
    <s v="WH-06"/>
    <s v="Dtdc"/>
    <d v="2024-03-18T00:00:00"/>
    <x v="90"/>
    <d v="2024-04-02T00:00:00"/>
    <s v="psoni@gmail_com"/>
    <s v="9625384766"/>
  </r>
  <r>
    <x v="384"/>
    <s v="Kiran Rao"/>
    <x v="0"/>
    <s v="Nilkamal Chair"/>
    <x v="11"/>
    <x v="4"/>
    <s v="Seating"/>
    <n v="4530"/>
    <n v="5"/>
    <n v="22650"/>
    <n v="5"/>
    <x v="437"/>
    <n v="21517.5"/>
    <n v="5"/>
    <n v="1075.8800000000001"/>
    <n v="0"/>
    <n v="22593.38"/>
    <x v="3"/>
    <s v="Overnight"/>
    <x v="2"/>
    <x v="0"/>
    <s v="Sneha Reddy"/>
    <s v="South"/>
    <s v="Kochi"/>
    <s v="Kerala"/>
    <x v="2"/>
    <s v="519237"/>
    <s v="Summer15"/>
    <n v="2"/>
    <s v="No"/>
    <s v="other"/>
    <s v="WH-01"/>
    <s v="Dtdc"/>
    <d v="2023-03-28T00:00:00"/>
    <x v="374"/>
    <d v="2023-04-06T00:00:00"/>
    <s v="kiran_rao@gmail_com"/>
    <s v=" 8165627740"/>
  </r>
  <r>
    <x v="619"/>
    <s v="Hussain Ali"/>
    <x v="3"/>
    <s v="Whirlpool 7Kg Washer"/>
    <x v="35"/>
    <x v="1"/>
    <s v="Washing Machines"/>
    <n v="29730"/>
    <n v="9"/>
    <n v="267570"/>
    <n v="15"/>
    <x v="438"/>
    <n v="227434.5"/>
    <n v="5"/>
    <n v="11371.73"/>
    <n v="0"/>
    <n v="238806.23"/>
    <x v="3"/>
    <s v="Express"/>
    <x v="0"/>
    <x v="3"/>
    <s v="Sneha Reddy"/>
    <s v="South"/>
    <s v="Patna"/>
    <s v="Bihar"/>
    <x v="1"/>
    <s v="142474"/>
    <s v="Flat500"/>
    <n v="4"/>
    <s v="No"/>
    <s v="other"/>
    <s v="WH-09"/>
    <s v="Amazon Logistics"/>
    <d v="2023-03-06T00:00:00"/>
    <x v="269"/>
    <d v="2023-03-14T00:00:00"/>
    <s v="ali_hussain@yahoo_co_in"/>
    <s v="9342322109"/>
  </r>
  <r>
    <x v="620"/>
    <s v="Sushma Yadav"/>
    <x v="1"/>
    <s v="Kurl-On King Bed"/>
    <x v="15"/>
    <x v="4"/>
    <s v="Beds"/>
    <n v="51000"/>
    <n v="6"/>
    <n v="306000"/>
    <n v="0"/>
    <x v="2"/>
    <n v="306000"/>
    <n v="5"/>
    <n v="15300"/>
    <n v="0"/>
    <n v="321300"/>
    <x v="5"/>
    <s v="Overnight"/>
    <x v="4"/>
    <x v="4"/>
    <s v="Karim Sheikh"/>
    <s v="North"/>
    <s v="Ranchi"/>
    <s v="Jharkhand"/>
    <x v="1"/>
    <s v="547269"/>
    <s v="Flat500"/>
    <n v="4"/>
    <s v="Yes"/>
    <s v="other"/>
    <s v="WH-09"/>
    <s v="Dtdc"/>
    <d v="2024-05-08T00:00:00"/>
    <x v="130"/>
    <d v="2024-05-23T00:00:00"/>
    <s v="yadav_sushma@gmail_com"/>
    <s v="6009624265"/>
  </r>
  <r>
    <x v="621"/>
    <s v="Aarav Sharma"/>
    <x v="0"/>
    <s v="Tata Tea Premium 1Kg"/>
    <x v="17"/>
    <x v="5"/>
    <s v="Beverages"/>
    <n v="460"/>
    <n v="1"/>
    <n v="460"/>
    <n v="0"/>
    <x v="2"/>
    <n v="460"/>
    <n v="5"/>
    <n v="23"/>
    <n v="49"/>
    <n v="483"/>
    <x v="5"/>
    <s v="Overnight"/>
    <x v="0"/>
    <x v="0"/>
    <s v="Vinay Joshi"/>
    <s v="Central"/>
    <s v="Thrissur"/>
    <s v="Kerala"/>
    <x v="2"/>
    <s v="185766"/>
    <s v="Summer15"/>
    <n v="4"/>
    <s v="No"/>
    <s v="other"/>
    <s v="WH-04"/>
    <s v="Ekart"/>
    <d v="2023-06-02T00:00:00"/>
    <x v="148"/>
    <d v="2023-06-11T00:00:00"/>
    <s v="sharma_aarav@gmail_com"/>
    <s v="9204767666"/>
  </r>
  <r>
    <x v="622"/>
    <s v="Fathima Begum"/>
    <x v="1"/>
    <s v="Sony Wh-1000Xm5"/>
    <x v="1"/>
    <x v="0"/>
    <s v="Audio"/>
    <n v="29900"/>
    <n v="4"/>
    <n v="119600"/>
    <n v="0"/>
    <x v="2"/>
    <n v="119600"/>
    <n v="18"/>
    <n v="21528"/>
    <n v="0"/>
    <n v="141128"/>
    <x v="2"/>
    <s v="Same Day"/>
    <x v="4"/>
    <x v="3"/>
    <s v="Arjun Das"/>
    <s v="East"/>
    <s v="Noida"/>
    <s v="Uttar Pradesh"/>
    <x v="0"/>
    <s v="762447"/>
    <s v="Flat500"/>
    <n v="4"/>
    <s v="Yes"/>
    <s v="other"/>
    <s v="WH-01"/>
    <s v="Delhivery"/>
    <d v="2023-05-20T00:00:00"/>
    <x v="148"/>
    <d v="2023-05-28T00:00:00"/>
    <s v="fbegum@gmail_com"/>
    <s v="9964574433"/>
  </r>
  <r>
    <x v="623"/>
    <s v="Ramesh Bose"/>
    <x v="0"/>
    <s v="Durian Sofa 3-Seat"/>
    <x v="24"/>
    <x v="4"/>
    <s v="Sofas"/>
    <n v="46450"/>
    <n v="4"/>
    <n v="185800"/>
    <n v="15"/>
    <x v="439"/>
    <n v="157930"/>
    <n v="5"/>
    <n v="7896.5"/>
    <n v="0"/>
    <n v="165826.5"/>
    <x v="1"/>
    <s v="Standard"/>
    <x v="1"/>
    <x v="0"/>
    <s v="Suraj Verma"/>
    <s v="East"/>
    <s v="Hubballi"/>
    <s v="Karnataka"/>
    <x v="2"/>
    <m/>
    <s v="None"/>
    <n v="4"/>
    <s v="No"/>
    <s v="other"/>
    <s v="WH-08"/>
    <s v="Delhivery"/>
    <d v="2023-10-29T00:00:00"/>
    <x v="228"/>
    <d v="2023-11-10T00:00:00"/>
    <s v="rameshb@gmail_com"/>
    <s v="8927943763"/>
  </r>
  <r>
    <x v="624"/>
    <s v="Zubair Khan"/>
    <x v="0"/>
    <s v="Peter England Suit"/>
    <x v="37"/>
    <x v="2"/>
    <s v="Clothing"/>
    <n v="9520"/>
    <n v="2"/>
    <n v="19040"/>
    <n v="0"/>
    <x v="2"/>
    <n v="19040"/>
    <n v="12"/>
    <n v="2284.8000000000002"/>
    <n v="0"/>
    <n v="21324.799999999999"/>
    <x v="0"/>
    <s v="Economy"/>
    <x v="0"/>
    <x v="2"/>
    <s v="Ritu Singh"/>
    <s v="Central"/>
    <s v="Jaipur"/>
    <s v="Rajasthan"/>
    <x v="0"/>
    <s v="423907"/>
    <s v="None"/>
    <n v="5"/>
    <s v="Yes"/>
    <s v="other"/>
    <s v="WH-11"/>
    <s v="Dtdc"/>
    <d v="2024-02-10T00:00:00"/>
    <x v="228"/>
    <d v="2024-02-24T00:00:00"/>
    <s v="zubairk@gmail_com"/>
    <s v="6212821938"/>
  </r>
  <r>
    <x v="625"/>
    <s v="Rohit Singh"/>
    <x v="0"/>
    <s v="Prestige Induction"/>
    <x v="29"/>
    <x v="1"/>
    <s v="Kitchen"/>
    <n v="29347.846790890268"/>
    <n v="15"/>
    <n v="440217.70186335401"/>
    <n v="0"/>
    <x v="2"/>
    <n v="49050"/>
    <n v="5"/>
    <n v="2452.5"/>
    <n v="0"/>
    <n v="51502.5"/>
    <x v="3"/>
    <s v="Express"/>
    <x v="1"/>
    <x v="3"/>
    <s v="Pooja Nair"/>
    <s v="South"/>
    <s v="Warangal"/>
    <s v="Telangana"/>
    <x v="2"/>
    <s v="540724"/>
    <s v="None"/>
    <n v="5"/>
    <s v="No"/>
    <s v="other"/>
    <s v="WH-10"/>
    <s v="Bluedart"/>
    <d v="2024-02-11T00:00:00"/>
    <x v="375"/>
    <d v="2024-02-18T00:00:00"/>
    <s v="rsingh@outlook_com"/>
    <s v="6512421063"/>
  </r>
  <r>
    <x v="626"/>
    <s v="Thiruvengadam Natarajan"/>
    <x v="3"/>
    <s v="Voltas 1.5T Ac"/>
    <x v="19"/>
    <x v="1"/>
    <s v="Air Conditioners"/>
    <n v="40560"/>
    <n v="5"/>
    <n v="202800"/>
    <n v="0"/>
    <x v="2"/>
    <n v="202800"/>
    <n v="5"/>
    <n v="10140"/>
    <n v="0"/>
    <n v="212940"/>
    <x v="0"/>
    <s v="Economy"/>
    <x v="3"/>
    <x v="3"/>
    <s v="Neha Kulkarni"/>
    <s v="West"/>
    <s v="Bhubaneswar"/>
    <s v="Odisha"/>
    <x v="1"/>
    <s v="123617"/>
    <s v="None"/>
    <n v="4"/>
    <s v="No"/>
    <s v="other"/>
    <s v="WH-08"/>
    <s v="Ekart"/>
    <d v="2023-06-20T00:00:00"/>
    <x v="230"/>
    <d v="2023-06-26T00:00:00"/>
    <s v="thiruvengadamn@outlook_com"/>
    <s v="7613417491"/>
  </r>
  <r>
    <x v="627"/>
    <s v="Rohit Singh"/>
    <x v="0"/>
    <s v="Lenovo Thinkpad E14"/>
    <x v="4"/>
    <x v="0"/>
    <s v="Laptops"/>
    <n v="53360"/>
    <n v="3"/>
    <n v="160080"/>
    <n v="0"/>
    <x v="2"/>
    <n v="160080"/>
    <n v="18"/>
    <n v="28814.400000000001"/>
    <n v="0"/>
    <n v="188894.4"/>
    <x v="5"/>
    <s v="Same Day"/>
    <x v="1"/>
    <x v="2"/>
    <s v="Raj Kumar"/>
    <s v="North"/>
    <s v="Delhi"/>
    <s v="Delhi"/>
    <x v="0"/>
    <s v="722404"/>
    <s v="None"/>
    <n v="4"/>
    <s v="No"/>
    <s v="other"/>
    <s v="WH-02"/>
    <s v="Delhivery"/>
    <d v="2023-08-18T00:00:00"/>
    <x v="186"/>
    <d v="2023-08-26T00:00:00"/>
    <s v="singh_rohit@outlook_com"/>
    <s v="7647904991"/>
  </r>
  <r>
    <x v="628"/>
    <s v="Jyoti Narayan"/>
    <x v="2"/>
    <s v="Canon Eos 200D"/>
    <x v="7"/>
    <x v="0"/>
    <s v="Cameras"/>
    <n v="51490"/>
    <n v="3"/>
    <n v="154470"/>
    <n v="0"/>
    <x v="2"/>
    <n v="154470"/>
    <n v="18"/>
    <n v="27804.6"/>
    <n v="0"/>
    <n v="182274.6"/>
    <x v="3"/>
    <s v="Overnight"/>
    <x v="0"/>
    <x v="2"/>
    <s v="Priya Sinha"/>
    <s v="West"/>
    <s v="Surat"/>
    <s v="Gujarat"/>
    <x v="4"/>
    <s v="659187"/>
    <s v="Festive20"/>
    <n v="4"/>
    <s v="No"/>
    <s v="other"/>
    <s v="WH-10"/>
    <s v="Bluedart"/>
    <d v="2023-02-28T00:00:00"/>
    <x v="293"/>
    <d v="2023-03-13T00:00:00"/>
    <s v="jyoti_narayan@yahoo_com"/>
    <s v="61549 17732"/>
  </r>
  <r>
    <x v="629"/>
    <s v="Abhijeet Sawant"/>
    <x v="1"/>
    <s v="Puma Softride"/>
    <x v="31"/>
    <x v="2"/>
    <s v="Footwear"/>
    <n v="4820"/>
    <n v="2"/>
    <n v="9640"/>
    <n v="5"/>
    <x v="440"/>
    <n v="9158"/>
    <n v="12"/>
    <n v="1098.96"/>
    <n v="0"/>
    <n v="10256.959999999999"/>
    <x v="0"/>
    <s v="Express"/>
    <x v="0"/>
    <x v="2"/>
    <s v="Neha Kulkarni"/>
    <s v="West"/>
    <s v="Cuttack"/>
    <s v="Odisha"/>
    <x v="1"/>
    <s v="363061"/>
    <s v="None"/>
    <n v="5"/>
    <s v="No"/>
    <s v="other"/>
    <s v="WH-03"/>
    <s v="Dtdc"/>
    <d v="2023-08-06T00:00:00"/>
    <x v="376"/>
    <d v="2023-08-17T00:00:00"/>
    <s v="asawant@outlook_com"/>
    <s v="7766949471"/>
  </r>
  <r>
    <x v="271"/>
    <s v="Obeysekara Fernando"/>
    <x v="0"/>
    <s v="Amul Butter 500G"/>
    <x v="38"/>
    <x v="5"/>
    <s v="Dairy"/>
    <n v="300"/>
    <n v="1"/>
    <n v="300"/>
    <n v="0"/>
    <x v="2"/>
    <n v="300"/>
    <n v="5"/>
    <n v="15"/>
    <n v="99"/>
    <n v="315"/>
    <x v="4"/>
    <s v="Standard"/>
    <x v="0"/>
    <x v="2"/>
    <s v="Ankit Sharma"/>
    <s v="North"/>
    <s v="Howrah"/>
    <s v="West Bengal"/>
    <x v="1"/>
    <s v="140739"/>
    <s v="None"/>
    <n v="4"/>
    <s v="No"/>
    <s v="other"/>
    <s v="WH-01"/>
    <s v="Ekart"/>
    <d v="2024-02-12T00:00:00"/>
    <x v="300"/>
    <d v="2024-02-20T00:00:00"/>
    <s v="obeysekaraf@gmail_com"/>
    <s v="9136964804"/>
  </r>
  <r>
    <x v="630"/>
    <s v="Sunil Jadhav"/>
    <x v="0"/>
    <s v="Peter England Suit"/>
    <x v="37"/>
    <x v="2"/>
    <s v="Clothing"/>
    <n v="9610"/>
    <n v="7"/>
    <n v="67270"/>
    <n v="5"/>
    <x v="441"/>
    <n v="63906.5"/>
    <n v="12"/>
    <n v="7668.78"/>
    <n v="0"/>
    <n v="71575.28"/>
    <x v="3"/>
    <s v="Economy"/>
    <x v="1"/>
    <x v="2"/>
    <s v="Vinay Joshi"/>
    <s v="Central"/>
    <s v="Jodhpur"/>
    <s v="Rajasthan"/>
    <x v="0"/>
    <s v="608888"/>
    <s v="Save10"/>
    <n v="4"/>
    <s v="No"/>
    <s v="other"/>
    <s v="WH-08"/>
    <s v="Delhivery"/>
    <d v="2024-06-29T00:00:00"/>
    <x v="377"/>
    <d v="2024-07-11T00:00:00"/>
    <s v="jadhav_sunil@gmail_com"/>
    <s v="9592094101"/>
  </r>
  <r>
    <x v="631"/>
    <s v="Rekha Menon"/>
    <x v="0"/>
    <s v="Logitech Mx Master 3"/>
    <x v="41"/>
    <x v="0"/>
    <s v="Accessories"/>
    <n v="9040"/>
    <n v="9"/>
    <n v="81360"/>
    <n v="0"/>
    <x v="2"/>
    <n v="81360"/>
    <n v="18"/>
    <n v="14644.8"/>
    <n v="0"/>
    <n v="96004.800000000003"/>
    <x v="4"/>
    <s v="Same Day"/>
    <x v="0"/>
    <x v="4"/>
    <s v="Suraj Verma"/>
    <s v="East"/>
    <s v="Bengaluru"/>
    <s v="Karnataka"/>
    <x v="2"/>
    <s v="632432"/>
    <s v="None"/>
    <n v="4"/>
    <s v="No"/>
    <s v="other"/>
    <s v="WH-09"/>
    <s v="Bluedart"/>
    <d v="2023-11-26T00:00:00"/>
    <x v="378"/>
    <d v="2023-12-07T00:00:00"/>
    <s v="rekha_menon@yahoo_co_in__"/>
    <s v="9812923613"/>
  </r>
  <r>
    <x v="632"/>
    <s v="Balwinder Sandhu"/>
    <x v="0"/>
    <s v="Maggi Noodles 12-Pack"/>
    <x v="40"/>
    <x v="5"/>
    <s v="Instant Foods"/>
    <n v="190"/>
    <n v="5"/>
    <n v="950"/>
    <n v="5"/>
    <x v="442"/>
    <n v="902.5"/>
    <n v="5"/>
    <n v="45.12"/>
    <n v="49"/>
    <n v="947.62"/>
    <x v="3"/>
    <s v="Standard"/>
    <x v="2"/>
    <x v="2"/>
    <s v="Karim Sheikh"/>
    <s v="North"/>
    <s v="Mumbai"/>
    <s v="Maharashtra"/>
    <x v="4"/>
    <s v="640632"/>
    <s v="Save10"/>
    <n v="5"/>
    <s v="No"/>
    <s v="other"/>
    <s v="WH-11"/>
    <s v="Ekart"/>
    <d v="2023-03-09T00:00:00"/>
    <x v="108"/>
    <d v="2023-03-18T00:00:00"/>
    <s v="bsandhu@gmail_com"/>
    <s v="7034857365"/>
  </r>
  <r>
    <x v="633"/>
    <s v="Vijay Pillai"/>
    <x v="1"/>
    <s v="Milton Water Purifier"/>
    <x v="22"/>
    <x v="1"/>
    <s v="Kitchen"/>
    <n v="10790"/>
    <n v="9"/>
    <n v="97110"/>
    <n v="20"/>
    <x v="443"/>
    <n v="77688"/>
    <n v="5"/>
    <n v="3884.4"/>
    <n v="0"/>
    <n v="81572.399999999994"/>
    <x v="1"/>
    <s v="Overnight"/>
    <x v="1"/>
    <x v="3"/>
    <s v="Aman Bhatia"/>
    <s v="West"/>
    <s v="Thrissur"/>
    <s v="Kerala"/>
    <x v="2"/>
    <s v="528960"/>
    <s v="None"/>
    <n v="4"/>
    <s v="No"/>
    <s v="other"/>
    <s v="WH-01"/>
    <s v="India Post"/>
    <d v="2024-06-15T00:00:00"/>
    <x v="181"/>
    <d v="2024-06-28T00:00:00"/>
    <s v="vijay_pillai@gmail_com"/>
    <s v="9269901523"/>
  </r>
  <r>
    <x v="590"/>
    <s v="Kannappan Ponnusamy"/>
    <x v="0"/>
    <s v="Lavie Handbag"/>
    <x v="12"/>
    <x v="2"/>
    <s v="Bags"/>
    <n v="2670"/>
    <n v="4"/>
    <n v="10680"/>
    <n v="0"/>
    <x v="2"/>
    <n v="10680"/>
    <n v="12"/>
    <n v="1281.5999999999999"/>
    <n v="0"/>
    <n v="11961.6"/>
    <x v="4"/>
    <s v="Overnight"/>
    <x v="0"/>
    <x v="3"/>
    <s v="Ritu Singh"/>
    <s v="Central"/>
    <s v="Faridabad"/>
    <s v="Haryana"/>
    <x v="0"/>
    <s v="324511"/>
    <s v="Flat500"/>
    <n v="4"/>
    <s v="Yes"/>
    <s v="other"/>
    <s v="WH-12"/>
    <s v="Delhivery"/>
    <d v="2023-12-28T00:00:00"/>
    <x v="181"/>
    <d v="2024-01-02T00:00:00"/>
    <s v="ponnusamy_kannappan@gmail_com"/>
    <s v="8682048109"/>
  </r>
  <r>
    <x v="634"/>
    <s v="Parvati Devi"/>
    <x v="1"/>
    <s v="Lg 8Kg Front Load"/>
    <x v="33"/>
    <x v="1"/>
    <s v="Washing Machines"/>
    <n v="50760"/>
    <n v="2"/>
    <n v="101520"/>
    <n v="0"/>
    <x v="2"/>
    <n v="101520"/>
    <n v="5"/>
    <n v="5076"/>
    <n v="0"/>
    <n v="106596"/>
    <x v="0"/>
    <s v="Economy"/>
    <x v="0"/>
    <x v="3"/>
    <s v="Deepa Menon"/>
    <s v="South"/>
    <s v="Udaipur"/>
    <s v="Rajasthan"/>
    <x v="0"/>
    <s v="418461"/>
    <s v="Summer15"/>
    <n v="4"/>
    <s v="No"/>
    <s v="other"/>
    <s v="WH-05"/>
    <s v="Dtdc"/>
    <d v="2023-04-18T00:00:00"/>
    <x v="142"/>
    <d v="2023-04-24T00:00:00"/>
    <s v="parvati_devi@gmail_com"/>
    <s v="9815590308"/>
  </r>
  <r>
    <x v="635"/>
    <s v="Sunita Verma"/>
    <x v="3"/>
    <s v="Van Heusen Shirt"/>
    <x v="42"/>
    <x v="2"/>
    <s v="Clothing"/>
    <n v="1710"/>
    <n v="1"/>
    <n v="1710"/>
    <n v="0"/>
    <x v="2"/>
    <n v="1710"/>
    <n v="12"/>
    <n v="205.2"/>
    <n v="149"/>
    <n v="1915.2"/>
    <x v="3"/>
    <s v="Same Day"/>
    <x v="1"/>
    <x v="3"/>
    <s v="Priya Sinha"/>
    <s v="West"/>
    <s v="Bhubaneswar"/>
    <s v="Odisha"/>
    <x v="1"/>
    <s v="735093"/>
    <s v="None"/>
    <n v="4"/>
    <s v="No"/>
    <s v="other"/>
    <s v="WH-01"/>
    <s v="Delhivery"/>
    <d v="2023-09-19T00:00:00"/>
    <x v="379"/>
    <d v="2023-09-30T00:00:00"/>
    <s v="sunita_verma@gmail_com"/>
    <s v="7277547777"/>
  </r>
  <r>
    <x v="636"/>
    <s v="Rajeev Pawar"/>
    <x v="1"/>
    <s v="Voltas 1.5T Ac"/>
    <x v="19"/>
    <x v="1"/>
    <s v="Air Conditioners"/>
    <n v="39340"/>
    <n v="1"/>
    <n v="39340"/>
    <n v="20"/>
    <x v="444"/>
    <n v="31472"/>
    <n v="5"/>
    <n v="1573.6"/>
    <n v="0"/>
    <n v="33045.599999999999"/>
    <x v="0"/>
    <s v="Express"/>
    <x v="0"/>
    <x v="0"/>
    <s v="Neha Kulkarni"/>
    <s v="West"/>
    <s v="Patna"/>
    <s v="Bihar"/>
    <x v="1"/>
    <s v="777911"/>
    <s v="Diwali25"/>
    <n v="5"/>
    <s v="No"/>
    <s v="other"/>
    <s v="WH-01"/>
    <s v="Bluedart"/>
    <d v="2023-11-14T00:00:00"/>
    <x v="140"/>
    <d v="2023-11-27T00:00:00"/>
    <s v="rajeev_pawar@hotmail_com"/>
    <s v="8674906412"/>
  </r>
  <r>
    <x v="637"/>
    <s v="Prakash Dubey"/>
    <x v="0"/>
    <s v="Epson L3250"/>
    <x v="39"/>
    <x v="0"/>
    <s v="Printers"/>
    <n v="17170"/>
    <n v="5"/>
    <n v="85850"/>
    <n v="5"/>
    <x v="445"/>
    <n v="81557.5"/>
    <n v="18"/>
    <n v="14680.35"/>
    <n v="0"/>
    <n v="96237.85"/>
    <x v="1"/>
    <s v="Express"/>
    <x v="1"/>
    <x v="4"/>
    <s v="Arjun Das"/>
    <s v="East"/>
    <s v="Madurai"/>
    <s v="Tamil Nadu"/>
    <x v="2"/>
    <s v="692996"/>
    <s v="Diwali25"/>
    <n v="5"/>
    <s v="No"/>
    <s v="other"/>
    <s v="WH-01"/>
    <s v="Ekart"/>
    <d v="2023-11-12T00:00:00"/>
    <x v="351"/>
    <d v="2023-12-25T00:00:00"/>
    <s v="prakash_dubey@rediffmail_com"/>
    <s v="7504910860"/>
  </r>
  <r>
    <x v="638"/>
    <s v="Rohit Singh"/>
    <x v="1"/>
    <s v="Peter England Suit"/>
    <x v="37"/>
    <x v="2"/>
    <s v="Clothing"/>
    <n v="8410"/>
    <n v="1"/>
    <n v="8410"/>
    <n v="5"/>
    <x v="446"/>
    <n v="7989.5"/>
    <n v="12"/>
    <n v="958.74"/>
    <n v="0"/>
    <n v="8948.24"/>
    <x v="6"/>
    <s v="Express"/>
    <x v="2"/>
    <x v="0"/>
    <s v="Deepa Menon"/>
    <s v="South"/>
    <s v="Bhubaneswar"/>
    <s v="Odisha"/>
    <x v="1"/>
    <s v="214166"/>
    <s v="Festive20"/>
    <n v="4"/>
    <s v="No"/>
    <s v="other"/>
    <s v="WH-07"/>
    <s v="Ekart"/>
    <d v="2024-06-02T00:00:00"/>
    <x v="373"/>
    <d v="2024-06-14T00:00:00"/>
    <s v="singh_rohit@outlook_com"/>
    <s v="8396379020"/>
  </r>
  <r>
    <x v="639"/>
    <s v="Harish Malhotra"/>
    <x v="3"/>
    <s v="Lg 43-Inch 4K Tv"/>
    <x v="33"/>
    <x v="0"/>
    <s v="Televisions"/>
    <n v="39890"/>
    <n v="1"/>
    <n v="39890"/>
    <n v="15"/>
    <x v="447"/>
    <n v="33906.5"/>
    <n v="18"/>
    <n v="6103.17"/>
    <n v="0"/>
    <n v="40009.67"/>
    <x v="5"/>
    <s v="Same Day"/>
    <x v="0"/>
    <x v="4"/>
    <s v="Anjali Mehta"/>
    <s v="South"/>
    <s v="Indore"/>
    <s v="Madhya Pradesh"/>
    <x v="3"/>
    <s v="706679"/>
    <s v="None"/>
    <n v="2"/>
    <s v="No"/>
    <s v="other"/>
    <s v="WH-06"/>
    <s v="Delhivery"/>
    <d v="2023-08-27T00:00:00"/>
    <x v="185"/>
    <d v="2023-09-09T00:00:00"/>
    <s v="harishm@gmail_com"/>
    <s v="6663795818"/>
  </r>
  <r>
    <x v="640"/>
    <s v="Hina Shah"/>
    <x v="3"/>
    <s v="Whirlpool 7Kg Washer"/>
    <x v="35"/>
    <x v="1"/>
    <s v="Washing Machines"/>
    <n v="31380"/>
    <n v="1"/>
    <n v="31380"/>
    <n v="15"/>
    <x v="448"/>
    <n v="26673"/>
    <n v="5"/>
    <n v="1333.65"/>
    <n v="0"/>
    <n v="28006.65"/>
    <x v="4"/>
    <s v="Overnight"/>
    <x v="2"/>
    <x v="0"/>
    <s v="Priya Sinha"/>
    <s v="West"/>
    <s v="Jamshedpur"/>
    <s v="Jharkhand"/>
    <x v="1"/>
    <s v="625837"/>
    <s v="None"/>
    <n v="1"/>
    <s v="Yes"/>
    <s v="other"/>
    <s v="WH-06"/>
    <s v="Bluedart"/>
    <d v="2023-07-20T00:00:00"/>
    <x v="292"/>
    <d v="2023-07-31T00:00:00"/>
    <s v="hina_shah@yahoo_com"/>
    <s v="6229232468"/>
  </r>
  <r>
    <x v="641"/>
    <s v="Preeti Deshpande"/>
    <x v="0"/>
    <s v="Lavie Handbag"/>
    <x v="12"/>
    <x v="2"/>
    <s v="Bags"/>
    <n v="2870"/>
    <n v="4"/>
    <n v="11480"/>
    <n v="15"/>
    <x v="449"/>
    <n v="9758"/>
    <n v="12"/>
    <n v="1170.96"/>
    <n v="0"/>
    <n v="10928.96"/>
    <x v="4"/>
    <s v="Economy"/>
    <x v="0"/>
    <x v="0"/>
    <s v="Pooja Nair"/>
    <s v="South"/>
    <s v="Hyderabad"/>
    <s v="Telangana"/>
    <x v="2"/>
    <s v="562245"/>
    <s v="None"/>
    <n v="4"/>
    <s v="No"/>
    <s v="other"/>
    <s v="WH-08"/>
    <s v="Ekart"/>
    <d v="2023-11-30T00:00:00"/>
    <x v="380"/>
    <d v="2023-12-15T00:00:00"/>
    <s v="preeti_deshpande@gmail_com"/>
    <s v="66449 43632"/>
  </r>
  <r>
    <x v="642"/>
    <s v="Bhavani Shankar"/>
    <x v="0"/>
    <s v="Hp Pavilion 15"/>
    <x v="0"/>
    <x v="0"/>
    <s v="Laptops"/>
    <n v="63260"/>
    <n v="2"/>
    <n v="126520"/>
    <n v="0"/>
    <x v="2"/>
    <n v="126520"/>
    <n v="18"/>
    <n v="22773.599999999999"/>
    <n v="0"/>
    <n v="149293.6"/>
    <x v="4"/>
    <s v="Overnight"/>
    <x v="0"/>
    <x v="3"/>
    <s v="Deepa Menon"/>
    <s v="South"/>
    <s v="Bhubaneswar"/>
    <s v="Odisha"/>
    <x v="1"/>
    <s v="742437"/>
    <s v="Save10"/>
    <n v="4"/>
    <s v="No"/>
    <s v="other"/>
    <s v="WH-05"/>
    <s v="Bluedart"/>
    <d v="2023-12-22T00:00:00"/>
    <x v="183"/>
    <d v="2023-12-30T00:00:00"/>
    <s v="shankar_bhavani@yahoo_com"/>
    <s v="8663279042"/>
  </r>
  <r>
    <x v="643"/>
    <s v="Archana Srivastava"/>
    <x v="0"/>
    <s v="Lavie Handbag"/>
    <x v="12"/>
    <x v="2"/>
    <s v="Bags"/>
    <n v="2580"/>
    <n v="1"/>
    <n v="2580"/>
    <n v="0"/>
    <x v="2"/>
    <n v="2580"/>
    <n v="12"/>
    <n v="309.60000000000002"/>
    <n v="149"/>
    <n v="2889.6"/>
    <x v="2"/>
    <s v="Same Day"/>
    <x v="0"/>
    <x v="4"/>
    <s v="Sneha Reddy"/>
    <s v="South"/>
    <s v="Raipur"/>
    <s v="Chhattisgarh"/>
    <x v="3"/>
    <s v="196702"/>
    <s v="Diwali25"/>
    <n v="5"/>
    <s v="No"/>
    <s v="other"/>
    <s v="WH-08"/>
    <s v="Delhivery"/>
    <d v="2024-01-06T00:00:00"/>
    <x v="381"/>
    <d v="2024-01-13T00:00:00"/>
    <s v="archana_srivastava@gmail_com"/>
    <s v="9130610922"/>
  </r>
  <r>
    <x v="644"/>
    <s v="Chirag Desai"/>
    <x v="0"/>
    <s v="Godrej 236L Fridge"/>
    <x v="14"/>
    <x v="1"/>
    <s v="Refrigerators"/>
    <n v="21700"/>
    <n v="1"/>
    <n v="21700"/>
    <n v="5"/>
    <x v="450"/>
    <n v="20615"/>
    <n v="5"/>
    <n v="1030.75"/>
    <n v="0"/>
    <n v="21645.75"/>
    <x v="5"/>
    <s v="Express"/>
    <x v="0"/>
    <x v="3"/>
    <s v="Vinay Joshi"/>
    <s v="Central"/>
    <s v="Warangal"/>
    <s v="Telangana"/>
    <x v="2"/>
    <s v="322452"/>
    <s v="None"/>
    <n v="3"/>
    <s v="No"/>
    <s v="other"/>
    <s v="WH-04"/>
    <s v="Bluedart"/>
    <d v="2023-02-14T00:00:00"/>
    <x v="382"/>
    <d v="2023-02-21T00:00:00"/>
    <s v="chirag_desai@gmail_com"/>
    <s v="60275 10056"/>
  </r>
  <r>
    <x v="645"/>
    <s v="Saraswathi Rao"/>
    <x v="3"/>
    <s v="Canon Eos 200D"/>
    <x v="7"/>
    <x v="0"/>
    <s v="Cameras"/>
    <n v="50500"/>
    <n v="3"/>
    <n v="151500"/>
    <n v="0"/>
    <x v="2"/>
    <n v="151500"/>
    <n v="18"/>
    <n v="27270"/>
    <n v="0"/>
    <n v="178770"/>
    <x v="3"/>
    <s v="Economy"/>
    <x v="3"/>
    <x v="1"/>
    <s v="Pooja Nair"/>
    <s v="South"/>
    <s v="Pune"/>
    <s v="Maharashtra"/>
    <x v="4"/>
    <s v="492757"/>
    <s v="None"/>
    <n v="4"/>
    <s v="No"/>
    <s v="other"/>
    <s v="WH-04"/>
    <s v="India Post"/>
    <d v="2024-01-15T00:00:00"/>
    <x v="383"/>
    <d v="2024-01-28T00:00:00"/>
    <s v="saraswathir@gmail_com"/>
    <s v=" 7685519020"/>
  </r>
  <r>
    <x v="646"/>
    <s v="Rahul Sharma"/>
    <x v="3"/>
    <s v="Lg 8Kg Front Load"/>
    <x v="33"/>
    <x v="1"/>
    <s v="Washing Machines"/>
    <n v="44570"/>
    <n v="4"/>
    <n v="178280"/>
    <n v="10"/>
    <x v="451"/>
    <n v="160452"/>
    <n v="5"/>
    <n v="8022.6"/>
    <n v="0"/>
    <n v="168474.6"/>
    <x v="3"/>
    <s v="Standard"/>
    <x v="0"/>
    <x v="2"/>
    <s v="Aman Bhatia"/>
    <s v="West"/>
    <s v="Kozhikode"/>
    <s v="Kerala"/>
    <x v="2"/>
    <s v="700144"/>
    <s v="Newuser"/>
    <n v="4"/>
    <s v="No"/>
    <s v="other"/>
    <s v="WH-12"/>
    <s v="Delhivery"/>
    <d v="2024-01-13T00:00:00"/>
    <x v="288"/>
    <d v="2024-01-25T00:00:00"/>
    <s v="rsharma@gmail_com"/>
    <s v="9259283397"/>
  </r>
  <r>
    <x v="647"/>
    <s v="Sunil Jadhav"/>
    <x v="0"/>
    <s v="Lavie Handbag"/>
    <x v="12"/>
    <x v="2"/>
    <s v="Bags"/>
    <n v="29347.846790890268"/>
    <n v="4"/>
    <n v="117391.38716356107"/>
    <n v="10"/>
    <x v="452"/>
    <n v="9396"/>
    <n v="12"/>
    <n v="1127.52"/>
    <n v="0"/>
    <n v="10523.52"/>
    <x v="5"/>
    <s v="Same Day"/>
    <x v="5"/>
    <x v="2"/>
    <s v="Ritu Singh"/>
    <s v="Central"/>
    <s v="Gurugram"/>
    <s v="Haryana"/>
    <x v="0"/>
    <s v="277893"/>
    <s v="Save10"/>
    <n v="4"/>
    <s v="No"/>
    <s v="other"/>
    <s v="WH-03"/>
    <s v="India Post"/>
    <d v="2024-01-23T00:00:00"/>
    <x v="134"/>
    <d v="2024-02-07T00:00:00"/>
    <s v="sjadhav@gmail_com"/>
    <s v="72593 57076"/>
  </r>
  <r>
    <x v="648"/>
    <s v="Pallavi Gaikwad"/>
    <x v="0"/>
    <s v="Amul Butter 500G"/>
    <x v="38"/>
    <x v="5"/>
    <s v="Dairy"/>
    <n v="280"/>
    <n v="1"/>
    <n v="280"/>
    <n v="20"/>
    <x v="453"/>
    <n v="224"/>
    <n v="5"/>
    <n v="11.2"/>
    <n v="79"/>
    <n v="235.2"/>
    <x v="2"/>
    <s v="Overnight"/>
    <x v="0"/>
    <x v="1"/>
    <s v="Raj Kumar"/>
    <s v="North"/>
    <s v="Delhi"/>
    <s v="Delhi"/>
    <x v="0"/>
    <s v="739039"/>
    <s v="None"/>
    <n v="2"/>
    <s v="No"/>
    <s v="other"/>
    <s v="WH-05"/>
    <s v="Bluedart"/>
    <d v="2024-03-22T00:00:00"/>
    <x v="56"/>
    <d v="2024-03-29T00:00:00"/>
    <s v="pallavig@gmail_com"/>
    <s v="6628058777"/>
  </r>
  <r>
    <x v="649"/>
    <s v="Sushma Yadav"/>
    <x v="1"/>
    <s v="Durian Sofa 3-Seat"/>
    <x v="24"/>
    <x v="4"/>
    <s v="Sofas"/>
    <n v="42470"/>
    <n v="5"/>
    <n v="212350"/>
    <n v="5"/>
    <x v="454"/>
    <n v="201732.5"/>
    <n v="5"/>
    <n v="10086.620000000001"/>
    <n v="0"/>
    <n v="211819.12"/>
    <x v="4"/>
    <s v="Standard"/>
    <x v="2"/>
    <x v="4"/>
    <s v="Ankit Sharma"/>
    <s v="North"/>
    <s v="Chennai"/>
    <s v="Tamil Nadu"/>
    <x v="2"/>
    <s v="405859"/>
    <s v="Diwali25"/>
    <n v="3"/>
    <s v="No"/>
    <s v="other"/>
    <s v="WH-10"/>
    <s v="Delhivery"/>
    <d v="2024-01-06T00:00:00"/>
    <x v="207"/>
    <d v="2024-01-13T00:00:00"/>
    <s v="syadav@gmail_com"/>
    <s v="7250075167"/>
  </r>
  <r>
    <x v="650"/>
    <s v="Hussain Ali"/>
    <x v="0"/>
    <s v="Centuary Mattress"/>
    <x v="16"/>
    <x v="4"/>
    <s v="Beds"/>
    <n v="15190"/>
    <n v="2"/>
    <n v="30380"/>
    <n v="5"/>
    <x v="455"/>
    <n v="28861"/>
    <n v="5"/>
    <n v="1443.05"/>
    <n v="0"/>
    <n v="30304.05"/>
    <x v="3"/>
    <s v="Express"/>
    <x v="0"/>
    <x v="1"/>
    <s v="Arjun Das"/>
    <s v="East"/>
    <s v="Surat"/>
    <s v="Gujarat"/>
    <x v="4"/>
    <s v="610634"/>
    <s v="Festive20"/>
    <n v="4"/>
    <s v="No"/>
    <s v="other"/>
    <s v="WH-04"/>
    <s v="Bluedart"/>
    <d v="2023-11-11T00:00:00"/>
    <x v="71"/>
    <d v="2023-11-23T00:00:00"/>
    <s v="hussain_ali@yahoo_co_in"/>
    <s v="8919699335"/>
  </r>
  <r>
    <x v="651"/>
    <s v="Ramachandran Pillai"/>
    <x v="1"/>
    <s v="Samsung 65-Inch Qled"/>
    <x v="2"/>
    <x v="0"/>
    <s v="Televisions"/>
    <n v="95060"/>
    <n v="1"/>
    <n v="95060"/>
    <n v="0"/>
    <x v="2"/>
    <n v="95060"/>
    <n v="18"/>
    <n v="17110.8"/>
    <n v="0"/>
    <n v="112170.8"/>
    <x v="5"/>
    <s v="Overnight"/>
    <x v="1"/>
    <x v="0"/>
    <s v="Priya Sinha"/>
    <s v="West"/>
    <s v="Nashik"/>
    <s v="Maharashtra"/>
    <x v="4"/>
    <s v="241638"/>
    <s v="Flat500"/>
    <n v="2"/>
    <s v="No"/>
    <s v="other"/>
    <s v="WH-04"/>
    <s v="Bluedart"/>
    <d v="2023-10-11T00:00:00"/>
    <x v="339"/>
    <d v="2023-10-28T00:00:00"/>
    <s v="pillai_ramachandran@gmail_com"/>
    <s v="7786503947"/>
  </r>
  <r>
    <x v="652"/>
    <s v="Saraswathi Rao"/>
    <x v="0"/>
    <s v="Dell Xps 15 Laptop"/>
    <x v="23"/>
    <x v="0"/>
    <s v="Laptops"/>
    <n v="133000"/>
    <n v="3"/>
    <n v="399000"/>
    <n v="5"/>
    <x v="456"/>
    <n v="379050"/>
    <n v="18"/>
    <n v="68229"/>
    <n v="0"/>
    <n v="447279"/>
    <x v="3"/>
    <s v="Overnight"/>
    <x v="0"/>
    <x v="1"/>
    <s v="Aman Bhatia"/>
    <s v="West"/>
    <s v="Delhi"/>
    <s v="Delhi"/>
    <x v="0"/>
    <s v="262995"/>
    <s v="Flat500"/>
    <n v="3"/>
    <s v="No"/>
    <s v="other"/>
    <s v="WH-12"/>
    <s v="Dtdc"/>
    <d v="2023-12-05T00:00:00"/>
    <x v="313"/>
    <d v="2023-12-16T00:00:00"/>
    <s v="rao_saraswathi@gmail_com"/>
    <s v="7916867088"/>
  </r>
  <r>
    <x v="653"/>
    <s v="Ravi Shankar"/>
    <x v="0"/>
    <s v="Macbook Air M2"/>
    <x v="13"/>
    <x v="0"/>
    <s v="Laptops"/>
    <n v="117010"/>
    <n v="6"/>
    <n v="702060"/>
    <n v="10"/>
    <x v="457"/>
    <n v="631854"/>
    <n v="18"/>
    <n v="113733.72"/>
    <n v="0"/>
    <n v="745587.72"/>
    <x v="1"/>
    <s v="Standard"/>
    <x v="4"/>
    <x v="4"/>
    <s v="Raj Kumar"/>
    <s v="North"/>
    <s v="Mumbai"/>
    <s v="Maharashtra"/>
    <x v="4"/>
    <s v="449041"/>
    <s v="Summer15"/>
    <n v="4"/>
    <s v="Yes"/>
    <s v="Changed Mind"/>
    <s v="WH-01"/>
    <s v="Amazon Logistics"/>
    <d v="2024-06-21T00:00:00"/>
    <x v="43"/>
    <d v="2024-07-01T00:00:00"/>
    <s v="rshankar@gmail_com"/>
    <s v="6811157034"/>
  </r>
  <r>
    <x v="654"/>
    <s v="Naveen Bajaj"/>
    <x v="0"/>
    <s v="Daikin 1.5T Inverter"/>
    <x v="30"/>
    <x v="1"/>
    <s v="Air Conditioners"/>
    <n v="48480"/>
    <n v="1"/>
    <n v="48480"/>
    <n v="0"/>
    <x v="2"/>
    <n v="48480"/>
    <n v="5"/>
    <n v="2424"/>
    <n v="0"/>
    <n v="50904"/>
    <x v="1"/>
    <s v="Same Day"/>
    <x v="0"/>
    <x v="4"/>
    <s v="Aman Bhatia"/>
    <s v="West"/>
    <s v="Gaya"/>
    <s v="Bihar"/>
    <x v="1"/>
    <s v="528760"/>
    <s v="Newuser"/>
    <n v="3"/>
    <s v="No"/>
    <s v="other"/>
    <s v="WH-09"/>
    <s v="Delhivery"/>
    <d v="2023-06-23T00:00:00"/>
    <x v="294"/>
    <d v="2023-06-30T00:00:00"/>
    <s v="nbajaj@gmail_com"/>
    <s v="7060398107"/>
  </r>
  <r>
    <x v="655"/>
    <s v="Naveen Bajaj"/>
    <x v="3"/>
    <s v="Centuary Mattress"/>
    <x v="16"/>
    <x v="4"/>
    <s v="Beds"/>
    <n v="14840"/>
    <n v="4"/>
    <n v="59360"/>
    <n v="5"/>
    <x v="458"/>
    <n v="56392"/>
    <n v="5"/>
    <n v="2819.6"/>
    <n v="0"/>
    <n v="59211.6"/>
    <x v="0"/>
    <s v="Overnight"/>
    <x v="2"/>
    <x v="3"/>
    <s v="Deepa Menon"/>
    <s v="South"/>
    <s v="Gurugram"/>
    <s v="Haryana"/>
    <x v="0"/>
    <s v="117173"/>
    <s v="None"/>
    <n v="5"/>
    <s v="No"/>
    <s v="other"/>
    <s v="WH-04"/>
    <s v="Ekart"/>
    <d v="2023-12-10T00:00:00"/>
    <x v="286"/>
    <d v="2023-12-16T00:00:00"/>
    <s v="naveen_bajaj@gmail_com"/>
    <s v="8578290524"/>
  </r>
  <r>
    <x v="656"/>
    <s v="Thiruvengadam Natarajan"/>
    <x v="3"/>
    <s v="Prestige Induction"/>
    <x v="29"/>
    <x v="1"/>
    <s v="Kitchen"/>
    <n v="3400"/>
    <n v="1"/>
    <n v="3400"/>
    <n v="0"/>
    <x v="2"/>
    <n v="3400"/>
    <n v="5"/>
    <n v="170"/>
    <n v="49"/>
    <n v="3570"/>
    <x v="4"/>
    <s v="Standard"/>
    <x v="2"/>
    <x v="1"/>
    <s v="Ankit Sharma"/>
    <s v="North"/>
    <s v="Bhubaneswar"/>
    <s v="Odisha"/>
    <x v="1"/>
    <s v="780318"/>
    <s v="None"/>
    <n v="2"/>
    <s v="No"/>
    <s v="other"/>
    <s v="WH-06"/>
    <s v="Delhivery"/>
    <d v="2023-07-14T00:00:00"/>
    <x v="322"/>
    <d v="2023-07-22T00:00:00"/>
    <s v="thiruvengadam_natarajan@outlook_com"/>
    <s v="8886659481"/>
  </r>
  <r>
    <x v="657"/>
    <s v="Lalitha Devi"/>
    <x v="0"/>
    <s v="Samsung Galaxy S24"/>
    <x v="2"/>
    <x v="0"/>
    <s v="Mobile Phones"/>
    <n v="70230"/>
    <n v="1"/>
    <n v="70230"/>
    <n v="5"/>
    <x v="459"/>
    <n v="66718.5"/>
    <n v="18"/>
    <n v="12009.33"/>
    <n v="0"/>
    <n v="78727.83"/>
    <x v="4"/>
    <s v="Express"/>
    <x v="3"/>
    <x v="4"/>
    <s v="Raj Kumar"/>
    <s v="North"/>
    <s v="Noida"/>
    <s v="Uttar Pradesh"/>
    <x v="0"/>
    <s v="728705"/>
    <s v="Newuser"/>
    <n v="4"/>
    <s v="No"/>
    <s v="other"/>
    <s v="WH-08"/>
    <s v="Dtdc"/>
    <d v="2023-07-15T00:00:00"/>
    <x v="322"/>
    <d v="2023-07-26T00:00:00"/>
    <s v="ldevi@gmail_com"/>
    <s v="8713202534"/>
  </r>
  <r>
    <x v="658"/>
    <s v="Thiruvengadam Natarajan"/>
    <x v="0"/>
    <s v="Prestige Induction"/>
    <x v="29"/>
    <x v="1"/>
    <s v="Kitchen"/>
    <n v="3240"/>
    <n v="1"/>
    <n v="3240"/>
    <n v="10"/>
    <x v="460"/>
    <n v="2916"/>
    <n v="5"/>
    <n v="145.80000000000001"/>
    <n v="79"/>
    <n v="3061.8"/>
    <x v="4"/>
    <s v="Standard"/>
    <x v="2"/>
    <x v="1"/>
    <s v="Neha Kulkarni"/>
    <s v="West"/>
    <s v="Kozhikode"/>
    <s v="Kerala"/>
    <x v="2"/>
    <s v="355298"/>
    <s v="Flat500"/>
    <n v="5"/>
    <s v="No"/>
    <s v="other"/>
    <s v="WH-06"/>
    <s v="Ekart"/>
    <d v="2023-02-23T00:00:00"/>
    <x v="191"/>
    <d v="2023-03-09T00:00:00"/>
    <s v="natarajan_thiruvengadam@outlook_com"/>
    <s v="7247254265"/>
  </r>
  <r>
    <x v="659"/>
    <s v="Anita Bhatt"/>
    <x v="1"/>
    <s v="Titan Raga"/>
    <x v="26"/>
    <x v="2"/>
    <s v="Accessories"/>
    <n v="9670"/>
    <n v="3"/>
    <n v="29010"/>
    <n v="10"/>
    <x v="461"/>
    <n v="26109"/>
    <n v="12"/>
    <n v="3133.08"/>
    <n v="0"/>
    <n v="29242.080000000002"/>
    <x v="5"/>
    <s v="Overnight"/>
    <x v="2"/>
    <x v="2"/>
    <s v="Ritu Singh"/>
    <s v="Central"/>
    <s v="Lucknow"/>
    <s v="Uttar Pradesh"/>
    <x v="0"/>
    <m/>
    <s v="None"/>
    <n v="4"/>
    <s v="No"/>
    <s v="other"/>
    <s v="WH-08"/>
    <s v="Bluedart"/>
    <d v="2024-07-06T00:00:00"/>
    <x v="384"/>
    <d v="2024-06-17T00:00:00"/>
    <s v="abhatt@outlook_com"/>
    <s v="9318995931"/>
  </r>
  <r>
    <x v="660"/>
    <s v="Dinesh Thakur"/>
    <x v="0"/>
    <s v="Wildcraft Backpack"/>
    <x v="28"/>
    <x v="2"/>
    <s v="Bags"/>
    <n v="2060"/>
    <n v="3"/>
    <n v="6180"/>
    <n v="5"/>
    <x v="462"/>
    <n v="5871"/>
    <n v="12"/>
    <n v="704.52"/>
    <n v="0"/>
    <n v="6575.52"/>
    <x v="0"/>
    <s v="Overnight"/>
    <x v="2"/>
    <x v="1"/>
    <s v="Pooja Nair"/>
    <s v="South"/>
    <s v="Mangaluru"/>
    <s v="Karnataka"/>
    <x v="2"/>
    <s v="222465"/>
    <s v="Diwali25"/>
    <n v="5"/>
    <s v="No"/>
    <s v="other"/>
    <s v="WH-07"/>
    <s v="Delhivery"/>
    <d v="2024-02-14T00:00:00"/>
    <x v="385"/>
    <d v="2024-02-23T00:00:00"/>
    <s v="dthakur@gmail_com"/>
    <s v="9595513305"/>
  </r>
  <r>
    <x v="661"/>
    <s v="Fathima Begum"/>
    <x v="3"/>
    <s v="Iphone 15 Pro"/>
    <x v="13"/>
    <x v="0"/>
    <s v="Mobile Phones"/>
    <n v="96070"/>
    <n v="2"/>
    <n v="192140"/>
    <n v="0"/>
    <x v="2"/>
    <n v="192140"/>
    <n v="18"/>
    <n v="34585.199999999997"/>
    <n v="0"/>
    <n v="226725.2"/>
    <x v="0"/>
    <s v="Economy"/>
    <x v="0"/>
    <x v="2"/>
    <s v="Aman Bhatia"/>
    <s v="West"/>
    <s v="Coimbatore"/>
    <s v="Tamil Nadu"/>
    <x v="2"/>
    <s v="719584"/>
    <s v="None"/>
    <n v="5"/>
    <s v="No"/>
    <s v="other"/>
    <s v="WH-08"/>
    <s v="Amazon Logistics"/>
    <d v="2023-02-01T00:00:00"/>
    <x v="127"/>
    <d v="2023-02-07T00:00:00"/>
    <s v="fathimab@gmail_com"/>
    <s v="8128171899"/>
  </r>
  <r>
    <x v="662"/>
    <s v="Fathima Begum"/>
    <x v="0"/>
    <s v="Jbl Flip 6"/>
    <x v="27"/>
    <x v="0"/>
    <s v="Audio"/>
    <n v="9290"/>
    <n v="10"/>
    <n v="92900"/>
    <n v="5"/>
    <x v="463"/>
    <n v="88255"/>
    <n v="18"/>
    <n v="15885.9"/>
    <n v="0"/>
    <n v="104140.9"/>
    <x v="4"/>
    <s v="Overnight"/>
    <x v="2"/>
    <x v="3"/>
    <s v="Raj Kumar"/>
    <s v="North"/>
    <s v="Udaipur"/>
    <s v="Rajasthan"/>
    <x v="0"/>
    <s v="177351"/>
    <s v="None"/>
    <n v="5"/>
    <s v="No"/>
    <s v="other"/>
    <s v="WH-10"/>
    <s v="Dtdc"/>
    <d v="2023-01-17T00:00:00"/>
    <x v="386"/>
    <d v="2023-02-01T00:00:00"/>
    <s v="fathima_begum@gmail_com"/>
    <s v="71002 18241"/>
  </r>
  <r>
    <x v="663"/>
    <s v="Naveen Bajaj"/>
    <x v="0"/>
    <s v="Jbl Flip 6"/>
    <x v="27"/>
    <x v="0"/>
    <s v="Audio"/>
    <n v="9310"/>
    <n v="2"/>
    <n v="18620"/>
    <n v="0"/>
    <x v="2"/>
    <n v="18620"/>
    <n v="18"/>
    <n v="3351.6"/>
    <n v="0"/>
    <n v="21971.599999999999"/>
    <x v="4"/>
    <s v="Economy"/>
    <x v="0"/>
    <x v="1"/>
    <s v="Suraj Verma"/>
    <s v="East"/>
    <s v="Bhopal"/>
    <s v="Madhya Pradesh"/>
    <x v="3"/>
    <s v="586007"/>
    <s v="Festive20"/>
    <n v="4"/>
    <s v="No"/>
    <s v="other"/>
    <s v="WH-08"/>
    <s v="Ekart"/>
    <d v="2023-11-11T00:00:00"/>
    <x v="157"/>
    <d v="2023-11-18T00:00:00"/>
    <s v="naveen_bajaj@gmail_com"/>
    <s v="8072239567"/>
  </r>
  <r>
    <x v="664"/>
    <s v="Nisha Jain"/>
    <x v="0"/>
    <s v="Lg 43-Inch 4K Tv"/>
    <x v="33"/>
    <x v="0"/>
    <s v="Televisions"/>
    <n v="44020"/>
    <n v="3"/>
    <n v="132060"/>
    <n v="0"/>
    <x v="2"/>
    <n v="132060"/>
    <n v="18"/>
    <n v="23770.799999999999"/>
    <n v="0"/>
    <n v="155830.79999999999"/>
    <x v="0"/>
    <s v="Standard"/>
    <x v="0"/>
    <x v="3"/>
    <s v="Ankit Sharma"/>
    <s v="North"/>
    <s v="Jaipur"/>
    <s v="Rajasthan"/>
    <x v="0"/>
    <s v="675532"/>
    <s v="Diwali25"/>
    <n v="4"/>
    <s v="No"/>
    <s v="other"/>
    <s v="WH-04"/>
    <s v="Ekart"/>
    <d v="2023-03-28T00:00:00"/>
    <x v="354"/>
    <d v="2023-04-07T00:00:00"/>
    <s v="nisha_jain@gmail_com"/>
    <s v="7341880796"/>
  </r>
  <r>
    <x v="665"/>
    <s v="Ajay Pandey"/>
    <x v="1"/>
    <s v="Maggi Noodles 12-Pack"/>
    <x v="40"/>
    <x v="5"/>
    <s v="Instant Foods"/>
    <n v="170"/>
    <n v="2"/>
    <n v="340"/>
    <n v="5"/>
    <x v="464"/>
    <n v="323"/>
    <n v="5"/>
    <n v="16.149999999999999"/>
    <n v="99"/>
    <n v="339.15"/>
    <x v="5"/>
    <s v="Standard"/>
    <x v="3"/>
    <x v="4"/>
    <s v="Ankit Sharma"/>
    <s v="North"/>
    <s v="Udaipur"/>
    <s v="Rajasthan"/>
    <x v="0"/>
    <s v="220996"/>
    <s v="Save10"/>
    <n v="4"/>
    <s v="Yes"/>
    <s v="Defective"/>
    <s v="WH-12"/>
    <s v="Delhivery"/>
    <d v="2023-07-07T00:00:00"/>
    <x v="387"/>
    <d v="2023-07-14T00:00:00"/>
    <s v="ajayp@outlook_com__"/>
    <s v="6555354407"/>
  </r>
  <r>
    <x v="666"/>
    <s v="Priya Patel"/>
    <x v="0"/>
    <s v="Hp Laserjet 1020"/>
    <x v="0"/>
    <x v="0"/>
    <s v="Printers"/>
    <n v="12090"/>
    <n v="5"/>
    <n v="60450"/>
    <n v="0"/>
    <x v="2"/>
    <n v="60450"/>
    <n v="18"/>
    <n v="10881"/>
    <n v="0"/>
    <n v="71331"/>
    <x v="1"/>
    <s v="Economy"/>
    <x v="0"/>
    <x v="0"/>
    <s v="Ritu Singh"/>
    <s v="Central"/>
    <s v="Pune"/>
    <s v="Maharashtra"/>
    <x v="4"/>
    <s v="595747"/>
    <s v="Save10"/>
    <n v="5"/>
    <s v="No"/>
    <s v="other"/>
    <s v="WH-12"/>
    <s v="Delhivery"/>
    <d v="2023-11-14T00:00:00"/>
    <x v="387"/>
    <d v="2023-11-21T00:00:00"/>
    <s v="priya_patel@yahoo_co_in"/>
    <s v=" 6864426244"/>
  </r>
  <r>
    <x v="667"/>
    <s v="Sunita Verma"/>
    <x v="0"/>
    <s v="Adidas Ultraboost 22"/>
    <x v="18"/>
    <x v="2"/>
    <s v="Footwear"/>
    <n v="14150"/>
    <n v="5"/>
    <n v="70750"/>
    <n v="10"/>
    <x v="465"/>
    <n v="63675"/>
    <n v="12"/>
    <n v="7641"/>
    <n v="0"/>
    <n v="71316"/>
    <x v="3"/>
    <s v="Overnight"/>
    <x v="0"/>
    <x v="1"/>
    <s v="Priya Sinha"/>
    <s v="West"/>
    <s v="Udaipur"/>
    <s v="Rajasthan"/>
    <x v="0"/>
    <s v="484629"/>
    <s v="Flat500"/>
    <n v="4"/>
    <s v="No"/>
    <s v="other"/>
    <s v="WH-06"/>
    <s v="Delhivery"/>
    <d v="2023-11-12T00:00:00"/>
    <x v="140"/>
    <d v="2023-11-27T00:00:00"/>
    <s v="sunita_verma@gmail_com"/>
    <s v="9992469247"/>
  </r>
  <r>
    <x v="668"/>
    <s v="Vijay Pillai"/>
    <x v="0"/>
    <s v="Puma Softride"/>
    <x v="31"/>
    <x v="2"/>
    <s v="Footwear"/>
    <n v="4760"/>
    <n v="2"/>
    <n v="9520"/>
    <n v="15"/>
    <x v="466"/>
    <n v="8092"/>
    <n v="12"/>
    <n v="971.04"/>
    <n v="0"/>
    <n v="9063.0400000000009"/>
    <x v="5"/>
    <s v="Economy"/>
    <x v="0"/>
    <x v="3"/>
    <s v="Anjali Mehta"/>
    <s v="South"/>
    <s v="Nashik"/>
    <s v="Maharashtra"/>
    <x v="4"/>
    <s v="788145"/>
    <s v="Save10"/>
    <n v="5"/>
    <s v="No"/>
    <s v="other"/>
    <s v="WH-08"/>
    <s v="Ekart"/>
    <d v="2023-09-09T00:00:00"/>
    <x v="313"/>
    <d v="2023-09-17T00:00:00"/>
    <s v="vijayp@gmail_com"/>
    <s v="65411 19020"/>
  </r>
  <r>
    <x v="669"/>
    <s v="Sunil Jadhav"/>
    <x v="1"/>
    <s v="Sony Wh-1000Xm5"/>
    <x v="1"/>
    <x v="0"/>
    <s v="Audio"/>
    <n v="28110"/>
    <n v="6"/>
    <n v="168660"/>
    <n v="10"/>
    <x v="467"/>
    <n v="151794"/>
    <n v="18"/>
    <n v="27322.92"/>
    <n v="0"/>
    <n v="179116.91999999998"/>
    <x v="6"/>
    <s v="Overnight"/>
    <x v="1"/>
    <x v="0"/>
    <s v="Neha Kulkarni"/>
    <s v="West"/>
    <s v="Asansol"/>
    <s v="West Bengal"/>
    <x v="1"/>
    <s v="646007"/>
    <s v="Newuser"/>
    <n v="2"/>
    <s v="No"/>
    <s v="other"/>
    <s v="WH-04"/>
    <s v="Amazon Logistics"/>
    <d v="2023-05-20T00:00:00"/>
    <x v="329"/>
    <d v="2023-05-31T00:00:00"/>
    <s v="sjadhav@gmail_com"/>
    <s v="9826829508"/>
  </r>
  <r>
    <x v="670"/>
    <s v="Saurabh Kulkarni"/>
    <x v="0"/>
    <s v="Oneplus 12"/>
    <x v="32"/>
    <x v="0"/>
    <s v="Mobile Phones"/>
    <n v="68000"/>
    <n v="2"/>
    <n v="136000"/>
    <n v="15"/>
    <x v="468"/>
    <n v="115600"/>
    <n v="18"/>
    <n v="20808"/>
    <n v="0"/>
    <n v="136408"/>
    <x v="3"/>
    <s v="Express"/>
    <x v="4"/>
    <x v="3"/>
    <s v="Aman Bhatia"/>
    <s v="West"/>
    <s v="Thrissur"/>
    <s v="Kerala"/>
    <x v="2"/>
    <s v="699795"/>
    <s v="None"/>
    <n v="4"/>
    <s v="Yes"/>
    <s v="other"/>
    <s v="WH-11"/>
    <s v="Ekart"/>
    <d v="2024-06-04T00:00:00"/>
    <x v="388"/>
    <d v="2024-06-14T00:00:00"/>
    <s v="skulkarni@gmail_com"/>
    <s v="8046400606"/>
  </r>
  <r>
    <x v="97"/>
    <s v="Farhan Khan"/>
    <x v="3"/>
    <s v="Macbook Air M2"/>
    <x v="13"/>
    <x v="0"/>
    <s v="Laptops"/>
    <n v="120600"/>
    <n v="2"/>
    <n v="241200"/>
    <n v="5"/>
    <x v="469"/>
    <n v="229140"/>
    <n v="18"/>
    <n v="41245.199999999997"/>
    <n v="0"/>
    <n v="270385.2"/>
    <x v="5"/>
    <s v="Standard"/>
    <x v="0"/>
    <x v="1"/>
    <s v="Vinay Joshi"/>
    <s v="Central"/>
    <s v="Pune"/>
    <s v="Maharashtra"/>
    <x v="4"/>
    <s v="643218"/>
    <s v="None"/>
    <n v="4"/>
    <s v="No"/>
    <s v="other"/>
    <s v="WH-05"/>
    <s v="Amazon Logistics"/>
    <d v="2023-09-18T00:00:00"/>
    <x v="152"/>
    <d v="2023-09-28T00:00:00"/>
    <s v="fkhan@gmail_com"/>
    <s v="9926251743"/>
  </r>
  <r>
    <x v="671"/>
    <s v="Bhavani Shankar"/>
    <x v="0"/>
    <s v="Godrej 236L Fridge"/>
    <x v="14"/>
    <x v="1"/>
    <s v="Refrigerators"/>
    <n v="23440"/>
    <n v="2"/>
    <n v="46880"/>
    <n v="10"/>
    <x v="470"/>
    <n v="42192"/>
    <n v="5"/>
    <n v="2109.6"/>
    <n v="0"/>
    <n v="44301.599999999999"/>
    <x v="3"/>
    <s v="Same Day"/>
    <x v="1"/>
    <x v="0"/>
    <s v="Pooja Nair"/>
    <s v="South"/>
    <s v="Agra"/>
    <s v="Uttar Pradesh"/>
    <x v="0"/>
    <s v="400218"/>
    <s v="Diwali25"/>
    <n v="4"/>
    <s v="No"/>
    <s v="other"/>
    <s v="WH-05"/>
    <s v="Ekart"/>
    <d v="2023-09-06T00:00:00"/>
    <x v="13"/>
    <d v="2023-09-13T00:00:00"/>
    <s v="bhavanis@yahoo_com"/>
    <s v="9427183224"/>
  </r>
  <r>
    <x v="672"/>
    <s v="Sunil Jadhav"/>
    <x v="0"/>
    <s v="Lenovo Thinkpad E14"/>
    <x v="4"/>
    <x v="0"/>
    <s v="Laptops"/>
    <n v="53510"/>
    <n v="1"/>
    <n v="53510"/>
    <n v="0"/>
    <x v="2"/>
    <n v="53510"/>
    <n v="18"/>
    <n v="9631.7999999999993"/>
    <n v="0"/>
    <n v="63141.8"/>
    <x v="4"/>
    <s v="Express"/>
    <x v="0"/>
    <x v="0"/>
    <s v="Priya Sinha"/>
    <s v="West"/>
    <s v="Gurugram"/>
    <s v="Haryana"/>
    <x v="0"/>
    <s v="716568"/>
    <s v="None"/>
    <n v="4"/>
    <s v="No"/>
    <s v="other"/>
    <s v="WH-06"/>
    <s v="Delhivery"/>
    <d v="2024-01-22T00:00:00"/>
    <x v="389"/>
    <d v="2024-02-03T00:00:00"/>
    <s v="jadhav_sunil@gmail_com"/>
    <s v="7767742393"/>
  </r>
  <r>
    <x v="376"/>
    <s v="Rahul Sharma"/>
    <x v="0"/>
    <s v="Levi'S 511 Jeans"/>
    <x v="10"/>
    <x v="2"/>
    <s v="Clothing"/>
    <n v="3070"/>
    <n v="3"/>
    <n v="9210"/>
    <n v="25"/>
    <x v="471"/>
    <n v="6907.5"/>
    <n v="12"/>
    <n v="828.9"/>
    <n v="0"/>
    <n v="7736.4"/>
    <x v="6"/>
    <s v="Economy"/>
    <x v="0"/>
    <x v="3"/>
    <s v="Ritu Singh"/>
    <s v="Central"/>
    <s v="Kochi"/>
    <s v="Kerala"/>
    <x v="2"/>
    <s v="199795"/>
    <s v="Flat500"/>
    <n v="5"/>
    <s v="No"/>
    <s v="other"/>
    <s v="WH-09"/>
    <s v="Bluedart"/>
    <d v="2023-06-19T00:00:00"/>
    <x v="61"/>
    <d v="2023-06-26T00:00:00"/>
    <s v="rahuls@gmail_com"/>
    <s v="9831873095"/>
  </r>
  <r>
    <x v="673"/>
    <s v="Sanjay Mishra"/>
    <x v="3"/>
    <s v="Kurl-On King Bed"/>
    <x v="15"/>
    <x v="4"/>
    <s v="Beds"/>
    <n v="56900"/>
    <n v="2"/>
    <n v="113800"/>
    <n v="0"/>
    <x v="2"/>
    <n v="113800"/>
    <n v="5"/>
    <n v="5690"/>
    <n v="0"/>
    <n v="119490"/>
    <x v="0"/>
    <s v="Express"/>
    <x v="0"/>
    <x v="1"/>
    <s v="Karim Sheikh"/>
    <s v="North"/>
    <s v="Vadodara"/>
    <s v="Gujarat"/>
    <x v="4"/>
    <s v="687554"/>
    <s v="None"/>
    <n v="4"/>
    <s v="No"/>
    <s v="other"/>
    <s v="WH-01"/>
    <s v="Ekart"/>
    <d v="2024-01-18T00:00:00"/>
    <x v="350"/>
    <d v="2024-01-25T00:00:00"/>
    <s v="smishra@gmail_com"/>
    <s v="7959602331"/>
  </r>
  <r>
    <x v="674"/>
    <s v="Arun Das"/>
    <x v="1"/>
    <s v="Adidas Ultraboost 22"/>
    <x v="18"/>
    <x v="2"/>
    <s v="Footwear"/>
    <n v="12930"/>
    <n v="1"/>
    <n v="12930"/>
    <n v="5"/>
    <x v="472"/>
    <n v="12283.5"/>
    <n v="12"/>
    <n v="1474.02"/>
    <n v="0"/>
    <n v="13757.52"/>
    <x v="5"/>
    <s v="Economy"/>
    <x v="1"/>
    <x v="3"/>
    <s v="Anjali Mehta"/>
    <s v="South"/>
    <s v="Coimbatore"/>
    <s v="Tamil Nadu"/>
    <x v="2"/>
    <s v="346942"/>
    <s v="None"/>
    <n v="4"/>
    <s v="No"/>
    <s v="other"/>
    <s v="WH-05"/>
    <s v="Ekart"/>
    <d v="2023-06-23T00:00:00"/>
    <x v="390"/>
    <d v="2023-07-06T00:00:00"/>
    <s v="adas@rediffmail_com"/>
    <s v="6450497236"/>
  </r>
  <r>
    <x v="675"/>
    <s v="Ramachandran Pillai"/>
    <x v="0"/>
    <s v="Logitech Mx Master 3"/>
    <x v="41"/>
    <x v="0"/>
    <s v="Accessories"/>
    <n v="8700"/>
    <n v="1"/>
    <n v="8700"/>
    <n v="20"/>
    <x v="473"/>
    <n v="6960"/>
    <n v="18"/>
    <n v="1252.8"/>
    <n v="0"/>
    <n v="8212.7999999999993"/>
    <x v="3"/>
    <s v="Standard"/>
    <x v="3"/>
    <x v="2"/>
    <s v="Priya Sinha"/>
    <s v="West"/>
    <s v="Warangal"/>
    <s v="Telangana"/>
    <x v="2"/>
    <s v="164930"/>
    <s v="None"/>
    <n v="3"/>
    <s v="Yes"/>
    <s v="Changed Mind"/>
    <s v="WH-05"/>
    <s v="Dtdc"/>
    <d v="2023-04-19T00:00:00"/>
    <x v="225"/>
    <d v="2023-05-01T00:00:00"/>
    <s v="ramachandran_pillai@gmail_com"/>
    <s v="6857491106"/>
  </r>
  <r>
    <x v="676"/>
    <s v="Harish Malhotra"/>
    <x v="0"/>
    <s v="Godrej 236L Fridge"/>
    <x v="14"/>
    <x v="1"/>
    <s v="Refrigerators"/>
    <n v="21780"/>
    <n v="15"/>
    <n v="326700"/>
    <n v="0"/>
    <x v="2"/>
    <n v="326700"/>
    <n v="5"/>
    <n v="16335"/>
    <n v="0"/>
    <n v="343035"/>
    <x v="3"/>
    <s v="Standard"/>
    <x v="0"/>
    <x v="2"/>
    <s v="Pooja Nair"/>
    <s v="South"/>
    <s v="Surat"/>
    <s v="Gujarat"/>
    <x v="4"/>
    <s v="475876"/>
    <s v="None"/>
    <n v="4"/>
    <s v="No"/>
    <s v="other"/>
    <s v="WH-02"/>
    <s v="Bluedart"/>
    <d v="2024-06-18T00:00:00"/>
    <x v="285"/>
    <d v="2024-06-26T00:00:00"/>
    <s v="malhotra_harish@gmail_com"/>
    <s v="9920327357"/>
  </r>
  <r>
    <x v="677"/>
    <s v="Pallavi Gaikwad"/>
    <x v="0"/>
    <s v="Daikin 1.5T Inverter"/>
    <x v="30"/>
    <x v="1"/>
    <s v="Air Conditioners"/>
    <n v="43890"/>
    <n v="5"/>
    <n v="219450"/>
    <n v="10"/>
    <x v="474"/>
    <n v="197505"/>
    <n v="5"/>
    <n v="9875.25"/>
    <n v="0"/>
    <n v="207380.25"/>
    <x v="0"/>
    <s v="Standard"/>
    <x v="0"/>
    <x v="4"/>
    <s v="Anjali Mehta"/>
    <s v="South"/>
    <s v="Pune"/>
    <s v="Maharashtra"/>
    <x v="4"/>
    <s v="621916"/>
    <s v="Newuser"/>
    <n v="4"/>
    <s v="No"/>
    <s v="other"/>
    <s v="WH-05"/>
    <s v="Delhivery"/>
    <d v="2023-01-01T00:00:00"/>
    <x v="109"/>
    <d v="2023-01-15T00:00:00"/>
    <s v="gaikwad_pallavi@gmail_com"/>
    <s v="68499 77070"/>
  </r>
  <r>
    <x v="678"/>
    <s v="Yeswanth Reddy"/>
    <x v="1"/>
    <s v="Durian Sofa 3-Seat"/>
    <x v="24"/>
    <x v="4"/>
    <s v="Sofas"/>
    <n v="47930"/>
    <n v="6"/>
    <n v="287580"/>
    <n v="20"/>
    <x v="475"/>
    <n v="230064"/>
    <n v="5"/>
    <n v="11503.2"/>
    <n v="0"/>
    <n v="241567.2"/>
    <x v="4"/>
    <s v="Same Day"/>
    <x v="1"/>
    <x v="1"/>
    <s v="Suraj Verma"/>
    <s v="East"/>
    <s v="Hyderabad"/>
    <s v="Telangana"/>
    <x v="2"/>
    <s v="723660"/>
    <s v="Diwali25"/>
    <n v="1"/>
    <s v="No"/>
    <s v="other"/>
    <s v="WH-09"/>
    <s v="Amazon Logistics"/>
    <d v="2024-05-30T00:00:00"/>
    <x v="388"/>
    <d v="2024-06-14T00:00:00"/>
    <s v="reddy_yeswanth@yahoo_co_in"/>
    <s v="9142785314"/>
  </r>
  <r>
    <x v="679"/>
    <s v="Lalita Shah"/>
    <x v="0"/>
    <s v="Lg 8Kg Front Load"/>
    <x v="33"/>
    <x v="1"/>
    <s v="Washing Machines"/>
    <n v="50770"/>
    <n v="1"/>
    <n v="50770"/>
    <n v="0"/>
    <x v="2"/>
    <n v="50770"/>
    <n v="5"/>
    <n v="2538.5"/>
    <n v="0"/>
    <n v="53308.5"/>
    <x v="3"/>
    <s v="Same Day"/>
    <x v="1"/>
    <x v="0"/>
    <s v="Ritu Singh"/>
    <s v="Central"/>
    <s v="Bhubaneswar"/>
    <s v="Odisha"/>
    <x v="1"/>
    <s v="500535"/>
    <s v="Newuser"/>
    <n v="5"/>
    <s v="No"/>
    <s v="other"/>
    <s v="WH-12"/>
    <s v="Bluedart"/>
    <d v="2023-01-25T00:00:00"/>
    <x v="349"/>
    <d v="2023-02-04T00:00:00"/>
    <s v="lshah@yahoo_com"/>
    <s v="9660456893"/>
  </r>
  <r>
    <x v="680"/>
    <s v="Vikram Mehta"/>
    <x v="0"/>
    <s v="Oneplus 12"/>
    <x v="32"/>
    <x v="0"/>
    <s v="Mobile Phones"/>
    <n v="68640"/>
    <n v="8"/>
    <n v="549120"/>
    <n v="0"/>
    <x v="2"/>
    <n v="549120"/>
    <n v="18"/>
    <n v="98841.600000000006"/>
    <n v="0"/>
    <n v="647961.59999999998"/>
    <x v="3"/>
    <s v="Same Day"/>
    <x v="0"/>
    <x v="4"/>
    <s v="Arjun Das"/>
    <s v="East"/>
    <s v="Asansol"/>
    <s v="West Bengal"/>
    <x v="1"/>
    <s v="612219"/>
    <s v="Festive20"/>
    <n v="4"/>
    <s v="No"/>
    <s v="other"/>
    <s v="WH-07"/>
    <s v="Amazon Logistics"/>
    <d v="2023-05-09T00:00:00"/>
    <x v="391"/>
    <d v="2023-05-20T00:00:00"/>
    <s v="mehta_vikram@gmail_com"/>
    <s v="7754422061"/>
  </r>
  <r>
    <x v="681"/>
    <s v="Saraswathi Rao"/>
    <x v="0"/>
    <s v="Sony Wh-1000Xm5"/>
    <x v="1"/>
    <x v="0"/>
    <s v="Audio"/>
    <n v="28130"/>
    <n v="1"/>
    <n v="28130"/>
    <n v="20"/>
    <x v="476"/>
    <n v="22504"/>
    <n v="18"/>
    <n v="4050.72"/>
    <n v="0"/>
    <n v="26554.720000000001"/>
    <x v="2"/>
    <s v="Economy"/>
    <x v="0"/>
    <x v="3"/>
    <s v="Vinay Joshi"/>
    <s v="Central"/>
    <s v="Bhubaneswar"/>
    <s v="Odisha"/>
    <x v="1"/>
    <s v="476056"/>
    <s v="Newuser"/>
    <n v="4"/>
    <s v="No"/>
    <s v="other"/>
    <s v="WH-07"/>
    <s v="Amazon Logistics"/>
    <d v="2023-02-09T00:00:00"/>
    <x v="194"/>
    <d v="2023-06-09T00:00:00"/>
    <s v="saraswathir@gmail_com"/>
    <s v="6514369745"/>
  </r>
  <r>
    <x v="682"/>
    <s v="Ramesh Bose"/>
    <x v="3"/>
    <s v="Fastrack Watch"/>
    <x v="6"/>
    <x v="2"/>
    <s v="Accessories"/>
    <n v="2480"/>
    <n v="1"/>
    <n v="2480"/>
    <n v="10"/>
    <x v="187"/>
    <n v="2232"/>
    <n v="12"/>
    <n v="267.83999999999997"/>
    <n v="79"/>
    <n v="2499.84"/>
    <x v="1"/>
    <s v="Economy"/>
    <x v="0"/>
    <x v="1"/>
    <s v="Ritu Singh"/>
    <s v="Central"/>
    <s v="Rajkot"/>
    <s v="Gujarat"/>
    <x v="4"/>
    <s v="114116"/>
    <s v="Festive20"/>
    <n v="4"/>
    <s v="No"/>
    <s v="other"/>
    <s v="WH-08"/>
    <s v="Ekart"/>
    <d v="2023-12-30T00:00:00"/>
    <x v="392"/>
    <d v="2024-01-15T00:00:00"/>
    <s v="rbose@gmail_com"/>
    <s v="8476293684"/>
  </r>
  <r>
    <x v="683"/>
    <s v="Saurabh Kulkarni"/>
    <x v="0"/>
    <s v="Camlin Art Kit"/>
    <x v="34"/>
    <x v="3"/>
    <s v="Art Supplies"/>
    <n v="590"/>
    <n v="9"/>
    <n v="5310"/>
    <n v="0"/>
    <x v="2"/>
    <n v="5310"/>
    <n v="5"/>
    <n v="265.5"/>
    <n v="0"/>
    <n v="5575.5"/>
    <x v="4"/>
    <s v="Same Day"/>
    <x v="0"/>
    <x v="1"/>
    <s v="Pooja Nair"/>
    <s v="South"/>
    <s v="Indore"/>
    <s v="Madhya Pradesh"/>
    <x v="3"/>
    <s v="784450"/>
    <s v="None"/>
    <n v="4"/>
    <s v="No"/>
    <s v="other"/>
    <s v="WH-06"/>
    <s v="Amazon Logistics"/>
    <d v="2023-05-11T00:00:00"/>
    <x v="393"/>
    <d v="2023-05-20T00:00:00"/>
    <s v="skulkarni@gmail_com"/>
    <s v="8201656633"/>
  </r>
  <r>
    <x v="684"/>
    <s v="Kavita Reddy"/>
    <x v="0"/>
    <s v="Sony Bravia 55-Inch"/>
    <x v="1"/>
    <x v="0"/>
    <s v="Televisions"/>
    <n v="72860"/>
    <n v="1"/>
    <n v="72860"/>
    <n v="25"/>
    <x v="477"/>
    <n v="54645"/>
    <n v="18"/>
    <n v="9836.1"/>
    <n v="0"/>
    <n v="64481.1"/>
    <x v="1"/>
    <s v="Express"/>
    <x v="1"/>
    <x v="4"/>
    <s v="Deepa Menon"/>
    <s v="South"/>
    <s v="Mangaluru"/>
    <s v="Karnataka"/>
    <x v="2"/>
    <s v="527163"/>
    <s v="None"/>
    <n v="4"/>
    <s v="No"/>
    <s v="other"/>
    <s v="WH-03"/>
    <s v="Bluedart"/>
    <d v="2023-11-01T00:00:00"/>
    <x v="249"/>
    <d v="2023-11-10T00:00:00"/>
    <s v="kreddy@gmail_com"/>
    <s v="8310907718"/>
  </r>
  <r>
    <x v="685"/>
    <s v="Smita Patil"/>
    <x v="3"/>
    <s v="Lg 8Kg Front Load"/>
    <x v="33"/>
    <x v="1"/>
    <s v="Washing Machines"/>
    <n v="47150"/>
    <n v="1"/>
    <n v="47150"/>
    <n v="5"/>
    <x v="478"/>
    <n v="44792.5"/>
    <n v="5"/>
    <n v="2239.62"/>
    <n v="0"/>
    <n v="47032.12"/>
    <x v="1"/>
    <s v="Express"/>
    <x v="0"/>
    <x v="0"/>
    <s v="Deepa Menon"/>
    <s v="South"/>
    <s v="Hubballi"/>
    <s v="Karnataka"/>
    <x v="2"/>
    <s v="702416"/>
    <s v="Flat500"/>
    <n v="5"/>
    <s v="No"/>
    <s v="other"/>
    <s v="WH-03"/>
    <s v="Dtdc"/>
    <d v="2023-04-20T00:00:00"/>
    <x v="225"/>
    <d v="2023-02-05T00:00:00"/>
    <s v="smitap@gmail_com"/>
    <s v="8013433906"/>
  </r>
  <r>
    <x v="686"/>
    <s v="Eswaran Murugan"/>
    <x v="3"/>
    <s v="Macbook Air M2"/>
    <x v="13"/>
    <x v="0"/>
    <s v="Laptops"/>
    <n v="111500"/>
    <n v="5"/>
    <n v="557500"/>
    <n v="10"/>
    <x v="479"/>
    <n v="501750"/>
    <n v="18"/>
    <n v="90315"/>
    <n v="0"/>
    <n v="592065"/>
    <x v="3"/>
    <s v="Express"/>
    <x v="0"/>
    <x v="1"/>
    <s v="Karim Sheikh"/>
    <s v="North"/>
    <s v="Agra"/>
    <s v="Uttar Pradesh"/>
    <x v="0"/>
    <s v="169113"/>
    <s v="Festive20"/>
    <n v="3"/>
    <s v="No"/>
    <s v="other"/>
    <s v="WH-03"/>
    <s v="Delhivery"/>
    <d v="2023-12-21T00:00:00"/>
    <x v="368"/>
    <d v="2023-12-31T00:00:00"/>
    <s v="emurugan@rediffmail_com"/>
    <s v="7044364364"/>
  </r>
  <r>
    <x v="687"/>
    <s v="Uma Shankar"/>
    <x v="0"/>
    <s v="Van Heusen Shirt"/>
    <x v="42"/>
    <x v="2"/>
    <s v="Clothing"/>
    <n v="1700"/>
    <n v="3"/>
    <n v="5100"/>
    <n v="20"/>
    <x v="480"/>
    <n v="4080"/>
    <n v="12"/>
    <n v="489.6"/>
    <n v="99"/>
    <n v="4569.6000000000004"/>
    <x v="2"/>
    <s v="Standard"/>
    <x v="1"/>
    <x v="0"/>
    <s v="Arjun Das"/>
    <s v="East"/>
    <s v="Udaipur"/>
    <s v="Rajasthan"/>
    <x v="0"/>
    <s v="506930"/>
    <s v="Flat500"/>
    <n v="4"/>
    <s v="No"/>
    <s v="other"/>
    <s v="WH-11"/>
    <s v="Bluedart"/>
    <d v="2023-06-10T00:00:00"/>
    <x v="368"/>
    <d v="2023-06-24T00:00:00"/>
    <s v="uma_shankar@gmail_com"/>
    <s v="6586775465"/>
  </r>
  <r>
    <x v="688"/>
    <s v="Arun Das"/>
    <x v="3"/>
    <s v="Samsung 253L Fridge"/>
    <x v="2"/>
    <x v="1"/>
    <s v="Refrigerators"/>
    <n v="26980"/>
    <n v="2"/>
    <n v="53960"/>
    <n v="5"/>
    <x v="481"/>
    <n v="51262"/>
    <n v="5"/>
    <n v="2563.1"/>
    <n v="0"/>
    <n v="53825.1"/>
    <x v="2"/>
    <s v="Overnight"/>
    <x v="5"/>
    <x v="3"/>
    <s v="Aman Bhatia"/>
    <s v="West"/>
    <s v="Mangaluru"/>
    <s v="Karnataka"/>
    <x v="2"/>
    <s v="464956"/>
    <s v="Festive20"/>
    <n v="5"/>
    <s v="No"/>
    <s v="other"/>
    <s v="WH-10"/>
    <s v="Dtdc"/>
    <d v="2024-02-25T00:00:00"/>
    <x v="337"/>
    <d v="2024-03-07T00:00:00"/>
    <s v="das_arun@rediffmail_com"/>
    <s v="8656003375"/>
  </r>
  <r>
    <x v="689"/>
    <s v="Kiran Rao"/>
    <x v="3"/>
    <s v="Canon Eos 200D"/>
    <x v="7"/>
    <x v="0"/>
    <s v="Cameras"/>
    <n v="29347.846790890268"/>
    <n v="1"/>
    <n v="29347.846790890268"/>
    <n v="0"/>
    <x v="2"/>
    <n v="51410"/>
    <n v="18"/>
    <n v="9253.7999999999993"/>
    <n v="0"/>
    <n v="60663.8"/>
    <x v="4"/>
    <s v="Economy"/>
    <x v="0"/>
    <x v="1"/>
    <s v="Sneha Reddy"/>
    <s v="South"/>
    <s v="Thrissur"/>
    <s v="Kerala"/>
    <x v="2"/>
    <s v="674656"/>
    <s v="None"/>
    <n v="4"/>
    <s v="No"/>
    <s v="other"/>
    <s v="WH-11"/>
    <s v="India Post"/>
    <d v="2024-02-28T00:00:00"/>
    <x v="372"/>
    <d v="2024-03-06T00:00:00"/>
    <s v="kiranr@gmail_com"/>
    <s v="7439229501"/>
  </r>
  <r>
    <x v="690"/>
    <s v="Hina Shah"/>
    <x v="0"/>
    <s v="Adidas Ultraboost 22"/>
    <x v="18"/>
    <x v="2"/>
    <s v="Footwear"/>
    <n v="13770"/>
    <n v="2"/>
    <n v="27540"/>
    <n v="25"/>
    <x v="482"/>
    <n v="20655"/>
    <n v="12"/>
    <n v="2478.6"/>
    <n v="0"/>
    <n v="23133.599999999999"/>
    <x v="3"/>
    <s v="Overnight"/>
    <x v="0"/>
    <x v="4"/>
    <s v="Ankit Sharma"/>
    <s v="North"/>
    <s v="Surat"/>
    <s v="Gujarat"/>
    <x v="4"/>
    <s v="428946"/>
    <s v="None"/>
    <n v="5"/>
    <s v="No"/>
    <s v="other"/>
    <s v="WH-07"/>
    <s v="Amazon Logistics"/>
    <d v="2023-01-25T00:00:00"/>
    <x v="349"/>
    <d v="2023-02-04T00:00:00"/>
    <s v="shah_hina@yahoo_com"/>
    <s v="6085592562"/>
  </r>
  <r>
    <x v="691"/>
    <s v="Pooja Agarwal"/>
    <x v="0"/>
    <s v="Puma Softride"/>
    <x v="31"/>
    <x v="2"/>
    <s v="Footwear"/>
    <n v="4790"/>
    <n v="3"/>
    <n v="14370"/>
    <n v="10"/>
    <x v="483"/>
    <n v="17244"/>
    <n v="12"/>
    <n v="2069.2800000000002"/>
    <n v="0"/>
    <n v="19313.28"/>
    <x v="5"/>
    <s v="Economy"/>
    <x v="3"/>
    <x v="2"/>
    <s v="Aman Bhatia"/>
    <s v="West"/>
    <s v="Nashik"/>
    <s v="Maharashtra"/>
    <x v="4"/>
    <s v="557998"/>
    <s v="Festive20"/>
    <n v="4"/>
    <s v="No"/>
    <s v="other"/>
    <s v="WH-06"/>
    <s v="Bluedart"/>
    <d v="2023-10-04T00:00:00"/>
    <x v="394"/>
    <d v="2023-10-12T00:00:00"/>
    <s v="pooja_agarwal@gmail_com"/>
    <s v="8628868879"/>
  </r>
  <r>
    <x v="692"/>
    <s v="Deepak Nair"/>
    <x v="0"/>
    <s v="Titan Raga"/>
    <x v="26"/>
    <x v="2"/>
    <s v="Accessories"/>
    <n v="8450"/>
    <n v="3"/>
    <n v="25350"/>
    <n v="10"/>
    <x v="484"/>
    <n v="22815"/>
    <n v="12"/>
    <n v="2737.8"/>
    <n v="0"/>
    <n v="25552.799999999999"/>
    <x v="5"/>
    <s v="Economy"/>
    <x v="0"/>
    <x v="0"/>
    <s v="Suraj Verma"/>
    <s v="East"/>
    <s v="Durgapur"/>
    <s v="West Bengal"/>
    <x v="1"/>
    <s v="337385"/>
    <s v="Festive20"/>
    <n v="5"/>
    <s v="No"/>
    <s v="other"/>
    <s v="WH-05"/>
    <s v="Ekart"/>
    <d v="2023-08-29T00:00:00"/>
    <x v="136"/>
    <d v="2023-09-08T00:00:00"/>
    <s v="deepakn@yahoo_com"/>
    <s v="9801220163"/>
  </r>
  <r>
    <x v="693"/>
    <s v="Jayesh Vora"/>
    <x v="3"/>
    <s v="Puma Softride"/>
    <x v="31"/>
    <x v="2"/>
    <s v="Footwear"/>
    <n v="5360"/>
    <n v="7"/>
    <n v="37520"/>
    <n v="0"/>
    <x v="2"/>
    <n v="37520"/>
    <n v="12"/>
    <n v="4502.3999999999996"/>
    <n v="0"/>
    <n v="42022.400000000001"/>
    <x v="5"/>
    <s v="Same Day"/>
    <x v="2"/>
    <x v="2"/>
    <s v="Anjali Mehta"/>
    <s v="South"/>
    <s v="Kanpur"/>
    <s v="Uttar Pradesh"/>
    <x v="0"/>
    <s v="121320"/>
    <s v="None"/>
    <n v="4"/>
    <s v="No"/>
    <s v="other"/>
    <s v="WH-03"/>
    <s v="Dtdc"/>
    <d v="2023-04-26T00:00:00"/>
    <x v="297"/>
    <d v="2023-05-05T00:00:00"/>
    <s v="jayesh_vora@rediffmail_com"/>
    <s v="6532448343"/>
  </r>
  <r>
    <x v="694"/>
    <s v="Deepak  Nair"/>
    <x v="0"/>
    <s v="Oneplus 12"/>
    <x v="32"/>
    <x v="0"/>
    <s v="Mobile Phones"/>
    <n v="66320"/>
    <n v="1"/>
    <n v="66320"/>
    <n v="10"/>
    <x v="485"/>
    <n v="59688"/>
    <n v="18"/>
    <n v="10743.84"/>
    <n v="0"/>
    <n v="70431.839999999997"/>
    <x v="4"/>
    <s v="Express"/>
    <x v="0"/>
    <x v="4"/>
    <s v="Suraj Verma"/>
    <s v="East"/>
    <s v="Gaya"/>
    <s v="Bihar"/>
    <x v="1"/>
    <s v="137864"/>
    <s v="Festive20"/>
    <n v="3"/>
    <s v="No"/>
    <s v="other"/>
    <s v="WH-02"/>
    <s v="Bluedart"/>
    <d v="2024-06-16T00:00:00"/>
    <x v="37"/>
    <d v="2024-06-27T00:00:00"/>
    <s v="dnair@yahoo_com"/>
    <s v="9325276252"/>
  </r>
  <r>
    <x v="695"/>
    <s v="Gopal Menon"/>
    <x v="3"/>
    <s v="Bajaj Mixer 750W"/>
    <x v="5"/>
    <x v="1"/>
    <s v="Kitchen"/>
    <n v="2750"/>
    <n v="1"/>
    <n v="2750"/>
    <n v="0"/>
    <x v="2"/>
    <n v="2750"/>
    <n v="5"/>
    <n v="137.5"/>
    <n v="79"/>
    <n v="2887.5"/>
    <x v="0"/>
    <s v="Standard"/>
    <x v="0"/>
    <x v="4"/>
    <s v="Priya Sinha"/>
    <s v="West"/>
    <s v="Indore"/>
    <s v="Madhya Pradesh"/>
    <x v="3"/>
    <s v="567352"/>
    <s v="Summer15"/>
    <n v="4"/>
    <s v="No"/>
    <s v="other"/>
    <s v="WH-08"/>
    <s v="Delhivery"/>
    <d v="2023-01-08T00:00:00"/>
    <x v="195"/>
    <d v="2023-01-17T00:00:00"/>
    <s v="gopal_menon@gmail_com"/>
    <s v="9531984105"/>
  </r>
  <r>
    <x v="646"/>
    <s v="Venugopal Krishnan"/>
    <x v="0"/>
    <s v="Canon Eos 200D"/>
    <x v="7"/>
    <x v="0"/>
    <s v="Cameras"/>
    <n v="50670"/>
    <n v="6"/>
    <n v="304020"/>
    <n v="10"/>
    <x v="486"/>
    <n v="273618"/>
    <n v="18"/>
    <n v="49251.24"/>
    <n v="0"/>
    <n v="322869.24"/>
    <x v="1"/>
    <s v="Standard"/>
    <x v="0"/>
    <x v="1"/>
    <s v="Pooja Nair"/>
    <s v="South"/>
    <s v="Pune"/>
    <s v="Maharashtra"/>
    <x v="4"/>
    <s v="530720"/>
    <s v="None"/>
    <n v="5"/>
    <s v="No"/>
    <s v="other"/>
    <s v="WH-02"/>
    <s v="Ekart"/>
    <d v="2024-04-05T00:00:00"/>
    <x v="395"/>
    <d v="2024-04-15T00:00:00"/>
    <s v="venugopalk@gmail_com"/>
    <s v=" 8018320511"/>
  </r>
  <r>
    <x v="696"/>
    <s v="Rekha Menon"/>
    <x v="0"/>
    <s v="Adidas Ultraboost 22"/>
    <x v="18"/>
    <x v="2"/>
    <s v="Footwear"/>
    <n v="13870"/>
    <n v="5"/>
    <n v="69350"/>
    <n v="5"/>
    <x v="487"/>
    <n v="65882.5"/>
    <n v="12"/>
    <n v="7905.9"/>
    <n v="0"/>
    <n v="73788.399999999994"/>
    <x v="5"/>
    <s v="Express"/>
    <x v="0"/>
    <x v="1"/>
    <s v="Pooja Nair"/>
    <s v="South"/>
    <s v="Nashik"/>
    <s v="Maharashtra"/>
    <x v="4"/>
    <s v="140396"/>
    <s v="Summer15"/>
    <n v="5"/>
    <s v="No"/>
    <s v="other"/>
    <s v="WH-01"/>
    <s v="Dtdc"/>
    <d v="2024-02-07T00:00:00"/>
    <x v="164"/>
    <d v="2024-02-20T00:00:00"/>
    <s v="rmenon@yahoo_co_in"/>
    <s v="7138819011"/>
  </r>
  <r>
    <x v="697"/>
    <s v="Jayesh Vora"/>
    <x v="0"/>
    <s v="Whirlpool 7Kg Washer"/>
    <x v="35"/>
    <x v="1"/>
    <s v="Washing Machines"/>
    <n v="33970"/>
    <n v="1"/>
    <n v="33970"/>
    <n v="10"/>
    <x v="488"/>
    <n v="30573"/>
    <n v="5"/>
    <n v="1528.65"/>
    <n v="0"/>
    <n v="32101.65"/>
    <x v="3"/>
    <s v="Same Day"/>
    <x v="1"/>
    <x v="4"/>
    <s v="Raj Kumar"/>
    <s v="North"/>
    <s v="Coimbatore"/>
    <s v="Tamil Nadu"/>
    <x v="2"/>
    <s v="126669"/>
    <s v="Newuser"/>
    <n v="3"/>
    <s v="No"/>
    <s v="other"/>
    <s v="WH-05"/>
    <s v="Delhivery"/>
    <d v="2024-05-09T00:00:00"/>
    <x v="396"/>
    <d v="2024-05-25T00:00:00"/>
    <s v="jayeshv@rediffmail_com__"/>
    <s v="7928489873"/>
  </r>
  <r>
    <x v="698"/>
    <s v="Hina Shah"/>
    <x v="0"/>
    <s v="Centuary Mattress"/>
    <x v="16"/>
    <x v="4"/>
    <s v="Beds"/>
    <n v="14120"/>
    <n v="1"/>
    <n v="14120"/>
    <n v="5"/>
    <x v="489"/>
    <n v="13414"/>
    <n v="5"/>
    <n v="670.7"/>
    <n v="0"/>
    <n v="14084.7"/>
    <x v="0"/>
    <s v="Same Day"/>
    <x v="1"/>
    <x v="2"/>
    <s v="Suraj Verma"/>
    <s v="East"/>
    <s v="Vijayawada"/>
    <s v="Andhra Pradesh"/>
    <x v="2"/>
    <s v="470049"/>
    <s v="None"/>
    <n v="3"/>
    <s v="No"/>
    <s v="other"/>
    <s v="WH-07"/>
    <s v="Delhivery"/>
    <d v="2024-06-25T00:00:00"/>
    <x v="43"/>
    <d v="2024-07-06T00:00:00"/>
    <s v="hina_shah@yahoo_com"/>
    <s v="9735334062"/>
  </r>
  <r>
    <x v="699"/>
    <s v="Meenakshi Sundaram"/>
    <x v="0"/>
    <s v="Bajaj Mixer 750W"/>
    <x v="5"/>
    <x v="1"/>
    <s v="Kitchen"/>
    <n v="2740"/>
    <n v="1"/>
    <n v="2740"/>
    <n v="15"/>
    <x v="490"/>
    <n v="2329"/>
    <n v="5"/>
    <n v="116.45"/>
    <n v="49"/>
    <n v="2445.4499999999998"/>
    <x v="1"/>
    <s v="Same Day"/>
    <x v="1"/>
    <x v="4"/>
    <s v="Suraj Verma"/>
    <s v="East"/>
    <s v="Kanpur"/>
    <s v="Uttar Pradesh"/>
    <x v="0"/>
    <s v="516214"/>
    <s v="Newuser"/>
    <n v="5"/>
    <s v="No"/>
    <s v="other"/>
    <s v="WH-10"/>
    <s v="Dtdc"/>
    <d v="2023-07-19T00:00:00"/>
    <x v="160"/>
    <d v="2023-07-31T00:00:00"/>
    <s v="msundaram@gmail_com"/>
    <s v="7574218842"/>
  </r>
  <r>
    <x v="700"/>
    <s v="Ramesh Bose"/>
    <x v="0"/>
    <s v="Lg 8Kg Front Load"/>
    <x v="33"/>
    <x v="1"/>
    <s v="Washing Machines"/>
    <n v="45070"/>
    <n v="3"/>
    <n v="135210"/>
    <n v="0"/>
    <x v="2"/>
    <n v="135210"/>
    <n v="5"/>
    <n v="6760.5"/>
    <n v="0"/>
    <n v="141970.5"/>
    <x v="5"/>
    <s v="Same Day"/>
    <x v="0"/>
    <x v="1"/>
    <s v="Pooja Nair"/>
    <s v="South"/>
    <s v="Jaipur"/>
    <s v="Rajasthan"/>
    <x v="0"/>
    <s v="325575"/>
    <s v="Newuser"/>
    <n v="3"/>
    <s v="No"/>
    <s v="other"/>
    <s v="WH-11"/>
    <s v="Delhivery"/>
    <d v="2024-06-24T00:00:00"/>
    <x v="43"/>
    <d v="2024-07-05T00:00:00"/>
    <s v="bose_ramesh@gmail_com"/>
    <s v="9057824531"/>
  </r>
  <r>
    <x v="701"/>
    <s v="Zubair Khan"/>
    <x v="2"/>
    <s v="Amul Butter 500G"/>
    <x v="38"/>
    <x v="5"/>
    <s v="Dairy"/>
    <n v="290"/>
    <n v="6"/>
    <n v="1740"/>
    <n v="0"/>
    <x v="2"/>
    <n v="1740"/>
    <n v="5"/>
    <n v="87"/>
    <n v="149"/>
    <n v="1827"/>
    <x v="6"/>
    <s v="Standard"/>
    <x v="4"/>
    <x v="4"/>
    <s v="Sneha Reddy"/>
    <s v="South"/>
    <s v="Cuttack"/>
    <s v="Odisha"/>
    <x v="1"/>
    <s v="545814"/>
    <s v="Festive20"/>
    <n v="4"/>
    <s v="Yes"/>
    <s v="other"/>
    <s v="WH-04"/>
    <s v="Dtdc"/>
    <d v="2023-04-27T00:00:00"/>
    <x v="366"/>
    <d v="2023-05-05T00:00:00"/>
    <s v="zubair_khan@gmail_com"/>
    <s v="9715901125"/>
  </r>
  <r>
    <x v="702"/>
    <s v="Vikram Mehta"/>
    <x v="1"/>
    <s v="Hp Pavilion 15"/>
    <x v="0"/>
    <x v="0"/>
    <s v="Laptops"/>
    <n v="60960"/>
    <n v="2"/>
    <n v="121920"/>
    <n v="5"/>
    <x v="491"/>
    <n v="115824"/>
    <n v="18"/>
    <n v="20848.32"/>
    <n v="0"/>
    <n v="136672.32000000001"/>
    <x v="1"/>
    <s v="Economy"/>
    <x v="1"/>
    <x v="0"/>
    <s v="Aman Bhatia"/>
    <s v="West"/>
    <s v="Bengaluru"/>
    <s v="Karnataka"/>
    <x v="2"/>
    <s v="623570"/>
    <s v="Newuser"/>
    <n v="4"/>
    <s v="No"/>
    <s v="other"/>
    <s v="WH-10"/>
    <s v="Dtdc"/>
    <d v="2023-10-30T00:00:00"/>
    <x v="228"/>
    <d v="2023-11-08T00:00:00"/>
    <s v="vmehta@gmail_com"/>
    <s v="7372386159"/>
  </r>
  <r>
    <x v="703"/>
    <s v="Saurabh Kulkarni"/>
    <x v="0"/>
    <s v="Levi'S 511 Jeans"/>
    <x v="10"/>
    <x v="2"/>
    <s v="Clothing"/>
    <n v="3170"/>
    <n v="1"/>
    <n v="3170"/>
    <n v="0"/>
    <x v="2"/>
    <n v="3170"/>
    <n v="12"/>
    <n v="380.4"/>
    <n v="99"/>
    <n v="3550.4"/>
    <x v="2"/>
    <s v="Standard"/>
    <x v="1"/>
    <x v="3"/>
    <s v="Ankit Sharma"/>
    <s v="North"/>
    <s v="Kozhikode"/>
    <s v="Kerala"/>
    <x v="2"/>
    <s v="201303"/>
    <s v="None"/>
    <n v="4"/>
    <s v="No"/>
    <s v="other"/>
    <s v="WH-09"/>
    <s v="Delhivery"/>
    <d v="2024-04-25T00:00:00"/>
    <x v="397"/>
    <d v="2023-11-08T00:00:00"/>
    <s v="saurabhk@gmail_com"/>
    <s v="6560285869"/>
  </r>
  <r>
    <x v="704"/>
    <s v="Farhan Khan"/>
    <x v="1"/>
    <s v="Daikin 1.5T Inverter"/>
    <x v="30"/>
    <x v="1"/>
    <s v="Air Conditioners"/>
    <n v="48610"/>
    <n v="5"/>
    <n v="243050"/>
    <n v="5"/>
    <x v="492"/>
    <n v="230897.5"/>
    <n v="5"/>
    <n v="11544.88"/>
    <n v="0"/>
    <n v="242442.38"/>
    <x v="6"/>
    <s v="Same Day"/>
    <x v="0"/>
    <x v="0"/>
    <s v="Vinay Joshi"/>
    <s v="Central"/>
    <s v="Hubballi"/>
    <s v="Karnataka"/>
    <x v="2"/>
    <s v="549678"/>
    <s v="None"/>
    <n v="4"/>
    <s v="No"/>
    <s v="other"/>
    <s v="WH-10"/>
    <s v="Ekart"/>
    <d v="2023-10-20T00:00:00"/>
    <x v="398"/>
    <d v="2023-10-31T00:00:00"/>
    <s v="farhan_khan@gmail_com"/>
    <s v="7507655737"/>
  </r>
  <r>
    <x v="705"/>
    <s v="Pooja Agarwal"/>
    <x v="0"/>
    <s v="Samsung 65-Inch Qled"/>
    <x v="2"/>
    <x v="0"/>
    <s v="Televisions"/>
    <n v="102480"/>
    <n v="5"/>
    <n v="512400"/>
    <n v="5"/>
    <x v="493"/>
    <n v="486780"/>
    <n v="18"/>
    <n v="87620.4"/>
    <n v="0"/>
    <n v="574400.4"/>
    <x v="4"/>
    <s v="Overnight"/>
    <x v="0"/>
    <x v="2"/>
    <s v="Ankit Sharma"/>
    <s v="North"/>
    <s v="Kozhikode"/>
    <s v="Kerala"/>
    <x v="2"/>
    <s v="747820"/>
    <s v="None"/>
    <n v="1"/>
    <s v="No"/>
    <s v="other"/>
    <s v="WH-07"/>
    <s v="Ekart"/>
    <d v="2023-06-29T00:00:00"/>
    <x v="299"/>
    <d v="2023-07-10T00:00:00"/>
    <s v="poojaa@gmail_com"/>
    <s v="9407008415"/>
  </r>
  <r>
    <x v="706"/>
    <s v="Tarun Bansal"/>
    <x v="3"/>
    <s v="Bajaj Mixer 750W"/>
    <x v="5"/>
    <x v="1"/>
    <s v="Kitchen"/>
    <n v="2600"/>
    <n v="1"/>
    <n v="2600"/>
    <n v="5"/>
    <x v="494"/>
    <n v="2470"/>
    <n v="5"/>
    <n v="123.5"/>
    <n v="49"/>
    <n v="2593.5"/>
    <x v="0"/>
    <s v="Express"/>
    <x v="0"/>
    <x v="3"/>
    <s v="Neha Kulkarni"/>
    <s v="West"/>
    <s v="Delhi"/>
    <s v="Delhi"/>
    <x v="0"/>
    <s v="791685"/>
    <s v="None"/>
    <n v="4"/>
    <s v="No"/>
    <s v="other"/>
    <s v="WH-07"/>
    <s v="Ekart"/>
    <d v="2023-05-14T00:00:00"/>
    <x v="399"/>
    <d v="2023-05-28T00:00:00"/>
    <s v="tarun_bansal@outlook_com"/>
    <s v="9338041917"/>
  </r>
  <r>
    <x v="707"/>
    <s v="Neha Saxena"/>
    <x v="3"/>
    <s v="Kurl-On King Bed"/>
    <x v="15"/>
    <x v="4"/>
    <s v="Beds"/>
    <n v="51020"/>
    <n v="3"/>
    <n v="153060"/>
    <n v="0"/>
    <x v="2"/>
    <n v="153060"/>
    <n v="5"/>
    <n v="7653"/>
    <n v="0"/>
    <n v="160713"/>
    <x v="2"/>
    <s v="Overnight"/>
    <x v="4"/>
    <x v="4"/>
    <s v="Pooja Nair"/>
    <s v="South"/>
    <s v="Pune"/>
    <s v="Maharashtra"/>
    <x v="4"/>
    <s v="510366"/>
    <s v="None"/>
    <n v="4"/>
    <s v="Yes"/>
    <s v="other"/>
    <s v="WH-06"/>
    <s v="Delhivery"/>
    <d v="2023-07-23T00:00:00"/>
    <x v="8"/>
    <d v="2023-07-29T00:00:00"/>
    <s v="neha_saxena@gmail_com"/>
    <s v="9576455459"/>
  </r>
  <r>
    <x v="708"/>
    <s v="Yeswanth Reddy"/>
    <x v="0"/>
    <s v="Tata Tea Premium 1Kg"/>
    <x v="17"/>
    <x v="5"/>
    <s v="Beverages"/>
    <n v="480"/>
    <n v="4"/>
    <n v="1920"/>
    <n v="5"/>
    <x v="495"/>
    <n v="1824"/>
    <n v="5"/>
    <n v="91.2"/>
    <n v="99"/>
    <n v="1915.2"/>
    <x v="4"/>
    <s v="Standard"/>
    <x v="0"/>
    <x v="2"/>
    <s v="Suraj Verma"/>
    <s v="East"/>
    <s v="Ghaziabad"/>
    <s v="Uttar Pradesh"/>
    <x v="0"/>
    <s v="704318"/>
    <s v="Save10"/>
    <n v="4"/>
    <s v="No"/>
    <s v="other"/>
    <s v="WH-08"/>
    <s v="Amazon Logistics"/>
    <d v="2023-09-13T00:00:00"/>
    <x v="400"/>
    <d v="2023-09-18T00:00:00"/>
    <s v="yreddy@yahoo_co_in"/>
    <s v="7144876216"/>
  </r>
  <r>
    <x v="709"/>
    <s v="Rohit Singh"/>
    <x v="0"/>
    <s v="Samsung 65-Inch Qled"/>
    <x v="2"/>
    <x v="0"/>
    <s v="Televisions"/>
    <n v="89840"/>
    <n v="5"/>
    <n v="449200"/>
    <n v="10"/>
    <x v="496"/>
    <n v="404280"/>
    <n v="18"/>
    <n v="72770.399999999994"/>
    <n v="0"/>
    <n v="477050.4"/>
    <x v="6"/>
    <s v="Overnight"/>
    <x v="0"/>
    <x v="0"/>
    <s v="Aman Bhatia"/>
    <s v="West"/>
    <s v="Jodhpur"/>
    <s v="Rajasthan"/>
    <x v="0"/>
    <s v="661886"/>
    <s v="Festive20"/>
    <n v="4"/>
    <s v="No"/>
    <s v="other"/>
    <s v="WH-09"/>
    <s v="Bluedart"/>
    <d v="2024-01-05T00:00:00"/>
    <x v="207"/>
    <d v="2024-01-15T00:00:00"/>
    <s v="rohit_singh@outlook_com"/>
    <s v="6991945644"/>
  </r>
  <r>
    <x v="710"/>
    <s v="Durga Prasad"/>
    <x v="0"/>
    <s v="Puma Softride"/>
    <x v="31"/>
    <x v="2"/>
    <s v="Footwear"/>
    <n v="29347.846790890268"/>
    <n v="4"/>
    <n v="117391.38716356107"/>
    <n v="20"/>
    <x v="497"/>
    <n v="15680"/>
    <n v="12"/>
    <n v="1881.6"/>
    <n v="0"/>
    <n v="17561.599999999999"/>
    <x v="6"/>
    <s v="Express"/>
    <x v="1"/>
    <x v="2"/>
    <s v="Karim Sheikh"/>
    <s v="North"/>
    <s v="Jabalpur"/>
    <s v="Madhya Pradesh"/>
    <x v="3"/>
    <s v="296109"/>
    <s v="None"/>
    <n v="4"/>
    <s v="No"/>
    <s v="other"/>
    <s v="WH-05"/>
    <s v="Dtdc"/>
    <d v="2023-12-21T00:00:00"/>
    <x v="183"/>
    <d v="2023-12-30T00:00:00"/>
    <s v="durga_prasad@gmail_com__"/>
    <s v="8177073460"/>
  </r>
  <r>
    <x v="711"/>
    <s v="Nagalakshmi Venkatesh"/>
    <x v="1"/>
    <s v="Sony Wh-1000Xm5"/>
    <x v="1"/>
    <x v="0"/>
    <s v="Audio"/>
    <n v="29290"/>
    <n v="1"/>
    <n v="29290"/>
    <n v="0"/>
    <x v="2"/>
    <n v="29290"/>
    <n v="18"/>
    <n v="5272.2"/>
    <n v="0"/>
    <n v="34562.199999999997"/>
    <x v="5"/>
    <s v="Overnight"/>
    <x v="4"/>
    <x v="0"/>
    <s v="Ritu Singh"/>
    <s v="Central"/>
    <s v="Ghaziabad"/>
    <s v="Uttar Pradesh"/>
    <x v="0"/>
    <s v="307007"/>
    <s v="Festive20"/>
    <n v="3"/>
    <s v="Yes"/>
    <s v="other"/>
    <s v="WH-06"/>
    <s v="Amazon Logistics"/>
    <d v="2024-02-14T00:00:00"/>
    <x v="282"/>
    <d v="2024-02-28T00:00:00"/>
    <s v="nagalakshmi_venkatesh@yahoo_com"/>
    <s v="6689409363"/>
  </r>
  <r>
    <x v="712"/>
    <s v="Hina Shah"/>
    <x v="0"/>
    <s v="Dell Xps 15 Laptop"/>
    <x v="23"/>
    <x v="0"/>
    <s v="Laptops"/>
    <n v="129780"/>
    <n v="2"/>
    <n v="259560"/>
    <n v="5"/>
    <x v="498"/>
    <n v="246582"/>
    <n v="18"/>
    <n v="44384.76"/>
    <n v="0"/>
    <n v="290966.76"/>
    <x v="1"/>
    <s v="Economy"/>
    <x v="3"/>
    <x v="0"/>
    <s v="Priya Sinha"/>
    <s v="West"/>
    <s v="Cuttack"/>
    <s v="Odisha"/>
    <x v="1"/>
    <s v="120467"/>
    <s v="None"/>
    <n v="4"/>
    <s v="No"/>
    <s v="other"/>
    <s v="WH-07"/>
    <s v="Delhivery"/>
    <d v="2023-03-25T00:00:00"/>
    <x v="141"/>
    <d v="2023-04-04T00:00:00"/>
    <s v="hinas@yahoo_com"/>
    <s v="8305270436"/>
  </r>
  <r>
    <x v="713"/>
    <s v="Jayesh Vora"/>
    <x v="0"/>
    <s v="Nikon D3500"/>
    <x v="3"/>
    <x v="0"/>
    <s v="Cameras"/>
    <n v="36740"/>
    <n v="2"/>
    <n v="73480"/>
    <n v="0"/>
    <x v="2"/>
    <n v="73480"/>
    <n v="18"/>
    <n v="13226.4"/>
    <n v="0"/>
    <n v="86706.4"/>
    <x v="0"/>
    <s v="Express"/>
    <x v="2"/>
    <x v="1"/>
    <s v="Pooja Nair"/>
    <s v="South"/>
    <s v="Thiruvananthapuram"/>
    <s v="Kerala"/>
    <x v="2"/>
    <s v="350406"/>
    <s v="None"/>
    <n v="4"/>
    <s v="No"/>
    <s v="other"/>
    <s v="WH-07"/>
    <s v="Delhivery"/>
    <d v="2023-01-18T00:00:00"/>
    <x v="401"/>
    <d v="2023-02-04T00:00:00"/>
    <s v="vora_jayesh@rediffmail_com"/>
    <s v="8984104003"/>
  </r>
  <r>
    <x v="714"/>
    <s v="Bhavesh Patel"/>
    <x v="1"/>
    <s v="Sony Bravia 55-Inch"/>
    <x v="1"/>
    <x v="0"/>
    <s v="Televisions"/>
    <n v="81780"/>
    <n v="4"/>
    <n v="327120"/>
    <n v="5"/>
    <x v="499"/>
    <n v="310764"/>
    <n v="18"/>
    <n v="55937.52"/>
    <n v="0"/>
    <n v="366701.52"/>
    <x v="5"/>
    <s v="Express"/>
    <x v="1"/>
    <x v="1"/>
    <s v="Suraj Verma"/>
    <s v="East"/>
    <s v="Mumbai"/>
    <s v="Maharashtra"/>
    <x v="4"/>
    <s v="311846"/>
    <s v="None"/>
    <n v="3"/>
    <s v="No"/>
    <s v="other"/>
    <s v="WH-11"/>
    <s v="Bluedart"/>
    <d v="2023-04-01T00:00:00"/>
    <x v="106"/>
    <d v="2023-01-18T00:00:00"/>
    <s v="bhaveshp@yahoo_com"/>
    <s v="8779036666"/>
  </r>
  <r>
    <x v="715"/>
    <s v="Muthukrishnan Arunachalam"/>
    <x v="3"/>
    <s v="Nilkamal Chair"/>
    <x v="11"/>
    <x v="4"/>
    <s v="Seating"/>
    <n v="4280"/>
    <n v="3"/>
    <n v="12840"/>
    <n v="15"/>
    <x v="500"/>
    <n v="10914"/>
    <n v="5"/>
    <n v="545.70000000000005"/>
    <n v="0"/>
    <n v="11459.7"/>
    <x v="0"/>
    <s v="Same Day"/>
    <x v="1"/>
    <x v="3"/>
    <s v="Anjali Mehta"/>
    <s v="South"/>
    <s v="Mysuru"/>
    <s v="Karnataka"/>
    <x v="2"/>
    <s v="639879"/>
    <s v="Summer15"/>
    <n v="5"/>
    <s v="No"/>
    <s v="other"/>
    <s v="WH-09"/>
    <s v="Amazon Logistics"/>
    <d v="2023-08-19T00:00:00"/>
    <x v="186"/>
    <d v="2023-08-30T00:00:00"/>
    <s v="marunachalamgmail_com"/>
    <s v="8056878071"/>
  </r>
  <r>
    <x v="716"/>
    <s v="Nisha Jain"/>
    <x v="3"/>
    <s v="Lg 8Kg Front Load"/>
    <x v="33"/>
    <x v="1"/>
    <s v="Washing Machines"/>
    <n v="46050"/>
    <n v="3"/>
    <n v="138150"/>
    <n v="15"/>
    <x v="501"/>
    <n v="117427.5"/>
    <n v="5"/>
    <n v="5871.38"/>
    <n v="0"/>
    <n v="123298.88"/>
    <x v="3"/>
    <s v="Economy"/>
    <x v="0"/>
    <x v="2"/>
    <s v="Neha Kulkarni"/>
    <s v="West"/>
    <s v="Faridabad"/>
    <s v="Haryana"/>
    <x v="0"/>
    <s v="678677"/>
    <s v="Diwali25"/>
    <n v="4"/>
    <s v="No"/>
    <s v="other"/>
    <s v="WH-07"/>
    <s v="Bluedart"/>
    <d v="2024-04-23T00:00:00"/>
    <x v="88"/>
    <d v="2024-05-06T00:00:00"/>
    <s v="nisha_jain@gmail_com"/>
    <s v="7490294849"/>
  </r>
  <r>
    <x v="717"/>
    <s v="Zubair Khan"/>
    <x v="0"/>
    <s v="Oneplus 12"/>
    <x v="32"/>
    <x v="0"/>
    <s v="Mobile Phones"/>
    <n v="67550"/>
    <n v="4"/>
    <n v="270200"/>
    <n v="10"/>
    <x v="502"/>
    <n v="243180"/>
    <n v="18"/>
    <n v="43772.4"/>
    <n v="0"/>
    <n v="286952.40000000002"/>
    <x v="0"/>
    <s v="Overnight"/>
    <x v="0"/>
    <x v="3"/>
    <s v="Ankit Sharma"/>
    <s v="North"/>
    <s v="Rajkot"/>
    <s v="Gujarat"/>
    <x v="4"/>
    <m/>
    <s v="None"/>
    <n v="4"/>
    <s v="No"/>
    <s v="other"/>
    <s v="WH-10"/>
    <s v="Dtdc"/>
    <d v="2023-04-03T00:00:00"/>
    <x v="194"/>
    <d v="2023-04-16T00:00:00"/>
    <s v="zubair_khangmail_com"/>
    <s v="9185360878"/>
  </r>
  <r>
    <x v="718"/>
    <s v="Mitesh Gandhi"/>
    <x v="1"/>
    <s v="Samsung 65-Inch Qled"/>
    <x v="2"/>
    <x v="0"/>
    <s v="Televisions"/>
    <n v="102400"/>
    <n v="3"/>
    <n v="307200"/>
    <n v="5"/>
    <x v="503"/>
    <n v="291840"/>
    <n v="18"/>
    <n v="52531.199999999997"/>
    <n v="0"/>
    <n v="344371.20000000001"/>
    <x v="2"/>
    <s v="Economy"/>
    <x v="0"/>
    <x v="1"/>
    <s v="Suraj Verma"/>
    <s v="East"/>
    <s v="Pune"/>
    <s v="Maharashtra"/>
    <x v="4"/>
    <s v="162511"/>
    <s v="None"/>
    <n v="4"/>
    <s v="No"/>
    <s v="other"/>
    <s v="WH-09"/>
    <s v="India Post"/>
    <d v="2024-03-30T00:00:00"/>
    <x v="224"/>
    <d v="2024-04-07T00:00:00"/>
    <s v="miteshg@gmail_com"/>
    <s v="9705467393"/>
  </r>
  <r>
    <x v="719"/>
    <s v="Kavita Reddy"/>
    <x v="0"/>
    <s v="Samsung 65-Inch Qled"/>
    <x v="2"/>
    <x v="0"/>
    <s v="Televisions"/>
    <n v="89340"/>
    <n v="7"/>
    <n v="625380"/>
    <n v="0"/>
    <x v="2"/>
    <n v="625380"/>
    <n v="18"/>
    <n v="112568.4"/>
    <n v="0"/>
    <n v="737948.4"/>
    <x v="6"/>
    <s v="Standard"/>
    <x v="0"/>
    <x v="1"/>
    <s v="Suraj Verma"/>
    <s v="East"/>
    <s v="Coimbatore"/>
    <s v="Tamil Nadu"/>
    <x v="2"/>
    <s v="144009"/>
    <s v="None"/>
    <n v="3"/>
    <s v="No"/>
    <s v="other"/>
    <s v="WH-05"/>
    <s v="Delhivery"/>
    <d v="2023-04-07T00:00:00"/>
    <x v="194"/>
    <d v="2023-04-13T00:00:00"/>
    <s v="kreddy@gmail_com"/>
    <s v="7000190073"/>
  </r>
  <r>
    <x v="720"/>
    <s v="Bhavani Shankar"/>
    <x v="1"/>
    <s v="Daikin 1.5T Inverter"/>
    <x v="30"/>
    <x v="1"/>
    <s v="Air Conditioners"/>
    <n v="44900"/>
    <n v="9"/>
    <n v="404100"/>
    <n v="0"/>
    <x v="2"/>
    <n v="404100"/>
    <n v="5"/>
    <n v="20205"/>
    <n v="0"/>
    <n v="424305"/>
    <x v="1"/>
    <s v="Same Day"/>
    <x v="1"/>
    <x v="4"/>
    <s v="Raj Kumar"/>
    <s v="North"/>
    <s v="Thrissur"/>
    <s v="Kerala"/>
    <x v="2"/>
    <s v="561104"/>
    <s v="Diwali25"/>
    <n v="4"/>
    <s v="No"/>
    <s v="other"/>
    <s v="WH-11"/>
    <s v="Bluedart"/>
    <d v="2024-06-20T00:00:00"/>
    <x v="402"/>
    <d v="2023-04-13T00:00:00"/>
    <s v="shankar_bhavani@yahoo_com"/>
    <s v="6942941259"/>
  </r>
  <r>
    <x v="721"/>
    <s v="Lakshmi Pillai"/>
    <x v="0"/>
    <s v="Wildcraft Backpack"/>
    <x v="28"/>
    <x v="2"/>
    <s v="Bags"/>
    <n v="2030"/>
    <n v="1"/>
    <n v="2030"/>
    <n v="25"/>
    <x v="504"/>
    <n v="1522.5"/>
    <n v="12"/>
    <n v="182.7"/>
    <n v="79"/>
    <n v="1705.2"/>
    <x v="3"/>
    <s v="Same Day"/>
    <x v="0"/>
    <x v="4"/>
    <s v="Vinay Joshi"/>
    <s v="Central"/>
    <s v="Chennai"/>
    <s v="Tamil Nadu"/>
    <x v="2"/>
    <s v="580891"/>
    <s v="Save10"/>
    <n v="4"/>
    <s v="No"/>
    <s v="other"/>
    <s v="WH-08"/>
    <s v="Bluedart"/>
    <d v="2023-03-14T00:00:00"/>
    <x v="108"/>
    <d v="2023-03-22T00:00:00"/>
    <s v="pillai_lakshmi@yahoo_co_in"/>
    <s v="9026638207"/>
  </r>
  <r>
    <x v="722"/>
    <s v="Nagalakshmi  Venkatesh"/>
    <x v="3"/>
    <s v="Titan Raga"/>
    <x v="26"/>
    <x v="2"/>
    <s v="Accessories"/>
    <n v="8500"/>
    <n v="1"/>
    <n v="8500"/>
    <n v="25"/>
    <x v="505"/>
    <n v="6375"/>
    <n v="12"/>
    <n v="765"/>
    <n v="0"/>
    <n v="7140"/>
    <x v="3"/>
    <s v="Economy"/>
    <x v="5"/>
    <x v="3"/>
    <s v="Ankit Sharma"/>
    <s v="North"/>
    <s v="Asansol"/>
    <s v="West Bengal"/>
    <x v="1"/>
    <s v="441723"/>
    <s v="Save10"/>
    <n v="3"/>
    <s v="No"/>
    <s v="other"/>
    <s v="WH-06"/>
    <s v="Ekart"/>
    <d v="2023-05-19T00:00:00"/>
    <x v="403"/>
    <d v="2023-05-28T00:00:00"/>
    <s v="nagalakshmi_venkatesh@yahoo_com"/>
    <s v="6871924972"/>
  </r>
  <r>
    <x v="723"/>
    <s v="Arjun Nair"/>
    <x v="0"/>
    <s v="Fastrack Watch"/>
    <x v="6"/>
    <x v="2"/>
    <s v="Accessories"/>
    <n v="2530"/>
    <n v="9"/>
    <n v="22770"/>
    <n v="0"/>
    <x v="2"/>
    <n v="22770"/>
    <n v="12"/>
    <n v="2732.4"/>
    <n v="0"/>
    <n v="25502.400000000001"/>
    <x v="6"/>
    <s v="Same Day"/>
    <x v="0"/>
    <x v="1"/>
    <s v="Vinay Joshi"/>
    <s v="Central"/>
    <s v="Agra"/>
    <s v="Uttar Pradesh"/>
    <x v="0"/>
    <s v="559133"/>
    <s v="Festive20"/>
    <n v="5"/>
    <s v="No"/>
    <s v="other"/>
    <s v="WH-11"/>
    <s v="Delhivery"/>
    <d v="2023-11-27T00:00:00"/>
    <x v="321"/>
    <d v="2023-12-07T00:00:00"/>
    <s v="anair@gmail_com"/>
    <s v="9646705068"/>
  </r>
  <r>
    <x v="724"/>
    <s v="Ramachandran Pillai"/>
    <x v="1"/>
    <s v="Nikon D3500"/>
    <x v="3"/>
    <x v="0"/>
    <s v="Cameras"/>
    <n v="32970"/>
    <n v="7"/>
    <n v="230790"/>
    <n v="15"/>
    <x v="506"/>
    <n v="196171.5"/>
    <n v="18"/>
    <n v="35310.870000000003"/>
    <n v="0"/>
    <n v="231482.37"/>
    <x v="3"/>
    <s v="Standard"/>
    <x v="0"/>
    <x v="3"/>
    <s v="Ritu Singh"/>
    <s v="Central"/>
    <s v="Jaipur"/>
    <s v="Rajasthan"/>
    <x v="0"/>
    <s v="773325"/>
    <s v="Diwali25"/>
    <n v="4"/>
    <s v="No"/>
    <s v="other"/>
    <s v="WH-04"/>
    <s v="Ekart"/>
    <d v="2023-06-04T00:00:00"/>
    <x v="404"/>
    <d v="2023-06-12T00:00:00"/>
    <s v="ramachandran_pillai@gmail_com"/>
    <s v="8242716186"/>
  </r>
  <r>
    <x v="725"/>
    <s v="Kunal Oberoi"/>
    <x v="0"/>
    <s v="Titan Raga"/>
    <x v="26"/>
    <x v="2"/>
    <s v="Accessories"/>
    <n v="8550"/>
    <n v="20"/>
    <n v="171000"/>
    <n v="0"/>
    <x v="2"/>
    <n v="171000"/>
    <n v="12"/>
    <n v="20520"/>
    <n v="0"/>
    <n v="191520"/>
    <x v="0"/>
    <s v="Overnight"/>
    <x v="1"/>
    <x v="3"/>
    <s v="Karim Sheikh"/>
    <s v="North"/>
    <s v="Jabalpur"/>
    <s v="Madhya Pradesh"/>
    <x v="3"/>
    <s v="474020"/>
    <s v="Festive20"/>
    <n v="5"/>
    <s v="No"/>
    <s v="other"/>
    <s v="WH-01"/>
    <s v="Delhivery"/>
    <d v="2023-07-09T00:00:00"/>
    <x v="149"/>
    <d v="2023-07-23T00:00:00"/>
    <s v="kunal_oberoi@gmail_com"/>
    <s v="7253941854"/>
  </r>
  <r>
    <x v="726"/>
    <s v="Ajay Pandey"/>
    <x v="0"/>
    <s v="Lg 8Kg Front Load"/>
    <x v="33"/>
    <x v="1"/>
    <s v="Washing Machines"/>
    <n v="51470"/>
    <n v="5"/>
    <n v="257350"/>
    <n v="5"/>
    <x v="507"/>
    <n v="244482.5"/>
    <n v="5"/>
    <n v="12224.12"/>
    <n v="0"/>
    <n v="256706.62"/>
    <x v="4"/>
    <s v="Overnight"/>
    <x v="0"/>
    <x v="0"/>
    <s v="Neha Kulkarni"/>
    <s v="West"/>
    <s v="Ahmedabad"/>
    <s v="Gujarat"/>
    <x v="4"/>
    <s v="329506"/>
    <s v="None"/>
    <n v="4"/>
    <s v="No"/>
    <s v="other"/>
    <s v="WH-04"/>
    <s v="Delhivery"/>
    <d v="2023-01-10T00:00:00"/>
    <x v="69"/>
    <d v="2023-01-22T00:00:00"/>
    <s v="ajayp@outlook_com"/>
    <s v="8856434760"/>
  </r>
  <r>
    <x v="727"/>
    <s v="Vikram Mehta"/>
    <x v="0"/>
    <s v="Sony Bravia 55-Inch"/>
    <x v="1"/>
    <x v="0"/>
    <s v="Televisions"/>
    <n v="80370"/>
    <n v="2"/>
    <n v="160740"/>
    <n v="10"/>
    <x v="508"/>
    <n v="144666"/>
    <n v="18"/>
    <n v="26039.88"/>
    <n v="0"/>
    <n v="170705.88"/>
    <x v="4"/>
    <s v="Economy"/>
    <x v="2"/>
    <x v="3"/>
    <s v="Ritu Singh"/>
    <s v="Central"/>
    <s v="Kolkata"/>
    <s v="West Bengal"/>
    <x v="1"/>
    <s v="479094"/>
    <s v="None"/>
    <n v="4"/>
    <s v="No"/>
    <s v="other"/>
    <s v="WH-02"/>
    <s v="Dtdc"/>
    <d v="2023-01-15T00:00:00"/>
    <x v="405"/>
    <d v="2023-01-22T00:00:00"/>
    <s v="vikram_mehta@gmail_com"/>
    <s v="7016636622"/>
  </r>
  <r>
    <x v="728"/>
    <s v="Jayesh Vora"/>
    <x v="0"/>
    <s v="Hp Pavilion 15"/>
    <x v="0"/>
    <x v="0"/>
    <s v="Laptops"/>
    <n v="58850"/>
    <n v="5"/>
    <n v="294250"/>
    <n v="5"/>
    <x v="509"/>
    <n v="279537.5"/>
    <n v="18"/>
    <n v="50316.75"/>
    <n v="0"/>
    <n v="329854.25"/>
    <x v="5"/>
    <s v="Overnight"/>
    <x v="0"/>
    <x v="1"/>
    <s v="Sneha Reddy"/>
    <s v="South"/>
    <s v="Nagpur"/>
    <s v="Maharashtra"/>
    <x v="4"/>
    <s v="660327"/>
    <s v="None"/>
    <n v="4"/>
    <s v="No"/>
    <s v="other"/>
    <s v="WH-06"/>
    <s v="Delhivery"/>
    <d v="2024-02-29T00:00:00"/>
    <x v="18"/>
    <d v="2024-03-08T00:00:00"/>
    <s v="jayesh_vora@rediffmail_com"/>
    <s v="7441066788"/>
  </r>
  <r>
    <x v="729"/>
    <s v="Roshni Modi"/>
    <x v="3"/>
    <s v="Tata Tea Premium 1Kg"/>
    <x v="17"/>
    <x v="5"/>
    <s v="Beverages"/>
    <n v="420"/>
    <n v="4"/>
    <n v="1680"/>
    <n v="5"/>
    <x v="310"/>
    <n v="1596"/>
    <n v="5"/>
    <n v="79.8"/>
    <n v="49"/>
    <n v="1675.8"/>
    <x v="5"/>
    <s v="Economy"/>
    <x v="3"/>
    <x v="1"/>
    <s v="Ankit Sharma"/>
    <s v="North"/>
    <s v="Lucknow"/>
    <s v="Uttar Pradesh"/>
    <x v="0"/>
    <s v="255429"/>
    <s v="Newuser"/>
    <n v="4"/>
    <s v="No"/>
    <s v="other"/>
    <s v="WH-08"/>
    <s v="Amazon Logistics"/>
    <d v="2024-06-12T00:00:00"/>
    <x v="259"/>
    <d v="2024-06-17T00:00:00"/>
    <s v="rmodi@gmail_com"/>
    <s v="8541298249"/>
  </r>
  <r>
    <x v="730"/>
    <s v="Foram Trivedi"/>
    <x v="0"/>
    <s v="Nilkamal Chair"/>
    <x v="11"/>
    <x v="4"/>
    <s v="Seating"/>
    <n v="4300"/>
    <n v="2"/>
    <n v="8600"/>
    <n v="15"/>
    <x v="510"/>
    <n v="7310"/>
    <n v="5"/>
    <n v="365.5"/>
    <n v="0"/>
    <n v="7675.5"/>
    <x v="6"/>
    <s v="Standard"/>
    <x v="0"/>
    <x v="4"/>
    <s v="Priya Sinha"/>
    <s v="West"/>
    <s v="Vijayawada"/>
    <s v="Andhra Pradesh"/>
    <x v="2"/>
    <s v="137579"/>
    <s v="None"/>
    <n v="2"/>
    <s v="No"/>
    <s v="other"/>
    <s v="WH-11"/>
    <s v="Delhivery"/>
    <d v="2023-12-09T00:00:00"/>
    <x v="151"/>
    <d v="2023-12-17T00:00:00"/>
    <s v="foramt@gmail_com"/>
    <s v="8623838440"/>
  </r>
  <r>
    <x v="731"/>
    <s v="Lalitha Devi"/>
    <x v="0"/>
    <s v="Oneplus 12"/>
    <x v="32"/>
    <x v="0"/>
    <s v="Mobile Phones"/>
    <n v="66780"/>
    <n v="1"/>
    <n v="66780"/>
    <n v="20"/>
    <x v="511"/>
    <n v="53424"/>
    <n v="18"/>
    <n v="9616.32"/>
    <n v="0"/>
    <n v="63040.32"/>
    <x v="3"/>
    <s v="Overnight"/>
    <x v="1"/>
    <x v="1"/>
    <s v="Arjun Das"/>
    <s v="East"/>
    <s v="Kolkata"/>
    <s v="West Bengal"/>
    <x v="1"/>
    <s v="620409"/>
    <s v="Diwali25"/>
    <n v="4"/>
    <s v="No"/>
    <s v="other"/>
    <s v="WH-08"/>
    <s v="Delhivery"/>
    <d v="2023-01-21T00:00:00"/>
    <x v="155"/>
    <d v="2023-01-26T00:00:00"/>
    <s v="lalitha_devi@gmail_com"/>
    <s v="7793911717"/>
  </r>
  <r>
    <x v="732"/>
    <s v="Abhijeet Sawant"/>
    <x v="1"/>
    <s v="Iphone 15 Pro"/>
    <x v="13"/>
    <x v="0"/>
    <s v="Mobile Phones"/>
    <n v="95060"/>
    <n v="5"/>
    <n v="475300"/>
    <n v="15"/>
    <x v="512"/>
    <n v="404005"/>
    <n v="18"/>
    <n v="72720.899999999994"/>
    <n v="0"/>
    <n v="476725.9"/>
    <x v="0"/>
    <s v="Standard"/>
    <x v="0"/>
    <x v="0"/>
    <s v="Priya Sinha"/>
    <s v="West"/>
    <s v="Kochi"/>
    <s v="Kerala"/>
    <x v="2"/>
    <s v="213440"/>
    <s v="Festive20"/>
    <n v="4"/>
    <s v="No"/>
    <s v="other"/>
    <s v="WH-07"/>
    <s v="Bluedart"/>
    <d v="2023-08-13T00:00:00"/>
    <x v="111"/>
    <d v="2023-08-25T00:00:00"/>
    <s v="abhijeets@outlook_com"/>
    <s v="9404393516"/>
  </r>
  <r>
    <x v="733"/>
    <s v="Usha Chopra"/>
    <x v="1"/>
    <s v="Pepperfry Coffee Table"/>
    <x v="20"/>
    <x v="4"/>
    <s v="Tables"/>
    <n v="11340"/>
    <n v="7"/>
    <n v="79380"/>
    <n v="15"/>
    <x v="513"/>
    <n v="67473"/>
    <n v="5"/>
    <n v="3373.65"/>
    <n v="0"/>
    <n v="70846.649999999994"/>
    <x v="0"/>
    <s v="Overnight"/>
    <x v="4"/>
    <x v="4"/>
    <s v="Raj Kumar"/>
    <s v="North"/>
    <s v="Asansol"/>
    <s v="West Bengal"/>
    <x v="1"/>
    <s v="148736"/>
    <s v="Save10"/>
    <n v="4"/>
    <s v="Yes"/>
    <s v="Defective"/>
    <s v="WH-10"/>
    <s v="India Post"/>
    <d v="2023-09-12T00:00:00"/>
    <x v="400"/>
    <d v="2023-09-20T00:00:00"/>
    <s v="usha_choprayahoo_co_in"/>
    <s v="953298734"/>
  </r>
  <r>
    <x v="734"/>
    <s v="Jyoti Narayan"/>
    <x v="3"/>
    <s v="Voltas 1.5T Ac"/>
    <x v="19"/>
    <x v="1"/>
    <s v="Air Conditioners"/>
    <n v="37300"/>
    <n v="1"/>
    <n v="37300"/>
    <n v="15"/>
    <x v="514"/>
    <n v="31705"/>
    <n v="5"/>
    <n v="1585.25"/>
    <n v="0"/>
    <n v="33290.25"/>
    <x v="0"/>
    <s v="Same Day"/>
    <x v="0"/>
    <x v="1"/>
    <s v="Vinay Joshi"/>
    <s v="Central"/>
    <s v="Hyderabad"/>
    <s v="Telangana"/>
    <x v="2"/>
    <s v="714162"/>
    <s v="Diwali25"/>
    <n v="4"/>
    <s v="No"/>
    <s v="other"/>
    <s v="WH-07"/>
    <s v="Bluedart"/>
    <d v="2023-11-12T00:00:00"/>
    <x v="323"/>
    <d v="2023-12-25T00:00:00"/>
    <s v="jyoti_narayan@yahoo_com"/>
    <s v="6417569430"/>
  </r>
  <r>
    <x v="735"/>
    <s v="Arun Das"/>
    <x v="0"/>
    <s v="Macbook Air M2"/>
    <x v="13"/>
    <x v="0"/>
    <s v="Laptops"/>
    <n v="122860"/>
    <n v="2"/>
    <n v="245720"/>
    <n v="0"/>
    <x v="2"/>
    <n v="245720"/>
    <n v="18"/>
    <n v="44229.599999999999"/>
    <n v="0"/>
    <n v="289949.59999999998"/>
    <x v="3"/>
    <s v="Economy"/>
    <x v="0"/>
    <x v="4"/>
    <s v="Neha Kulkarni"/>
    <s v="West"/>
    <s v="Nagpur"/>
    <s v="Maharashtra"/>
    <x v="4"/>
    <s v="401610"/>
    <s v="None"/>
    <n v="5"/>
    <s v="No"/>
    <s v="other"/>
    <s v="WH-07"/>
    <s v="Delhivery"/>
    <d v="2023-06-12T00:00:00"/>
    <x v="268"/>
    <d v="2023-12-20T00:00:00"/>
    <s v="arun_das@rediffmail_com"/>
    <s v="68852 49919"/>
  </r>
  <r>
    <x v="736"/>
    <s v="Hussain Ali"/>
    <x v="1"/>
    <s v="Logitech Mx Master 3"/>
    <x v="41"/>
    <x v="0"/>
    <s v="Accessories"/>
    <n v="9330"/>
    <n v="1"/>
    <n v="9330"/>
    <n v="0"/>
    <x v="2"/>
    <n v="9330"/>
    <n v="18"/>
    <n v="1679.4"/>
    <n v="0"/>
    <n v="11009.4"/>
    <x v="5"/>
    <s v="Standard"/>
    <x v="0"/>
    <x v="4"/>
    <s v="Deepa Menon"/>
    <s v="South"/>
    <s v="Bengaluru"/>
    <s v="Karnataka"/>
    <x v="2"/>
    <s v="735537"/>
    <s v="Flat500"/>
    <n v="5"/>
    <s v="Yes"/>
    <s v="Late Delivery"/>
    <s v="WH-07"/>
    <s v="Bluedart"/>
    <d v="2023-04-08T00:00:00"/>
    <x v="119"/>
    <d v="2023-04-17T00:00:00"/>
    <s v="ali_hussain@yahoo_co_in"/>
    <s v="6682288542"/>
  </r>
  <r>
    <x v="737"/>
    <s v="Yeswanth Reddy"/>
    <x v="3"/>
    <s v="Voltas 1.5T Ac"/>
    <x v="19"/>
    <x v="1"/>
    <s v="Air Conditioners"/>
    <n v="40840"/>
    <n v="9"/>
    <n v="367560"/>
    <n v="0"/>
    <x v="2"/>
    <n v="367560"/>
    <n v="5"/>
    <n v="18378"/>
    <n v="0"/>
    <n v="385938"/>
    <x v="2"/>
    <s v="Standard"/>
    <x v="1"/>
    <x v="3"/>
    <s v="Vinay Joshi"/>
    <s v="Central"/>
    <s v="Kolkata"/>
    <s v="West Bengal"/>
    <x v="1"/>
    <s v="264833"/>
    <s v="Flat500"/>
    <n v="5"/>
    <s v="No"/>
    <s v="other"/>
    <s v="WH-01"/>
    <s v="Bluedart"/>
    <d v="2024-04-17T00:00:00"/>
    <x v="233"/>
    <d v="2024-05-04T00:00:00"/>
    <s v="yeswanth_reddy@yahoo_co_in"/>
    <s v=" 7536017430"/>
  </r>
  <r>
    <x v="738"/>
    <s v="Zubair Khan"/>
    <x v="0"/>
    <s v="Classmate Notebook"/>
    <x v="9"/>
    <x v="3"/>
    <s v="Books"/>
    <n v="120"/>
    <n v="2"/>
    <n v="240"/>
    <n v="15"/>
    <x v="267"/>
    <n v="204"/>
    <n v="5"/>
    <n v="10.199999999999999"/>
    <n v="99"/>
    <n v="214.2"/>
    <x v="1"/>
    <s v="Economy"/>
    <x v="0"/>
    <x v="4"/>
    <s v="Raj Kumar"/>
    <s v="North"/>
    <s v="Thiruvananthapuram"/>
    <s v="Kerala"/>
    <x v="2"/>
    <s v="275230"/>
    <s v="None"/>
    <n v="4"/>
    <s v="No"/>
    <s v="other"/>
    <s v="WH-01"/>
    <s v="Ekart"/>
    <d v="2024-03-25T00:00:00"/>
    <x v="406"/>
    <d v="2024-04-03T00:00:00"/>
    <s v="zubair_khan@gmail_com"/>
    <s v="8270254316"/>
  </r>
  <r>
    <x v="739"/>
    <s v="Anita Bhatt"/>
    <x v="0"/>
    <s v="Lg 8Kg Front Load"/>
    <x v="33"/>
    <x v="1"/>
    <s v="Washing Machines"/>
    <n v="46140"/>
    <n v="1"/>
    <n v="46140"/>
    <n v="15"/>
    <x v="515"/>
    <n v="39219"/>
    <n v="5"/>
    <n v="1960.95"/>
    <n v="0"/>
    <n v="41179.949999999997"/>
    <x v="5"/>
    <s v="Express"/>
    <x v="3"/>
    <x v="1"/>
    <s v="Ritu Singh"/>
    <s v="Central"/>
    <s v="Rajkot"/>
    <s v="Gujarat"/>
    <x v="4"/>
    <s v="654520"/>
    <s v="Summer15"/>
    <n v="4"/>
    <s v="No"/>
    <s v="other"/>
    <s v="WH-06"/>
    <s v="Bluedart"/>
    <d v="2023-12-26T00:00:00"/>
    <x v="407"/>
    <d v="2023-12-31T00:00:00"/>
    <s v="anita_bhatt@outlook_com"/>
    <s v="7053242169"/>
  </r>
  <r>
    <x v="740"/>
    <s v="Mitesh Gandhi"/>
    <x v="3"/>
    <s v="Titan Raga"/>
    <x v="26"/>
    <x v="2"/>
    <s v="Accessories"/>
    <n v="8860"/>
    <n v="2"/>
    <n v="17720"/>
    <n v="5"/>
    <x v="516"/>
    <n v="16834"/>
    <n v="12"/>
    <n v="2020.08"/>
    <n v="0"/>
    <n v="18854.080000000002"/>
    <x v="2"/>
    <s v="Same Day"/>
    <x v="0"/>
    <x v="3"/>
    <s v="Pooja Nair"/>
    <s v="South"/>
    <s v="Jabalpur"/>
    <s v="Madhya Pradesh"/>
    <x v="3"/>
    <s v="175965"/>
    <s v="None"/>
    <n v="4"/>
    <s v="Yes"/>
    <s v="other"/>
    <s v="WH-10"/>
    <s v="Amazon Logistics"/>
    <d v="2024-01-30T00:00:00"/>
    <x v="146"/>
    <d v="2023-12-31T00:00:00"/>
    <s v="mitesh_gandhi@gmail_com"/>
    <s v="6412359989"/>
  </r>
  <r>
    <x v="741"/>
    <s v="Rajeev Pawar"/>
    <x v="0"/>
    <s v="Jbl Flip 6"/>
    <x v="27"/>
    <x v="0"/>
    <s v="Audio"/>
    <n v="10490"/>
    <n v="6"/>
    <n v="62940"/>
    <n v="5"/>
    <x v="517"/>
    <n v="59793"/>
    <n v="18"/>
    <n v="10762.74"/>
    <n v="0"/>
    <n v="70555.740000000005"/>
    <x v="1"/>
    <s v="Standard"/>
    <x v="1"/>
    <x v="0"/>
    <s v="Vinay Joshi"/>
    <s v="Central"/>
    <s v="Delhi"/>
    <s v="Delhi"/>
    <x v="0"/>
    <s v="373267"/>
    <s v="None"/>
    <n v="3"/>
    <s v="No"/>
    <s v="other"/>
    <s v="WH-05"/>
    <s v="Dtdc"/>
    <d v="2023-06-26T00:00:00"/>
    <x v="390"/>
    <d v="2023-07-05T00:00:00"/>
    <s v="rajeev_pawar@hotmail_com"/>
    <s v="9653222470"/>
  </r>
  <r>
    <x v="742"/>
    <s v="Lalita Shah"/>
    <x v="0"/>
    <s v="Lg 43-Inch 4K Tv"/>
    <x v="33"/>
    <x v="0"/>
    <s v="Televisions"/>
    <n v="44360"/>
    <n v="1"/>
    <n v="44360"/>
    <n v="5"/>
    <x v="518"/>
    <n v="42142"/>
    <n v="18"/>
    <n v="7585.56"/>
    <n v="0"/>
    <n v="49727.56"/>
    <x v="6"/>
    <s v="Overnight"/>
    <x v="0"/>
    <x v="1"/>
    <s v="Deepa Menon"/>
    <s v="South"/>
    <s v="Warangal"/>
    <s v="Telangana"/>
    <x v="2"/>
    <s v="253757"/>
    <s v="Diwali25"/>
    <n v="5"/>
    <s v="No"/>
    <s v="other"/>
    <s v="WH-02"/>
    <s v="Delhivery"/>
    <d v="2023-04-23T00:00:00"/>
    <x v="408"/>
    <d v="2023-05-02T00:00:00"/>
    <s v="lshah@yahoo_com"/>
    <s v="6508105635"/>
  </r>
  <r>
    <x v="743"/>
    <s v="Nidhi Joshi"/>
    <x v="2"/>
    <s v="Milton Water Purifier"/>
    <x v="22"/>
    <x v="1"/>
    <s v="Kitchen"/>
    <n v="10360"/>
    <n v="4"/>
    <n v="41440"/>
    <n v="10"/>
    <x v="519"/>
    <n v="37296"/>
    <n v="5"/>
    <n v="1864.8"/>
    <n v="0"/>
    <n v="39160.800000000003"/>
    <x v="5"/>
    <s v="Express"/>
    <x v="3"/>
    <x v="1"/>
    <s v="Neha Kulkarni"/>
    <s v="West"/>
    <s v="Raipur"/>
    <s v="Chhattisgarh"/>
    <x v="3"/>
    <s v="133803"/>
    <s v="None"/>
    <n v="5"/>
    <s v="No"/>
    <s v="other"/>
    <s v="WH-10"/>
    <s v="Dtdc"/>
    <d v="2023-05-28T00:00:00"/>
    <x v="80"/>
    <d v="2023-06-05T00:00:00"/>
    <s v="njoshi@yahoo_co_in"/>
    <s v="6609203314"/>
  </r>
  <r>
    <x v="744"/>
    <s v="Prakash Dubey"/>
    <x v="1"/>
    <s v="Van Heusen Shirt"/>
    <x v="42"/>
    <x v="2"/>
    <s v="Clothing"/>
    <n v="1610"/>
    <n v="2"/>
    <n v="3220"/>
    <n v="0"/>
    <x v="2"/>
    <n v="3220"/>
    <n v="12"/>
    <n v="386.4"/>
    <n v="99"/>
    <n v="3606.4"/>
    <x v="0"/>
    <s v="Express"/>
    <x v="0"/>
    <x v="4"/>
    <s v="Pooja Nair"/>
    <s v="South"/>
    <s v="Bhubaneswar"/>
    <s v="Odisha"/>
    <x v="1"/>
    <s v="402819"/>
    <s v="Save10"/>
    <n v="4"/>
    <s v="No"/>
    <s v="other"/>
    <s v="WH-11"/>
    <s v="Dtdc"/>
    <d v="2024-02-10T00:00:00"/>
    <x v="76"/>
    <d v="2024-02-16T00:00:00"/>
    <s v="prakash_dubey@rediffmail_com"/>
    <s v="6613955745"/>
  </r>
  <r>
    <x v="745"/>
    <s v="Jayalakshmi Kumar"/>
    <x v="0"/>
    <s v="Van Heusen Shirt"/>
    <x v="42"/>
    <x v="2"/>
    <s v="Clothing"/>
    <n v="1630"/>
    <n v="2"/>
    <n v="3260"/>
    <n v="0"/>
    <x v="2"/>
    <n v="3260"/>
    <n v="12"/>
    <n v="391.2"/>
    <n v="149"/>
    <n v="3651.2"/>
    <x v="5"/>
    <s v="Economy"/>
    <x v="2"/>
    <x v="4"/>
    <s v="Ankit Sharma"/>
    <s v="North"/>
    <s v="Faridabad"/>
    <s v="Haryana"/>
    <x v="0"/>
    <s v="410170"/>
    <s v="Summer15"/>
    <n v="4"/>
    <s v="No"/>
    <s v="other"/>
    <s v="WH-04"/>
    <s v="Ekart"/>
    <d v="2023-06-26T00:00:00"/>
    <x v="409"/>
    <d v="2023-07-05T00:00:00"/>
    <s v="jayalakshmi_kumar@gmail_com"/>
    <s v="995578022"/>
  </r>
  <r>
    <x v="746"/>
    <s v="Tarun Bansal"/>
    <x v="0"/>
    <s v="Classmate Notebook"/>
    <x v="9"/>
    <x v="3"/>
    <s v="Books"/>
    <n v="120"/>
    <n v="1"/>
    <n v="120"/>
    <n v="15"/>
    <x v="394"/>
    <n v="102"/>
    <n v="5"/>
    <n v="5.0999999999999996"/>
    <n v="149"/>
    <n v="107.1"/>
    <x v="1"/>
    <s v="Economy"/>
    <x v="3"/>
    <x v="2"/>
    <s v="Ankit Sharma"/>
    <s v="North"/>
    <s v="Udaipur"/>
    <s v="Rajasthan"/>
    <x v="0"/>
    <s v="406225"/>
    <s v="None"/>
    <n v="4"/>
    <s v="No"/>
    <s v="other"/>
    <s v="WH-06"/>
    <s v="Delhivery"/>
    <d v="2023-03-16T00:00:00"/>
    <x v="5"/>
    <d v="2023-03-22T00:00:00"/>
    <s v="tarunb@outlook_com"/>
    <s v="6104083843"/>
  </r>
  <r>
    <x v="747"/>
    <s v="Gurpreet Kaur"/>
    <x v="3"/>
    <s v="Puma Softride"/>
    <x v="31"/>
    <x v="2"/>
    <s v="Footwear"/>
    <n v="4870"/>
    <n v="2"/>
    <n v="9740"/>
    <n v="0"/>
    <x v="2"/>
    <n v="9740"/>
    <n v="12"/>
    <n v="1168.8"/>
    <n v="0"/>
    <n v="10908.8"/>
    <x v="4"/>
    <s v="Overnight"/>
    <x v="0"/>
    <x v="0"/>
    <s v="Ritu Singh"/>
    <s v="Central"/>
    <s v="Kochi"/>
    <s v="Kerala"/>
    <x v="2"/>
    <s v="511939"/>
    <s v="Diwali25"/>
    <n v="4"/>
    <s v="No"/>
    <s v="other"/>
    <s v="WH-12"/>
    <s v="Ekart"/>
    <d v="2023-07-05T00:00:00"/>
    <x v="31"/>
    <d v="2023-07-18T00:00:00"/>
    <s v="gurpreet_kaur@outlook_com"/>
    <s v="7968788420"/>
  </r>
  <r>
    <x v="748"/>
    <s v="Janaki Ramanathan"/>
    <x v="0"/>
    <s v="Realme Gt 5"/>
    <x v="25"/>
    <x v="0"/>
    <s v="Mobile Phones"/>
    <n v="28910"/>
    <n v="4"/>
    <n v="115640"/>
    <n v="5"/>
    <x v="520"/>
    <n v="109858"/>
    <n v="18"/>
    <n v="19774.439999999999"/>
    <n v="0"/>
    <n v="129632.44"/>
    <x v="5"/>
    <s v="Economy"/>
    <x v="4"/>
    <x v="2"/>
    <s v="Arjun Das"/>
    <s v="East"/>
    <s v="Agra"/>
    <s v="Uttar Pradesh"/>
    <x v="0"/>
    <s v="254326"/>
    <s v="None"/>
    <n v="4"/>
    <s v="Yes"/>
    <s v="Late Delivery"/>
    <s v="WH-09"/>
    <s v="Amazon Logistics"/>
    <d v="2023-11-14T00:00:00"/>
    <x v="229"/>
    <d v="2023-11-21T00:00:00"/>
    <s v="janakir@gmail_com"/>
    <s v="9395945921"/>
  </r>
  <r>
    <x v="749"/>
    <s v="Anand Swaminathan"/>
    <x v="3"/>
    <s v="Godrej Interio Desk"/>
    <x v="14"/>
    <x v="4"/>
    <s v="Desks"/>
    <n v="18380"/>
    <n v="3"/>
    <n v="55140"/>
    <n v="15"/>
    <x v="521"/>
    <n v="46869"/>
    <n v="5"/>
    <n v="2343.4499999999998"/>
    <n v="0"/>
    <n v="49212.45"/>
    <x v="2"/>
    <s v="Standard"/>
    <x v="2"/>
    <x v="0"/>
    <s v="Pooja Nair"/>
    <s v="South"/>
    <s v="Thrissur"/>
    <s v="Kerala"/>
    <x v="2"/>
    <s v="388050"/>
    <s v="None"/>
    <n v="4"/>
    <s v="No"/>
    <s v="other"/>
    <s v="WH-06"/>
    <s v="Dtdc"/>
    <d v="2024-04-20T00:00:00"/>
    <x v="301"/>
    <d v="2024-04-28T00:00:00"/>
    <s v="anand_swaminathan@gmail_com"/>
    <s v="7251575951"/>
  </r>
  <r>
    <x v="750"/>
    <s v="Kannappan Ponnusamy"/>
    <x v="1"/>
    <s v="Epson L3250"/>
    <x v="39"/>
    <x v="0"/>
    <s v="Printers"/>
    <n v="15480"/>
    <n v="1"/>
    <n v="15480"/>
    <n v="10"/>
    <x v="522"/>
    <n v="13932"/>
    <n v="18"/>
    <n v="2507.7600000000002"/>
    <n v="0"/>
    <n v="16439.760000000002"/>
    <x v="3"/>
    <s v="Standard"/>
    <x v="3"/>
    <x v="2"/>
    <s v="Aman Bhatia"/>
    <s v="West"/>
    <s v="Bhopal"/>
    <s v="Madhya Pradesh"/>
    <x v="3"/>
    <s v="788488"/>
    <s v="Festive20"/>
    <n v="4"/>
    <s v="No"/>
    <s v="other"/>
    <s v="WH-10"/>
    <s v="Delhivery"/>
    <d v="2024-02-08T00:00:00"/>
    <x v="375"/>
    <d v="2024-02-19T00:00:00"/>
    <s v="kannappanp@gmail_com"/>
    <s v="8536757777"/>
  </r>
  <r>
    <x v="472"/>
    <s v="Nisha Jain"/>
    <x v="1"/>
    <s v="Durian Sofa 3-Seat"/>
    <x v="24"/>
    <x v="4"/>
    <s v="Sofas"/>
    <n v="42010"/>
    <n v="5"/>
    <n v="210050"/>
    <n v="10"/>
    <x v="523"/>
    <n v="189045"/>
    <n v="5"/>
    <n v="9452.25"/>
    <n v="0"/>
    <n v="198497.25"/>
    <x v="2"/>
    <s v="Economy"/>
    <x v="1"/>
    <x v="3"/>
    <s v="Pooja Nair"/>
    <s v="South"/>
    <s v="Surat"/>
    <s v="Gujarat"/>
    <x v="4"/>
    <s v="577130"/>
    <s v="None"/>
    <n v="3"/>
    <s v="No"/>
    <s v="other"/>
    <s v="WH-07"/>
    <s v="Bluedart"/>
    <d v="2023-07-06T00:00:00"/>
    <x v="149"/>
    <d v="2023-07-23T00:00:00"/>
    <s v="nishaj@gmail_com"/>
    <s v="8712435668"/>
  </r>
  <r>
    <x v="751"/>
    <s v="Chandni Gupta"/>
    <x v="0"/>
    <s v="Hp Pavilion 15"/>
    <x v="0"/>
    <x v="0"/>
    <s v="Laptops"/>
    <n v="59990"/>
    <n v="4"/>
    <n v="239960"/>
    <n v="5"/>
    <x v="524"/>
    <n v="227962"/>
    <n v="18"/>
    <n v="41033.160000000003"/>
    <n v="0"/>
    <n v="268995.16000000003"/>
    <x v="1"/>
    <s v="Economy"/>
    <x v="0"/>
    <x v="1"/>
    <s v="Anjali Mehta"/>
    <s v="South"/>
    <s v="Indore"/>
    <s v="Madhya Pradesh"/>
    <x v="3"/>
    <s v="233859"/>
    <s v="Summer15"/>
    <n v="4"/>
    <s v="No"/>
    <s v="other"/>
    <s v="WH-01"/>
    <s v="Bluedart"/>
    <d v="2024-05-26T00:00:00"/>
    <x v="97"/>
    <d v="2024-06-07T00:00:00"/>
    <s v="chandnig@gmail_com"/>
    <s v="9627564439"/>
  </r>
  <r>
    <x v="752"/>
    <s v="Zubair Khan"/>
    <x v="2"/>
    <s v="Parker Pen Set"/>
    <x v="36"/>
    <x v="3"/>
    <s v="Writing"/>
    <n v="870"/>
    <n v="1"/>
    <n v="870"/>
    <n v="15"/>
    <x v="525"/>
    <n v="739.5"/>
    <n v="5"/>
    <n v="36.979999999999997"/>
    <n v="79"/>
    <n v="776.48"/>
    <x v="1"/>
    <s v="Economy"/>
    <x v="3"/>
    <x v="4"/>
    <s v="Anjali Mehta"/>
    <s v="South"/>
    <s v="Jamshedpur"/>
    <s v="Jharkhand"/>
    <x v="1"/>
    <m/>
    <s v="None"/>
    <n v="3"/>
    <s v="No"/>
    <s v="other"/>
    <s v="WH-11"/>
    <s v="Delhivery"/>
    <d v="2023-11-04T00:00:00"/>
    <x v="410"/>
    <d v="2023-11-21T00:00:00"/>
    <s v="zkhan@gmail_com"/>
    <s v="9677705548"/>
  </r>
  <r>
    <x v="753"/>
    <s v="Saraswathi Rao"/>
    <x v="1"/>
    <s v="Lenovo Thinkpad E14"/>
    <x v="4"/>
    <x v="0"/>
    <s v="Laptops"/>
    <n v="53540"/>
    <n v="1"/>
    <n v="53540"/>
    <n v="0"/>
    <x v="2"/>
    <n v="53540"/>
    <n v="18"/>
    <n v="9637.2000000000007"/>
    <n v="0"/>
    <n v="63177.2"/>
    <x v="6"/>
    <s v="Overnight"/>
    <x v="0"/>
    <x v="3"/>
    <s v="Priya Sinha"/>
    <s v="West"/>
    <s v="Jaipur"/>
    <s v="Rajasthan"/>
    <x v="0"/>
    <s v="268714"/>
    <s v="Festive20"/>
    <n v="3"/>
    <s v="No"/>
    <s v="other"/>
    <s v="WH-09"/>
    <s v="Ekart"/>
    <d v="2024-02-05T00:00:00"/>
    <x v="164"/>
    <d v="2024-02-15T00:00:00"/>
    <s v="saraswathir@gmail_com"/>
    <s v="8195617655"/>
  </r>
  <r>
    <x v="754"/>
    <s v="Jayalakshmi Kumar"/>
    <x v="0"/>
    <s v="Nike Air Max 270"/>
    <x v="21"/>
    <x v="2"/>
    <s v="Footwear"/>
    <n v="11530"/>
    <n v="1"/>
    <n v="11530"/>
    <n v="10"/>
    <x v="526"/>
    <n v="10377"/>
    <n v="12"/>
    <n v="1245.24"/>
    <n v="0"/>
    <n v="11622.24"/>
    <x v="5"/>
    <s v="Express"/>
    <x v="0"/>
    <x v="2"/>
    <s v="Ankit Sharma"/>
    <s v="North"/>
    <s v="Howrah"/>
    <s v="West Bengal"/>
    <x v="1"/>
    <s v="121050"/>
    <s v="None"/>
    <n v="4"/>
    <s v="No"/>
    <s v="other"/>
    <s v="WH-09"/>
    <s v="Amazon Logistics"/>
    <d v="2024-05-24T00:00:00"/>
    <x v="411"/>
    <d v="2024-06-01T00:00:00"/>
    <s v="jayalakshmi_kumar@gmail_com"/>
    <s v="9310185088"/>
  </r>
  <r>
    <x v="755"/>
    <s v="Harpreet Singh"/>
    <x v="0"/>
    <s v="Logitech Mx Master 3"/>
    <x v="41"/>
    <x v="0"/>
    <s v="Accessories"/>
    <n v="9330"/>
    <n v="5"/>
    <n v="46650"/>
    <n v="25"/>
    <x v="527"/>
    <n v="34987.5"/>
    <n v="18"/>
    <n v="6297.75"/>
    <n v="0"/>
    <n v="41285.25"/>
    <x v="4"/>
    <s v="Economy"/>
    <x v="0"/>
    <x v="3"/>
    <s v="Karim Sheikh"/>
    <s v="North"/>
    <s v="Bengaluru"/>
    <s v="Karnataka"/>
    <x v="2"/>
    <s v="119095"/>
    <s v="None"/>
    <n v="4"/>
    <s v="No"/>
    <s v="other"/>
    <s v="WH-11"/>
    <s v="Delhivery"/>
    <d v="2024-03-21T00:00:00"/>
    <x v="310"/>
    <d v="2024-03-27T00:00:00"/>
    <s v="singh_harpreet@gmail_com"/>
    <s v="9379226281"/>
  </r>
  <r>
    <x v="756"/>
    <s v="Foram Trivedi"/>
    <x v="0"/>
    <s v="Samsung Galaxy S24"/>
    <x v="2"/>
    <x v="0"/>
    <s v="Mobile Phones"/>
    <n v="74840"/>
    <n v="9"/>
    <n v="673560"/>
    <n v="0"/>
    <x v="2"/>
    <n v="673560"/>
    <n v="18"/>
    <n v="121240.8"/>
    <n v="0"/>
    <n v="794800.8"/>
    <x v="5"/>
    <s v="Standard"/>
    <x v="5"/>
    <x v="0"/>
    <s v="Karim Sheikh"/>
    <s v="North"/>
    <s v="Gaya"/>
    <s v="Bihar"/>
    <x v="1"/>
    <s v="385193"/>
    <s v="None"/>
    <n v="4"/>
    <s v="No"/>
    <s v="other"/>
    <s v="WH-12"/>
    <s v="Dtdc"/>
    <d v="2024-03-13T00:00:00"/>
    <x v="412"/>
    <d v="2024-03-18T00:00:00"/>
    <s v="foram_trivedi@gmail_com"/>
    <s v="6665397885"/>
  </r>
  <r>
    <x v="757"/>
    <s v="Sangita Ghosh"/>
    <x v="0"/>
    <s v="Wildcraft Backpack"/>
    <x v="28"/>
    <x v="2"/>
    <s v="Bags"/>
    <n v="1910"/>
    <n v="2"/>
    <n v="3820"/>
    <n v="10"/>
    <x v="528"/>
    <n v="3438"/>
    <n v="12"/>
    <n v="412.56"/>
    <n v="49"/>
    <n v="3850.56"/>
    <x v="6"/>
    <s v="Same Day"/>
    <x v="0"/>
    <x v="0"/>
    <s v="Priya Sinha"/>
    <s v="West"/>
    <s v="Chennai"/>
    <s v="Tamil Nadu"/>
    <x v="2"/>
    <s v="704832"/>
    <s v="None"/>
    <n v="3"/>
    <s v="No"/>
    <s v="other"/>
    <s v="WH-04"/>
    <s v="Delhivery"/>
    <d v="2023-12-14T00:00:00"/>
    <x v="351"/>
    <d v="2023-12-24T00:00:00"/>
    <s v="ghosh_sangita@gmail_com"/>
    <s v="9755798322"/>
  </r>
  <r>
    <x v="758"/>
    <s v="Zubair Khan"/>
    <x v="0"/>
    <s v="Puma Softride"/>
    <x v="31"/>
    <x v="2"/>
    <s v="Footwear"/>
    <n v="4640"/>
    <n v="7"/>
    <n v="32480"/>
    <n v="25"/>
    <x v="529"/>
    <n v="24360"/>
    <n v="12"/>
    <n v="2923.2"/>
    <n v="0"/>
    <n v="27283.200000000001"/>
    <x v="0"/>
    <s v="Express"/>
    <x v="0"/>
    <x v="3"/>
    <s v="Priya Sinha"/>
    <s v="West"/>
    <s v="Noida"/>
    <s v="Uttar Pradesh"/>
    <x v="0"/>
    <s v="726552"/>
    <s v="Flat500"/>
    <n v="5"/>
    <s v="No"/>
    <s v="other"/>
    <s v="WH-08"/>
    <s v="Delhivery"/>
    <d v="2023-07-12T00:00:00"/>
    <x v="174"/>
    <d v="2023-07-22T00:00:00"/>
    <s v="khan_zubair@gmail_com"/>
    <s v="6282196087"/>
  </r>
  <r>
    <x v="759"/>
    <s v="Sangita Ghosh"/>
    <x v="0"/>
    <s v="Milton Water Purifier"/>
    <x v="22"/>
    <x v="1"/>
    <s v="Kitchen"/>
    <n v="10000"/>
    <n v="20"/>
    <n v="200000"/>
    <n v="5"/>
    <x v="530"/>
    <n v="190000"/>
    <n v="5"/>
    <n v="9500"/>
    <n v="0"/>
    <n v="199500"/>
    <x v="2"/>
    <s v="Standard"/>
    <x v="0"/>
    <x v="3"/>
    <s v="Sneha Reddy"/>
    <s v="South"/>
    <s v="Hyderabad"/>
    <s v="Telangana"/>
    <x v="2"/>
    <s v="573787"/>
    <s v="Newuser"/>
    <n v="5"/>
    <s v="No"/>
    <s v="other"/>
    <s v="WH-11"/>
    <s v="Bluedart"/>
    <d v="2023-01-28T00:00:00"/>
    <x v="65"/>
    <d v="2023-02-11T00:00:00"/>
    <s v="sangita_ghosh@gmail_com"/>
    <s v="8793226527"/>
  </r>
  <r>
    <x v="760"/>
    <s v="Venkatesan Rajan"/>
    <x v="0"/>
    <s v="Adidas Ultraboost 22"/>
    <x v="18"/>
    <x v="2"/>
    <s v="Footwear"/>
    <n v="14470"/>
    <n v="2"/>
    <n v="28940"/>
    <n v="15"/>
    <x v="531"/>
    <n v="24599"/>
    <n v="12"/>
    <n v="2951.88"/>
    <n v="0"/>
    <n v="27550.880000000001"/>
    <x v="4"/>
    <s v="Standard"/>
    <x v="1"/>
    <x v="3"/>
    <s v="Anjali Mehta"/>
    <s v="South"/>
    <s v="Ahmedabad"/>
    <s v="Gujarat"/>
    <x v="4"/>
    <s v="345295"/>
    <s v="Flat500"/>
    <n v="4"/>
    <s v="No"/>
    <s v="other"/>
    <s v="WH-09"/>
    <s v="Ekart"/>
    <d v="2024-06-02T00:00:00"/>
    <x v="150"/>
    <d v="2024-06-18T00:00:00"/>
    <s v="vrajangmail_com"/>
    <s v=" 8051306967"/>
  </r>
  <r>
    <x v="761"/>
    <s v="Bhavani Shankar"/>
    <x v="0"/>
    <s v="Samsung 65-Inch Qled"/>
    <x v="2"/>
    <x v="0"/>
    <s v="Televisions"/>
    <n v="100870"/>
    <n v="1"/>
    <n v="100870"/>
    <n v="10"/>
    <x v="532"/>
    <n v="90783"/>
    <n v="18"/>
    <n v="16340.94"/>
    <n v="0"/>
    <n v="107123.94"/>
    <x v="4"/>
    <s v="Overnight"/>
    <x v="1"/>
    <x v="3"/>
    <s v="Raj Kumar"/>
    <s v="North"/>
    <s v="Hubballi"/>
    <s v="Karnataka"/>
    <x v="2"/>
    <s v="779835"/>
    <s v="None"/>
    <n v="4"/>
    <s v="No"/>
    <s v="other"/>
    <s v="WH-08"/>
    <s v="Bluedart"/>
    <d v="2023-08-17T00:00:00"/>
    <x v="324"/>
    <d v="2023-08-24T00:00:00"/>
    <s v="shankar_bhavani@yahoo_com"/>
    <s v="6723866560"/>
  </r>
  <r>
    <x v="762"/>
    <s v="Archana Srivastava"/>
    <x v="0"/>
    <s v="Oneplus 12"/>
    <x v="32"/>
    <x v="0"/>
    <s v="Mobile Phones"/>
    <n v="65420"/>
    <n v="1"/>
    <n v="65420"/>
    <n v="5"/>
    <x v="533"/>
    <n v="62149"/>
    <n v="18"/>
    <n v="11186.82"/>
    <n v="0"/>
    <n v="73335.820000000007"/>
    <x v="5"/>
    <s v="Express"/>
    <x v="0"/>
    <x v="4"/>
    <s v="Arjun Das"/>
    <s v="East"/>
    <s v="Kanpur"/>
    <s v="Uttar Pradesh"/>
    <x v="0"/>
    <m/>
    <s v="Diwali25"/>
    <n v="4"/>
    <s v="No"/>
    <s v="other"/>
    <s v="WH-05"/>
    <s v="Bluedart"/>
    <d v="2024-06-29T00:00:00"/>
    <x v="260"/>
    <d v="2024-07-15T00:00:00"/>
    <s v="archanas@gmail_com"/>
    <s v="9041507493"/>
  </r>
  <r>
    <x v="763"/>
    <s v="Dinesh Thakur"/>
    <x v="3"/>
    <s v="Oneplus 12"/>
    <x v="32"/>
    <x v="0"/>
    <s v="Mobile Phones"/>
    <n v="65730"/>
    <n v="6"/>
    <n v="394380"/>
    <n v="10"/>
    <x v="534"/>
    <n v="354942"/>
    <n v="18"/>
    <n v="63889.56"/>
    <n v="0"/>
    <n v="418831.56"/>
    <x v="5"/>
    <s v="Same Day"/>
    <x v="4"/>
    <x v="0"/>
    <s v="Deepa Menon"/>
    <s v="South"/>
    <s v="Jamshedpur"/>
    <s v="Jharkhand"/>
    <x v="1"/>
    <s v="302915"/>
    <s v="Newuser"/>
    <n v="4"/>
    <s v="Yes"/>
    <s v="other"/>
    <s v="WH-07"/>
    <s v="Ekart"/>
    <d v="2023-05-22T00:00:00"/>
    <x v="256"/>
    <d v="2023-06-02T00:00:00"/>
    <s v="thakur_dinesh@gmail_com"/>
    <s v="7638364722"/>
  </r>
  <r>
    <x v="764"/>
    <s v="Meena Iyer"/>
    <x v="0"/>
    <s v="Camlin Art Kit"/>
    <x v="34"/>
    <x v="3"/>
    <s v="Art Supplies"/>
    <n v="630"/>
    <n v="4"/>
    <n v="2520"/>
    <n v="15"/>
    <x v="535"/>
    <n v="2142"/>
    <n v="5"/>
    <n v="107.1"/>
    <n v="149"/>
    <n v="2249.1"/>
    <x v="0"/>
    <s v="Same Day"/>
    <x v="0"/>
    <x v="1"/>
    <s v="Neha Kulkarni"/>
    <s v="West"/>
    <s v="Nagpur"/>
    <s v="Maharashtra"/>
    <x v="4"/>
    <s v="538715"/>
    <s v="Newuser"/>
    <n v="4"/>
    <s v="No"/>
    <s v="other"/>
    <s v="WH-03"/>
    <s v="Bluedart"/>
    <d v="2024-01-01T00:00:00"/>
    <x v="331"/>
    <d v="2024-01-13T00:00:00"/>
    <s v="meena_iyer@gmail_com"/>
    <s v="8098166881"/>
  </r>
  <r>
    <x v="765"/>
    <s v="Foram Trivedi"/>
    <x v="0"/>
    <s v="Lenovo Thinkpad E14"/>
    <x v="4"/>
    <x v="0"/>
    <s v="Laptops"/>
    <n v="61410"/>
    <n v="1"/>
    <n v="61410"/>
    <n v="15"/>
    <x v="536"/>
    <n v="52198.5"/>
    <n v="18"/>
    <n v="9395.73"/>
    <n v="0"/>
    <n v="61594.229999999996"/>
    <x v="6"/>
    <s v="Same Day"/>
    <x v="4"/>
    <x v="2"/>
    <s v="Karim Sheikh"/>
    <s v="North"/>
    <s v="Ghaziabad"/>
    <s v="Uttar Pradesh"/>
    <x v="0"/>
    <s v="385244"/>
    <s v="None"/>
    <n v="4"/>
    <s v="Yes"/>
    <s v="other"/>
    <s v="WH-03"/>
    <s v="Bluedart"/>
    <d v="2024-02-17T00:00:00"/>
    <x v="353"/>
    <d v="2024-01-13T00:00:00"/>
    <s v="trivedi_foram@gmail_com"/>
    <s v="67173 31571"/>
  </r>
  <r>
    <x v="766"/>
    <s v="Muthukrishnan Arunachalam"/>
    <x v="0"/>
    <s v="Van Heusen Shirt"/>
    <x v="42"/>
    <x v="2"/>
    <s v="Clothing"/>
    <n v="1720"/>
    <n v="1"/>
    <n v="1720"/>
    <n v="0"/>
    <x v="2"/>
    <n v="1720"/>
    <n v="12"/>
    <n v="206.4"/>
    <n v="49"/>
    <n v="1926.4"/>
    <x v="1"/>
    <s v="Economy"/>
    <x v="3"/>
    <x v="0"/>
    <s v="Pooja Nair"/>
    <s v="South"/>
    <s v="Indore"/>
    <s v="Madhya Pradesh"/>
    <x v="3"/>
    <s v="480380"/>
    <s v="Save10"/>
    <n v="1"/>
    <s v="No"/>
    <s v="other"/>
    <s v="WH-02"/>
    <s v="Dtdc"/>
    <d v="2023-05-27T00:00:00"/>
    <x v="413"/>
    <d v="2023-06-09T00:00:00"/>
    <s v="muthukrishnana@gmail_com"/>
    <s v="7652427607"/>
  </r>
  <r>
    <x v="767"/>
    <s v="Venugopal Krishnan"/>
    <x v="1"/>
    <s v="Sony Bravia 55-Inch"/>
    <x v="1"/>
    <x v="0"/>
    <s v="Televisions"/>
    <n v="73600"/>
    <n v="2"/>
    <n v="147200"/>
    <n v="0"/>
    <x v="2"/>
    <n v="147200"/>
    <n v="18"/>
    <n v="26496"/>
    <n v="0"/>
    <n v="173696"/>
    <x v="3"/>
    <s v="Express"/>
    <x v="1"/>
    <x v="3"/>
    <s v="Suraj Verma"/>
    <s v="East"/>
    <s v="Gurugram"/>
    <s v="Haryana"/>
    <x v="0"/>
    <s v="272164"/>
    <s v="Summer15"/>
    <n v="5"/>
    <s v="No"/>
    <s v="other"/>
    <s v="WH-03"/>
    <s v="Bluedart"/>
    <d v="2024-06-30T00:00:00"/>
    <x v="276"/>
    <d v="2024-06-07T00:00:00"/>
    <s v="vkrishnan@gmail_com"/>
    <s v="8207271263"/>
  </r>
  <r>
    <x v="768"/>
    <s v="Archana Srivastava"/>
    <x v="3"/>
    <s v="Milton Water Purifier"/>
    <x v="22"/>
    <x v="1"/>
    <s v="Kitchen"/>
    <n v="10550"/>
    <n v="3"/>
    <n v="31650"/>
    <n v="15"/>
    <x v="537"/>
    <n v="26902.5"/>
    <n v="5"/>
    <n v="1345.12"/>
    <n v="0"/>
    <n v="28247.62"/>
    <x v="5"/>
    <s v="Economy"/>
    <x v="0"/>
    <x v="3"/>
    <s v="Arjun Das"/>
    <s v="East"/>
    <s v="Gaya"/>
    <s v="Bihar"/>
    <x v="1"/>
    <s v="582053"/>
    <s v="None"/>
    <n v="4"/>
    <s v="Yes"/>
    <s v="other"/>
    <s v="WH-04"/>
    <s v="Bluedart"/>
    <d v="2024-02-06T00:00:00"/>
    <x v="414"/>
    <d v="2024-06-19T00:00:00"/>
    <s v="archana_srivastava@gmail_com"/>
    <s v="6266849053"/>
  </r>
  <r>
    <x v="769"/>
    <s v="Parvati Devi"/>
    <x v="0"/>
    <s v="Fastrack Watch"/>
    <x v="6"/>
    <x v="2"/>
    <s v="Accessories"/>
    <n v="2650"/>
    <n v="4"/>
    <n v="10600"/>
    <n v="0"/>
    <x v="2"/>
    <n v="10600"/>
    <n v="12"/>
    <n v="1272"/>
    <n v="0"/>
    <n v="11872"/>
    <x v="5"/>
    <s v="Economy"/>
    <x v="0"/>
    <x v="3"/>
    <s v="Suraj Verma"/>
    <s v="South"/>
    <s v="Jodhpur"/>
    <s v="Rajasthan"/>
    <x v="0"/>
    <s v="508518"/>
    <s v="None"/>
    <n v="5"/>
    <s v="No"/>
    <s v="other"/>
    <s v="WH-05"/>
    <s v="Bluedart"/>
    <d v="2023-07-24T00:00:00"/>
    <x v="292"/>
    <d v="2023-08-01T00:00:00"/>
    <s v="parvatid@gmail_com"/>
    <s v="9531154397"/>
  </r>
  <r>
    <x v="770"/>
    <s v="Lalitha Devi"/>
    <x v="2"/>
    <s v="Boat Rockerz 450"/>
    <x v="8"/>
    <x v="0"/>
    <s v="Audio"/>
    <n v="1460"/>
    <n v="8"/>
    <n v="11680"/>
    <n v="10"/>
    <x v="538"/>
    <n v="10512"/>
    <n v="18"/>
    <n v="1892.16"/>
    <n v="0"/>
    <n v="12404.16"/>
    <x v="1"/>
    <s v="Express"/>
    <x v="1"/>
    <x v="2"/>
    <s v="Neha Kulkarni"/>
    <s v="West"/>
    <s v="Agra"/>
    <s v="Uttar Pradesh"/>
    <x v="0"/>
    <s v="207458"/>
    <s v="None"/>
    <n v="4"/>
    <s v="No"/>
    <s v="other"/>
    <s v="WH-09"/>
    <s v="Amazon Logistics"/>
    <d v="2024-05-21T00:00:00"/>
    <x v="415"/>
    <d v="2024-05-30T00:00:00"/>
    <s v="devi_lalitha@gmail_com"/>
    <s v="95799 70629"/>
  </r>
  <r>
    <x v="771"/>
    <s v="Sushma Yadav"/>
    <x v="0"/>
    <s v="Realme Gt 5"/>
    <x v="25"/>
    <x v="0"/>
    <s v="Mobile Phones"/>
    <n v="26630"/>
    <n v="3"/>
    <n v="79890"/>
    <n v="0"/>
    <x v="2"/>
    <n v="79890"/>
    <n v="18"/>
    <n v="14380.2"/>
    <n v="0"/>
    <n v="94270.2"/>
    <x v="0"/>
    <s v="Standard"/>
    <x v="4"/>
    <x v="1"/>
    <s v="Pooja Nair"/>
    <s v="South"/>
    <s v="Howrah"/>
    <s v="West Bengal"/>
    <x v="1"/>
    <s v="293138"/>
    <s v="Diwali25"/>
    <n v="5"/>
    <s v="Yes"/>
    <s v="other"/>
    <s v="WH-05"/>
    <s v="Delhivery"/>
    <d v="2024-04-09T00:00:00"/>
    <x v="416"/>
    <d v="2024-04-16T00:00:00"/>
    <s v="sushma_yadav@gmail_com"/>
    <s v=" 8748579888"/>
  </r>
  <r>
    <x v="772"/>
    <s v="Obeysekara Fernando"/>
    <x v="0"/>
    <s v="Nikon D3500"/>
    <x v="3"/>
    <x v="0"/>
    <s v="Cameras"/>
    <n v="29347.846790890268"/>
    <n v="3"/>
    <n v="88043.540372670803"/>
    <n v="5"/>
    <x v="539"/>
    <n v="99835.5"/>
    <n v="18"/>
    <n v="17970.39"/>
    <n v="0"/>
    <n v="117805.89"/>
    <x v="6"/>
    <s v="Same Day"/>
    <x v="0"/>
    <x v="2"/>
    <s v="Pooja Nair"/>
    <s v="South"/>
    <s v="Asansol"/>
    <s v="West Bengal"/>
    <x v="1"/>
    <s v="261845"/>
    <s v="None"/>
    <n v="4"/>
    <s v="No"/>
    <s v="other"/>
    <s v="WH-02"/>
    <s v="Ekart"/>
    <d v="2023-10-30T00:00:00"/>
    <x v="249"/>
    <d v="2023-11-10T00:00:00"/>
    <s v="obeysekara_fernando@gmail_com"/>
    <s v="7983755504"/>
  </r>
  <r>
    <x v="773"/>
    <s v="Thiruvengadam  Natarajan"/>
    <x v="0"/>
    <s v="Van Heusen Shirt"/>
    <x v="42"/>
    <x v="2"/>
    <s v="Clothing"/>
    <n v="1640"/>
    <n v="5"/>
    <n v="8200"/>
    <n v="10"/>
    <x v="540"/>
    <n v="7380"/>
    <n v="12"/>
    <n v="885.6"/>
    <n v="0"/>
    <n v="8265.6"/>
    <x v="2"/>
    <s v="Standard"/>
    <x v="0"/>
    <x v="1"/>
    <s v="Neha Kulkarni"/>
    <s v="West"/>
    <s v="Mumbai"/>
    <s v="Maharashtra"/>
    <x v="4"/>
    <s v="580683"/>
    <s v="Newuser"/>
    <n v="3"/>
    <s v="No"/>
    <s v="other"/>
    <s v="WH-10"/>
    <s v="Delhivery"/>
    <d v="2023-07-17T00:00:00"/>
    <x v="322"/>
    <d v="2023-07-24T00:00:00"/>
    <s v="thiruvengadamn@outlook_com"/>
    <s v="8226093164"/>
  </r>
  <r>
    <x v="774"/>
    <s v="Naveen Bajaj"/>
    <x v="0"/>
    <s v="Oneplus 12"/>
    <x v="32"/>
    <x v="0"/>
    <s v="Mobile Phones"/>
    <n v="69120"/>
    <n v="1"/>
    <n v="69120"/>
    <n v="0"/>
    <x v="2"/>
    <n v="69120"/>
    <n v="18"/>
    <n v="12441.6"/>
    <n v="0"/>
    <n v="81561.600000000006"/>
    <x v="4"/>
    <s v="Same Day"/>
    <x v="3"/>
    <x v="2"/>
    <s v="Ritu Singh"/>
    <s v="Central"/>
    <s v="Coimbatore"/>
    <s v="Tamil Nadu"/>
    <x v="2"/>
    <s v="195096"/>
    <s v="None"/>
    <n v="5"/>
    <s v="No"/>
    <s v="other"/>
    <s v="WH-10"/>
    <s v="Delhivery"/>
    <d v="2023-04-23T00:00:00"/>
    <x v="297"/>
    <d v="2023-05-05T00:00:00"/>
    <s v="nbajaj@gmail_com"/>
    <s v="6352413022"/>
  </r>
  <r>
    <x v="775"/>
    <s v="Smita Patil"/>
    <x v="1"/>
    <s v="Sony Wh-1000Xm5"/>
    <x v="1"/>
    <x v="0"/>
    <s v="Audio"/>
    <n v="29260"/>
    <n v="4"/>
    <n v="117040"/>
    <n v="5"/>
    <x v="541"/>
    <n v="111188"/>
    <n v="18"/>
    <n v="20013.84"/>
    <n v="0"/>
    <n v="131201.84"/>
    <x v="6"/>
    <s v="Economy"/>
    <x v="0"/>
    <x v="0"/>
    <s v="Priya Sinha"/>
    <s v="West"/>
    <s v="Agra"/>
    <s v="Uttar Pradesh"/>
    <x v="0"/>
    <s v="602792"/>
    <s v="None"/>
    <n v="4"/>
    <s v="No"/>
    <s v="other"/>
    <s v="WH-12"/>
    <s v="Delhivery"/>
    <d v="2024-05-22T00:00:00"/>
    <x v="296"/>
    <d v="2024-06-07T00:00:00"/>
    <s v="patil_smita@gmail_com"/>
    <s v="9715111424"/>
  </r>
  <r>
    <x v="776"/>
    <s v="Chirag Desai"/>
    <x v="0"/>
    <s v="Prestige Induction"/>
    <x v="29"/>
    <x v="1"/>
    <s v="Kitchen"/>
    <n v="3680"/>
    <n v="2"/>
    <n v="7360"/>
    <n v="0"/>
    <x v="2"/>
    <n v="7360"/>
    <n v="5"/>
    <n v="368"/>
    <n v="0"/>
    <n v="7728"/>
    <x v="2"/>
    <s v="Standard"/>
    <x v="0"/>
    <x v="2"/>
    <s v="Arjun Das"/>
    <s v="East"/>
    <s v="Patna"/>
    <s v="Bihar"/>
    <x v="1"/>
    <s v="442601"/>
    <s v="None"/>
    <n v="5"/>
    <s v="No"/>
    <s v="other"/>
    <s v="WH-03"/>
    <s v="Ekart"/>
    <d v="2023-11-14T00:00:00"/>
    <x v="190"/>
    <d v="2023-11-19T00:00:00"/>
    <s v="chirag_desai@gmail_com"/>
    <s v="8383181720"/>
  </r>
  <r>
    <x v="777"/>
    <s v="Mitesh Gandhi"/>
    <x v="0"/>
    <s v="Titan Raga"/>
    <x v="26"/>
    <x v="2"/>
    <s v="Accessories"/>
    <n v="8670"/>
    <n v="1"/>
    <n v="8670"/>
    <n v="10"/>
    <x v="542"/>
    <n v="7803"/>
    <n v="12"/>
    <n v="936.36"/>
    <n v="0"/>
    <n v="8739.36"/>
    <x v="1"/>
    <s v="Standard"/>
    <x v="0"/>
    <x v="1"/>
    <s v="Vinay Joshi"/>
    <s v="Central"/>
    <s v="Agra"/>
    <s v="Uttar Pradesh"/>
    <x v="0"/>
    <s v="263997"/>
    <s v="Newuser"/>
    <n v="5"/>
    <s v="No"/>
    <s v="other"/>
    <s v="WH-08"/>
    <s v="Delhivery"/>
    <d v="2023-10-25T00:00:00"/>
    <x v="312"/>
    <d v="2023-10-29T00:00:00"/>
    <s v="gandhi_mitesh@gmail_com"/>
    <s v=" 6064211684"/>
  </r>
  <r>
    <x v="778"/>
    <s v="Ritu Chauhan"/>
    <x v="0"/>
    <s v="Lenovo Thinkpad E14"/>
    <x v="4"/>
    <x v="0"/>
    <s v="Laptops"/>
    <n v="56360"/>
    <n v="1"/>
    <n v="56360"/>
    <n v="15"/>
    <x v="543"/>
    <n v="47906"/>
    <n v="18"/>
    <n v="8623.08"/>
    <n v="0"/>
    <n v="56529.08"/>
    <x v="1"/>
    <s v="Express"/>
    <x v="0"/>
    <x v="2"/>
    <s v="Ritu Singh"/>
    <s v="Central"/>
    <s v="Vijayawada"/>
    <s v="Andhra Pradesh"/>
    <x v="2"/>
    <s v="622181"/>
    <s v="None"/>
    <n v="4"/>
    <s v="No"/>
    <s v="other"/>
    <s v="WH-08"/>
    <s v="Delhivery"/>
    <d v="2023-10-04T00:00:00"/>
    <x v="208"/>
    <d v="2023-10-16T00:00:00"/>
    <s v="ritu_chauhan@gmail_com"/>
    <s v="6789078695"/>
  </r>
  <r>
    <x v="779"/>
    <s v="Manisha Kadam"/>
    <x v="1"/>
    <s v="Pepperfry Coffee Table"/>
    <x v="20"/>
    <x v="4"/>
    <s v="Tables"/>
    <n v="11220"/>
    <n v="2"/>
    <n v="22440"/>
    <n v="5"/>
    <x v="544"/>
    <n v="21318"/>
    <n v="5"/>
    <n v="1065.9000000000001"/>
    <n v="0"/>
    <n v="22383.9"/>
    <x v="0"/>
    <s v="Same Day"/>
    <x v="2"/>
    <x v="4"/>
    <s v="Vinay Joshi"/>
    <s v="Central"/>
    <s v="Jamshedpur"/>
    <s v="Jharkhand"/>
    <x v="1"/>
    <s v="180696"/>
    <s v="Festive20"/>
    <n v="4"/>
    <s v="No"/>
    <s v="other"/>
    <s v="WH-08"/>
    <s v="Ekart"/>
    <d v="2024-04-25T00:00:00"/>
    <x v="88"/>
    <d v="2023-10-16T00:00:00"/>
    <s v="kadam_manisha@gmail_com"/>
    <s v="7118596897"/>
  </r>
  <r>
    <x v="780"/>
    <s v="Fathima Begum"/>
    <x v="3"/>
    <s v="Nilkamal Chair"/>
    <x v="11"/>
    <x v="4"/>
    <s v="Seating"/>
    <n v="4570"/>
    <n v="1"/>
    <n v="4570"/>
    <n v="20"/>
    <x v="545"/>
    <n v="3656"/>
    <n v="5"/>
    <n v="182.8"/>
    <n v="49"/>
    <n v="3838.8"/>
    <x v="1"/>
    <s v="Economy"/>
    <x v="2"/>
    <x v="4"/>
    <s v="Priya Sinha"/>
    <s v="West"/>
    <s v="Ranchi"/>
    <s v="Jharkhand"/>
    <x v="1"/>
    <s v="470746"/>
    <s v="None"/>
    <n v="4"/>
    <s v="No"/>
    <s v="other"/>
    <s v="WH-07"/>
    <s v="Delhivery"/>
    <d v="2023-10-22T00:00:00"/>
    <x v="417"/>
    <d v="2023-10-31T00:00:00"/>
    <s v="fathima_begum@gmail_com"/>
    <s v="8112179592"/>
  </r>
  <r>
    <x v="781"/>
    <s v="Saraswathi Rao"/>
    <x v="0"/>
    <s v="Macbook Air M2"/>
    <x v="13"/>
    <x v="0"/>
    <s v="Laptops"/>
    <n v="109180"/>
    <n v="4"/>
    <n v="436720"/>
    <n v="0"/>
    <x v="2"/>
    <n v="436720"/>
    <n v="18"/>
    <n v="78609.600000000006"/>
    <n v="0"/>
    <n v="515329.6"/>
    <x v="0"/>
    <s v="Economy"/>
    <x v="1"/>
    <x v="3"/>
    <s v="Raj Kumar"/>
    <s v="North"/>
    <s v="Bengaluru"/>
    <s v="Karnataka"/>
    <x v="2"/>
    <s v="112292"/>
    <s v="Summer15"/>
    <n v="5"/>
    <s v="No"/>
    <s v="other"/>
    <s v="WH-10"/>
    <s v="Bluedart"/>
    <d v="2023-07-14T00:00:00"/>
    <x v="174"/>
    <d v="2023-10-31T00:00:00"/>
    <s v="saraswathi_rao@gmail_com"/>
    <s v="7741587199"/>
  </r>
  <r>
    <x v="782"/>
    <s v="Parvati Devi"/>
    <x v="0"/>
    <s v="Titan Raga"/>
    <x v="26"/>
    <x v="2"/>
    <s v="Accessories"/>
    <n v="8580"/>
    <n v="1"/>
    <n v="8580"/>
    <n v="10"/>
    <x v="422"/>
    <n v="7722"/>
    <n v="12"/>
    <n v="926.64"/>
    <n v="0"/>
    <n v="8648.64"/>
    <x v="0"/>
    <s v="Overnight"/>
    <x v="0"/>
    <x v="1"/>
    <s v="Karim Sheikh"/>
    <s v="North"/>
    <s v="Thrissur"/>
    <s v="Kerala"/>
    <x v="2"/>
    <s v="242228"/>
    <s v="None"/>
    <n v="5"/>
    <s v="No"/>
    <s v="other"/>
    <s v="WH-03"/>
    <s v="Amazon Logistics"/>
    <d v="2023-08-18T00:00:00"/>
    <x v="209"/>
    <d v="2023-08-28T00:00:00"/>
    <s v="parvati_devi@gmail_com"/>
    <s v="9330107535"/>
  </r>
  <r>
    <x v="783"/>
    <s v="Preeti Deshpande"/>
    <x v="0"/>
    <s v="Parker Pen Set"/>
    <x v="36"/>
    <x v="3"/>
    <s v="Writing"/>
    <n v="850"/>
    <n v="1"/>
    <n v="850"/>
    <n v="5"/>
    <x v="546"/>
    <n v="807.5"/>
    <n v="5"/>
    <n v="40.380000000000003"/>
    <n v="149"/>
    <n v="847.88"/>
    <x v="0"/>
    <s v="Economy"/>
    <x v="4"/>
    <x v="0"/>
    <s v="Anjali Mehta"/>
    <s v="South"/>
    <s v="Kozhikode"/>
    <s v="Kerala"/>
    <x v="2"/>
    <s v="791599"/>
    <s v="Summer15"/>
    <n v="4"/>
    <s v="Yes"/>
    <s v="Late Delivery"/>
    <s v="WH-09"/>
    <s v="Delhivery"/>
    <d v="2023-11-08T00:00:00"/>
    <x v="64"/>
    <d v="2023-11-13T00:00:00"/>
    <s v="preetid@gmail_com"/>
    <s v=" 8809937151"/>
  </r>
  <r>
    <x v="784"/>
    <s v="Naveen Bajaj"/>
    <x v="0"/>
    <s v="Wildcraft Backpack"/>
    <x v="28"/>
    <x v="2"/>
    <s v="Bags"/>
    <n v="2110"/>
    <n v="1"/>
    <n v="2110"/>
    <n v="20"/>
    <x v="547"/>
    <n v="1688"/>
    <n v="12"/>
    <n v="202.56"/>
    <n v="49"/>
    <n v="1890.56"/>
    <x v="0"/>
    <s v="Same Day"/>
    <x v="0"/>
    <x v="3"/>
    <s v="Sneha Reddy"/>
    <s v="South"/>
    <s v="Mysuru"/>
    <s v="Karnataka"/>
    <x v="2"/>
    <s v="446727"/>
    <s v="None"/>
    <n v="5"/>
    <s v="No"/>
    <s v="other"/>
    <s v="WH-04"/>
    <s v="Delhivery"/>
    <d v="2023-06-23T00:00:00"/>
    <x v="117"/>
    <d v="2023-07-03T00:00:00"/>
    <s v="naveen_bajaj@gmail_com"/>
    <s v="7829385028"/>
  </r>
  <r>
    <x v="785"/>
    <s v="Amit Kumar"/>
    <x v="1"/>
    <s v="Daikin 1.5T Inverter"/>
    <x v="30"/>
    <x v="1"/>
    <s v="Air Conditioners"/>
    <n v="42990"/>
    <n v="7"/>
    <n v="300930"/>
    <n v="10"/>
    <x v="548"/>
    <n v="270837"/>
    <n v="5"/>
    <n v="13541.85"/>
    <n v="0"/>
    <n v="284378.84999999998"/>
    <x v="1"/>
    <s v="Economy"/>
    <x v="5"/>
    <x v="1"/>
    <s v="Sneha Reddy"/>
    <s v="South"/>
    <s v="Visakhapatnam"/>
    <s v="Andhra Pradesh"/>
    <x v="2"/>
    <s v="609980"/>
    <s v="Festive20"/>
    <n v="5"/>
    <s v="No"/>
    <s v="other"/>
    <s v="WH-02"/>
    <s v="Bluedart"/>
    <d v="2024-05-20T00:00:00"/>
    <x v="418"/>
    <d v="2024-05-29T00:00:00"/>
    <s v="amit_kumar@hotmail_com"/>
    <s v="6037791703"/>
  </r>
  <r>
    <x v="786"/>
    <s v="Ramachandran Pillai"/>
    <x v="0"/>
    <s v="Whirlpool 7Kg Washer"/>
    <x v="35"/>
    <x v="1"/>
    <s v="Washing Machines"/>
    <n v="31280"/>
    <n v="1"/>
    <n v="31280"/>
    <n v="15"/>
    <x v="549"/>
    <n v="26588"/>
    <n v="5"/>
    <n v="1329.4"/>
    <n v="0"/>
    <n v="27917.4"/>
    <x v="4"/>
    <s v="Economy"/>
    <x v="0"/>
    <x v="3"/>
    <s v="Neha Kulkarni"/>
    <s v="West"/>
    <s v="Ghaziabad"/>
    <s v="Uttar Pradesh"/>
    <x v="0"/>
    <s v="385832"/>
    <s v="Summer15"/>
    <n v="4"/>
    <s v="No"/>
    <s v="other"/>
    <s v="WH-07"/>
    <s v="Bluedart"/>
    <d v="2024-03-17T00:00:00"/>
    <x v="310"/>
    <d v="2024-03-28T00:00:00"/>
    <s v="ramachandran_pillai@gmail_com"/>
    <s v="9207209578"/>
  </r>
  <r>
    <x v="787"/>
    <s v="Saraswathi Rao"/>
    <x v="0"/>
    <s v="Camlin Art Kit"/>
    <x v="34"/>
    <x v="3"/>
    <s v="Art Supplies"/>
    <n v="550"/>
    <n v="20"/>
    <n v="11000"/>
    <n v="5"/>
    <x v="550"/>
    <n v="10450"/>
    <n v="5"/>
    <n v="522.5"/>
    <n v="0"/>
    <n v="10972.5"/>
    <x v="1"/>
    <s v="Same Day"/>
    <x v="0"/>
    <x v="1"/>
    <s v="Ritu Singh"/>
    <s v="Central"/>
    <s v="Durgapur"/>
    <s v="West Bengal"/>
    <x v="1"/>
    <s v="564446"/>
    <s v="Diwali25"/>
    <n v="5"/>
    <s v="No"/>
    <s v="other"/>
    <s v="WH-09"/>
    <s v="Delhivery"/>
    <d v="2023-03-23T00:00:00"/>
    <x v="102"/>
    <d v="2023-04-08T00:00:00"/>
    <s v="saraswathirgmail_com"/>
    <s v="7759930013"/>
  </r>
  <r>
    <x v="788"/>
    <s v="Chirag Desai"/>
    <x v="3"/>
    <s v="Logitech Mx Master 3"/>
    <x v="41"/>
    <x v="0"/>
    <s v="Accessories"/>
    <n v="9670"/>
    <n v="1"/>
    <n v="9670"/>
    <n v="15"/>
    <x v="551"/>
    <n v="8219.5"/>
    <n v="18"/>
    <n v="1479.51"/>
    <n v="0"/>
    <n v="9699.01"/>
    <x v="3"/>
    <s v="Economy"/>
    <x v="0"/>
    <x v="1"/>
    <s v="Neha Kulkarni"/>
    <s v="West"/>
    <s v="Madurai"/>
    <s v="Tamil Nadu"/>
    <x v="2"/>
    <s v="361936"/>
    <s v="Newuser"/>
    <n v="5"/>
    <s v="No"/>
    <s v="other"/>
    <s v="WH-01"/>
    <s v="Bluedart"/>
    <d v="2024-04-18T00:00:00"/>
    <x v="172"/>
    <d v="2024-05-02T00:00:00"/>
    <s v="chirag_desai@gmail_com"/>
    <s v="9380795118"/>
  </r>
  <r>
    <x v="789"/>
    <s v="Gurpreet Kaur"/>
    <x v="3"/>
    <s v="Logitech Mx Master 3"/>
    <x v="41"/>
    <x v="0"/>
    <s v="Accessories"/>
    <n v="9510"/>
    <n v="5"/>
    <n v="47550"/>
    <n v="25"/>
    <x v="552"/>
    <n v="35662.5"/>
    <n v="18"/>
    <n v="6419.25"/>
    <n v="0"/>
    <n v="42081.75"/>
    <x v="0"/>
    <s v="Standard"/>
    <x v="1"/>
    <x v="1"/>
    <s v="Pooja Nair"/>
    <s v="South"/>
    <s v="Delhi"/>
    <s v="Delhi"/>
    <x v="0"/>
    <s v="202294"/>
    <s v="Flat500"/>
    <n v="5"/>
    <s v="No"/>
    <s v="other"/>
    <s v="WH-04"/>
    <s v="Amazon Logistics"/>
    <d v="2024-03-19T00:00:00"/>
    <x v="77"/>
    <d v="2024-03-31T00:00:00"/>
    <s v="gkaur@outlook_com"/>
    <s v="7168444696"/>
  </r>
  <r>
    <x v="790"/>
    <s v="Aarav Sharma"/>
    <x v="0"/>
    <s v="Kurl-On King Bed"/>
    <x v="15"/>
    <x v="4"/>
    <s v="Beds"/>
    <n v="56910"/>
    <n v="2"/>
    <n v="113820"/>
    <n v="25"/>
    <x v="553"/>
    <n v="85365"/>
    <n v="5"/>
    <n v="4268.25"/>
    <n v="0"/>
    <n v="89633.25"/>
    <x v="4"/>
    <s v="Same Day"/>
    <x v="0"/>
    <x v="3"/>
    <s v="Neha Kulkarni"/>
    <s v="West"/>
    <s v="Surat"/>
    <s v="Gujarat"/>
    <x v="4"/>
    <s v="157487"/>
    <s v="None"/>
    <n v="5"/>
    <s v="No"/>
    <s v="other"/>
    <s v="WH-05"/>
    <s v="Amazon Logistics"/>
    <d v="2024-05-19T00:00:00"/>
    <x v="411"/>
    <d v="2024-05-29T00:00:00"/>
    <s v="asharma@gmail_com"/>
    <s v="9463924887"/>
  </r>
  <r>
    <x v="791"/>
    <s v="Suresh Gupta"/>
    <x v="0"/>
    <s v="Fastrack Watch"/>
    <x v="6"/>
    <x v="2"/>
    <s v="Accessories"/>
    <n v="29347.846790890268"/>
    <n v="2"/>
    <n v="58695.693581780535"/>
    <n v="5"/>
    <x v="554"/>
    <n v="4693"/>
    <n v="12"/>
    <n v="563.16"/>
    <n v="0"/>
    <n v="5256.16"/>
    <x v="5"/>
    <s v="Standard"/>
    <x v="0"/>
    <x v="0"/>
    <s v="Raj Kumar"/>
    <s v="North"/>
    <s v="Thiruvananthapuram"/>
    <s v="Kerala"/>
    <x v="2"/>
    <s v="545862"/>
    <s v="Festive20"/>
    <n v="4"/>
    <s v="No"/>
    <s v="other"/>
    <s v="WH-11"/>
    <s v="Bluedart"/>
    <d v="2024-03-09T00:00:00"/>
    <x v="3"/>
    <d v="2024-03-21T00:00:00"/>
    <s v="gupta_suresh@gmail_com"/>
    <s v="6317697085"/>
  </r>
  <r>
    <x v="792"/>
    <s v="Amit Kumar"/>
    <x v="0"/>
    <s v="Classmate Notebook"/>
    <x v="9"/>
    <x v="3"/>
    <s v="Books"/>
    <n v="130"/>
    <n v="3"/>
    <n v="390"/>
    <n v="10"/>
    <x v="555"/>
    <n v="117"/>
    <n v="5"/>
    <n v="5.85"/>
    <n v="99"/>
    <n v="122.85"/>
    <x v="3"/>
    <s v="Express"/>
    <x v="0"/>
    <x v="3"/>
    <s v="Arjun Das"/>
    <s v="East"/>
    <s v="Gurugram"/>
    <s v="Haryana"/>
    <x v="0"/>
    <s v="259853"/>
    <s v="None"/>
    <n v="5"/>
    <s v="No"/>
    <s v="other"/>
    <s v="WH-10"/>
    <s v="Bluedart"/>
    <d v="2024-01-13T00:00:00"/>
    <x v="365"/>
    <d v="2024-01-22T00:00:00"/>
    <s v="akumar@hotmail_com"/>
    <s v="77663 35420"/>
  </r>
  <r>
    <x v="793"/>
    <s v="Kavita Reddy"/>
    <x v="0"/>
    <s v="Parker Pen Set"/>
    <x v="36"/>
    <x v="3"/>
    <s v="Writing"/>
    <n v="840"/>
    <n v="3"/>
    <n v="2520"/>
    <n v="5"/>
    <x v="556"/>
    <n v="2394"/>
    <n v="5"/>
    <n v="119.7"/>
    <n v="79"/>
    <n v="2513.6999999999998"/>
    <x v="5"/>
    <s v="Overnight"/>
    <x v="0"/>
    <x v="0"/>
    <s v="Ankit Sharma"/>
    <s v="North"/>
    <s v="Asansol"/>
    <s v="West Bengal"/>
    <x v="1"/>
    <s v="312423"/>
    <s v="Save10"/>
    <n v="5"/>
    <s v="No"/>
    <s v="other"/>
    <s v="WH-07"/>
    <s v="Dtdc"/>
    <d v="2023-10-07T00:00:00"/>
    <x v="45"/>
    <d v="2023-10-18T00:00:00"/>
    <s v="reddy_kavita@gmail_com"/>
    <s v="7350079616"/>
  </r>
  <r>
    <x v="677"/>
    <s v="Kunal Oberoi"/>
    <x v="0"/>
    <s v="Boat Rockerz 450"/>
    <x v="8"/>
    <x v="0"/>
    <s v="Audio"/>
    <n v="1460"/>
    <n v="3"/>
    <n v="4380"/>
    <n v="10"/>
    <x v="557"/>
    <n v="3942"/>
    <n v="18"/>
    <n v="709.56"/>
    <n v="49"/>
    <n v="4651.5599999999995"/>
    <x v="6"/>
    <s v="Express"/>
    <x v="0"/>
    <x v="4"/>
    <s v="Ankit Sharma"/>
    <s v="North"/>
    <s v="Coimbatore"/>
    <s v="Tamil Nadu"/>
    <x v="2"/>
    <s v="385611"/>
    <s v="Save10"/>
    <n v="4"/>
    <s v="No"/>
    <s v="other"/>
    <s v="WH-02"/>
    <s v="India Post"/>
    <d v="2023-06-30T00:00:00"/>
    <x v="144"/>
    <d v="2023-07-05T00:00:00"/>
    <s v="oberoi_kunal@gmail_com"/>
    <s v="774326924"/>
  </r>
  <r>
    <x v="794"/>
    <s v="Roshni  Modi"/>
    <x v="0"/>
    <s v="Nilkamal Chair"/>
    <x v="11"/>
    <x v="4"/>
    <s v="Seating"/>
    <n v="4240"/>
    <n v="1"/>
    <n v="4240"/>
    <n v="15"/>
    <x v="558"/>
    <n v="3604"/>
    <n v="5"/>
    <n v="180.2"/>
    <n v="79"/>
    <n v="3784.2"/>
    <x v="1"/>
    <s v="Standard"/>
    <x v="1"/>
    <x v="3"/>
    <s v="Neha Kulkarni"/>
    <s v="West"/>
    <s v="Noida"/>
    <s v="Uttar Pradesh"/>
    <x v="0"/>
    <s v="253280"/>
    <s v="None"/>
    <n v="5"/>
    <s v="Yes"/>
    <s v="Wrong Item"/>
    <s v="WH-08"/>
    <s v="Dtdc"/>
    <d v="2024-03-21T00:00:00"/>
    <x v="167"/>
    <d v="2024-03-31T00:00:00"/>
    <s v="rmodi@gmail_com"/>
    <s v="8375428846"/>
  </r>
  <r>
    <x v="795"/>
    <s v="Sushma Yadav"/>
    <x v="0"/>
    <s v="Samsung 65-Inch Qled"/>
    <x v="2"/>
    <x v="0"/>
    <s v="Televisions"/>
    <n v="91140"/>
    <n v="4"/>
    <n v="364560"/>
    <n v="5"/>
    <x v="559"/>
    <n v="346332"/>
    <n v="18"/>
    <n v="62339.76"/>
    <n v="0"/>
    <n v="408671.76"/>
    <x v="6"/>
    <s v="Economy"/>
    <x v="0"/>
    <x v="2"/>
    <s v="Karim Sheikh"/>
    <s v="North"/>
    <s v="Vijayawada"/>
    <s v="Andhra Pradesh"/>
    <x v="2"/>
    <s v="405383"/>
    <s v="None"/>
    <n v="5"/>
    <s v="No"/>
    <s v="other"/>
    <s v="WH-06"/>
    <s v="Bluedart"/>
    <d v="2023-05-30T00:00:00"/>
    <x v="80"/>
    <d v="2023-06-08T00:00:00"/>
    <s v="sushma_yadav@gmail_com"/>
    <s v="6672877478"/>
  </r>
  <r>
    <x v="796"/>
    <s v="Gita Pillai"/>
    <x v="0"/>
    <s v="Samsung Galaxy S24"/>
    <x v="2"/>
    <x v="0"/>
    <s v="Mobile Phones"/>
    <n v="69830"/>
    <n v="1"/>
    <n v="69830"/>
    <n v="10"/>
    <x v="560"/>
    <n v="62847"/>
    <n v="18"/>
    <n v="11312.46"/>
    <n v="0"/>
    <n v="74159.459999999992"/>
    <x v="0"/>
    <s v="Express"/>
    <x v="2"/>
    <x v="2"/>
    <s v="Anjali Mehta"/>
    <s v="South"/>
    <s v="Mangaluru"/>
    <s v="Karnataka"/>
    <x v="2"/>
    <s v="593576"/>
    <s v="Save10"/>
    <n v="5"/>
    <s v="No"/>
    <s v="other"/>
    <s v="WH-04"/>
    <s v="Delhivery"/>
    <d v="2023-09-28T00:00:00"/>
    <x v="202"/>
    <d v="2023-10-01T00:00:00"/>
    <s v="gitap@hotmail_com"/>
    <s v="9019353110"/>
  </r>
  <r>
    <x v="797"/>
    <s v="Ritu Chauhan"/>
    <x v="0"/>
    <s v="Iphone 15 Pro"/>
    <x v="13"/>
    <x v="0"/>
    <s v="Mobile Phones"/>
    <n v="89730"/>
    <n v="6"/>
    <n v="538380"/>
    <n v="10"/>
    <x v="561"/>
    <n v="484542"/>
    <n v="18"/>
    <n v="87217.56"/>
    <n v="0"/>
    <n v="571759.56000000006"/>
    <x v="4"/>
    <s v="Standard"/>
    <x v="0"/>
    <x v="1"/>
    <s v="Raj Kumar"/>
    <s v="North"/>
    <s v="Kanpur"/>
    <s v="Uttar Pradesh"/>
    <x v="0"/>
    <s v="400191"/>
    <s v="None"/>
    <n v="5"/>
    <s v="No"/>
    <s v="other"/>
    <s v="WH-02"/>
    <s v="Delhivery"/>
    <d v="2024-03-31T00:00:00"/>
    <x v="419"/>
    <d v="2024-04-11T00:00:00"/>
    <s v="chauhan_ritu@gmail_com"/>
    <s v="7400613865"/>
  </r>
  <r>
    <x v="798"/>
    <s v="Sangita Ghosh"/>
    <x v="0"/>
    <s v="Dell Xps 15 Laptop"/>
    <x v="23"/>
    <x v="0"/>
    <s v="Laptops"/>
    <n v="124640"/>
    <n v="10"/>
    <n v="1246400"/>
    <n v="10"/>
    <x v="562"/>
    <n v="1121760"/>
    <n v="18"/>
    <n v="201916.79999999999"/>
    <n v="0"/>
    <n v="1323676.8"/>
    <x v="1"/>
    <s v="Same Day"/>
    <x v="0"/>
    <x v="2"/>
    <s v="Raj Kumar"/>
    <s v="North"/>
    <s v="Rajkot"/>
    <s v="Gujarat"/>
    <x v="4"/>
    <s v="632865"/>
    <s v="None"/>
    <n v="4"/>
    <s v="No"/>
    <s v="other"/>
    <s v="WH-02"/>
    <s v="Ekart"/>
    <d v="2023-12-02T00:00:00"/>
    <x v="345"/>
    <d v="2023-12-15T00:00:00"/>
    <s v="sangita_ghosh@gmail_com"/>
    <s v="6504224640"/>
  </r>
  <r>
    <x v="799"/>
    <s v="Suresh Gupta"/>
    <x v="3"/>
    <s v="Daikin 1.5T Inverter"/>
    <x v="30"/>
    <x v="1"/>
    <s v="Air Conditioners"/>
    <n v="44930"/>
    <n v="6"/>
    <n v="269580"/>
    <n v="5"/>
    <x v="563"/>
    <n v="256101"/>
    <n v="5"/>
    <n v="12805.05"/>
    <n v="0"/>
    <n v="268906.05"/>
    <x v="5"/>
    <s v="Economy"/>
    <x v="1"/>
    <x v="0"/>
    <s v="Arjun Das"/>
    <s v="East"/>
    <s v="Nashik"/>
    <s v="Maharashtra"/>
    <x v="4"/>
    <s v="155090"/>
    <s v="None"/>
    <n v="5"/>
    <s v="No"/>
    <s v="other"/>
    <s v="WH-05"/>
    <s v="Delhivery"/>
    <d v="2023-01-22T00:00:00"/>
    <x v="92"/>
    <d v="2023-02-01T00:00:00"/>
    <s v="sgupta@gmail_com"/>
    <s v=" 9426708805"/>
  </r>
  <r>
    <x v="800"/>
    <s v="Mohan Tiwari"/>
    <x v="1"/>
    <s v="Epson L3250"/>
    <x v="39"/>
    <x v="0"/>
    <s v="Printers"/>
    <n v="16390"/>
    <n v="1"/>
    <n v="16390"/>
    <n v="0"/>
    <x v="2"/>
    <n v="16390"/>
    <n v="18"/>
    <n v="2950.2"/>
    <n v="0"/>
    <n v="19340.2"/>
    <x v="3"/>
    <s v="Express"/>
    <x v="0"/>
    <x v="2"/>
    <s v="Vinay Joshi"/>
    <s v="Central"/>
    <s v="Agra"/>
    <s v="Uttar Pradesh"/>
    <x v="0"/>
    <s v="297716"/>
    <s v="Diwali25"/>
    <n v="4"/>
    <s v="No"/>
    <s v="other"/>
    <s v="WH-06"/>
    <s v="Bluedart"/>
    <d v="2023-01-06T00:00:00"/>
    <x v="195"/>
    <d v="2023-01-18T00:00:00"/>
    <s v="mohan_tiwari@gmail_com"/>
    <s v="65417 15007"/>
  </r>
  <r>
    <x v="801"/>
    <s v="Jayesh Vora"/>
    <x v="1"/>
    <s v="Puma Softride"/>
    <x v="31"/>
    <x v="2"/>
    <s v="Footwear"/>
    <n v="5080"/>
    <n v="4"/>
    <n v="20320"/>
    <n v="0"/>
    <x v="2"/>
    <n v="20320"/>
    <n v="12"/>
    <n v="2438.4"/>
    <n v="0"/>
    <n v="22758.400000000001"/>
    <x v="6"/>
    <s v="Express"/>
    <x v="2"/>
    <x v="3"/>
    <s v="Ritu Singh"/>
    <s v="Central"/>
    <s v="Kozhikode"/>
    <s v="Kerala"/>
    <x v="2"/>
    <s v="729601"/>
    <s v="None"/>
    <n v="5"/>
    <s v="No"/>
    <s v="other"/>
    <s v="WH-09"/>
    <s v="India Post"/>
    <d v="2023-02-16T00:00:00"/>
    <x v="420"/>
    <d v="2023-02-28T00:00:00"/>
    <s v="jayeshv@rediffmail_com"/>
    <s v="9597833674"/>
  </r>
  <r>
    <x v="802"/>
    <s v="Pooja Agarwal"/>
    <x v="0"/>
    <s v="Samsung 253L Fridge"/>
    <x v="2"/>
    <x v="1"/>
    <s v="Refrigerators"/>
    <n v="24900"/>
    <n v="1"/>
    <n v="24900"/>
    <n v="10"/>
    <x v="564"/>
    <n v="22410"/>
    <n v="5"/>
    <n v="1120.5"/>
    <n v="0"/>
    <n v="23530.5"/>
    <x v="3"/>
    <s v="Economy"/>
    <x v="0"/>
    <x v="1"/>
    <s v="Sneha Reddy"/>
    <s v="South"/>
    <s v="Jabalpur"/>
    <s v="Madhya Pradesh"/>
    <x v="3"/>
    <s v="166991"/>
    <s v="Festive20"/>
    <n v="5"/>
    <s v="No"/>
    <s v="other"/>
    <s v="WH-06"/>
    <s v="Delhivery"/>
    <d v="2023-05-13T00:00:00"/>
    <x v="68"/>
    <d v="2023-05-24T00:00:00"/>
    <s v="pooja_agarwal@gmail_com__"/>
    <s v="6595915167"/>
  </r>
  <r>
    <x v="803"/>
    <s v="Vishal Chaudhary"/>
    <x v="3"/>
    <s v="Lg 8Kg Front Load"/>
    <x v="33"/>
    <x v="1"/>
    <s v="Washing Machines"/>
    <n v="47130"/>
    <n v="3"/>
    <n v="141390"/>
    <n v="0"/>
    <x v="2"/>
    <n v="377040"/>
    <n v="5"/>
    <n v="18852"/>
    <n v="0"/>
    <n v="395892"/>
    <x v="6"/>
    <s v="Economy"/>
    <x v="1"/>
    <x v="4"/>
    <s v="Arjun Das"/>
    <s v="East"/>
    <s v="Mysuru"/>
    <s v="Karnataka"/>
    <x v="2"/>
    <s v="111376"/>
    <s v="None"/>
    <n v="5"/>
    <s v="No"/>
    <s v="other"/>
    <s v="WH-10"/>
    <s v="Ekart"/>
    <d v="2023-02-17T00:00:00"/>
    <x v="72"/>
    <d v="2023-03-06T00:00:00"/>
    <s v="vchaudhary@yahoo_co_in"/>
    <s v="8006658484"/>
  </r>
  <r>
    <x v="804"/>
    <s v="Rohit Singh"/>
    <x v="0"/>
    <s v="Daikin 1.5T Inverter"/>
    <x v="30"/>
    <x v="1"/>
    <s v="Air Conditioners"/>
    <n v="44400"/>
    <n v="1"/>
    <n v="44400"/>
    <n v="20"/>
    <x v="565"/>
    <n v="35520"/>
    <n v="5"/>
    <n v="1776"/>
    <n v="0"/>
    <n v="37296"/>
    <x v="1"/>
    <s v="Same Day"/>
    <x v="5"/>
    <x v="0"/>
    <s v="Ankit Sharma"/>
    <s v="South"/>
    <s v="Mysuru"/>
    <s v="Karnataka"/>
    <x v="2"/>
    <s v="451315"/>
    <s v="Flat500"/>
    <n v="4"/>
    <s v="No"/>
    <s v="other"/>
    <s v="WH-08"/>
    <s v="Delhivery"/>
    <d v="2023-09-08T00:00:00"/>
    <x v="168"/>
    <d v="2023-09-19T00:00:00"/>
    <s v="rohit_singh@outlook_com"/>
    <s v="7130050198"/>
  </r>
  <r>
    <x v="805"/>
    <s v="Priya Patel"/>
    <x v="1"/>
    <s v="Voltas 1.5T Ac"/>
    <x v="19"/>
    <x v="1"/>
    <s v="Air Conditioners"/>
    <n v="35670"/>
    <n v="7"/>
    <n v="249690"/>
    <n v="5"/>
    <x v="566"/>
    <n v="237205.5"/>
    <n v="5"/>
    <n v="11860.27"/>
    <n v="0"/>
    <n v="249065.77"/>
    <x v="2"/>
    <s v="Standard"/>
    <x v="0"/>
    <x v="2"/>
    <s v="Priya Sinha"/>
    <s v="West"/>
    <s v="Vadodara"/>
    <s v="Gujarat"/>
    <x v="4"/>
    <s v="333180"/>
    <s v="None"/>
    <n v="4"/>
    <s v="No"/>
    <s v="other"/>
    <s v="WH-03"/>
    <s v="Bluedart"/>
    <d v="2024-01-05T00:00:00"/>
    <x v="159"/>
    <d v="2024-01-13T00:00:00"/>
    <s v="patel_priya@yahoo_co_in"/>
    <s v="88418 05141"/>
  </r>
  <r>
    <x v="806"/>
    <s v="Abhijeet Sawant"/>
    <x v="3"/>
    <s v="Titan Raga"/>
    <x v="26"/>
    <x v="2"/>
    <s v="Accessories"/>
    <n v="8570"/>
    <n v="6"/>
    <n v="51420"/>
    <n v="10"/>
    <x v="567"/>
    <n v="46278"/>
    <n v="12"/>
    <n v="5553.36"/>
    <n v="0"/>
    <n v="51831.360000000001"/>
    <x v="3"/>
    <s v="Express"/>
    <x v="0"/>
    <x v="4"/>
    <s v="Ankit Sharma"/>
    <s v="North"/>
    <s v="Bhubaneswar"/>
    <s v="Odisha"/>
    <x v="1"/>
    <s v="440425"/>
    <s v="None"/>
    <n v="4"/>
    <s v="Yes"/>
    <s v="other"/>
    <s v="WH-06"/>
    <s v="India Post"/>
    <d v="2023-09-29T00:00:00"/>
    <x v="178"/>
    <d v="2023-10-08T00:00:00"/>
    <s v="abhijeets@outlook_com"/>
    <s v="9373949125"/>
  </r>
  <r>
    <x v="807"/>
    <s v="Jayalakshmi Kumar"/>
    <x v="0"/>
    <s v="Lavie Handbag"/>
    <x v="12"/>
    <x v="2"/>
    <s v="Bags"/>
    <n v="2620"/>
    <n v="8"/>
    <n v="20960"/>
    <n v="5"/>
    <x v="568"/>
    <n v="19912"/>
    <n v="12"/>
    <n v="2389.44"/>
    <n v="0"/>
    <n v="22301.439999999999"/>
    <x v="5"/>
    <s v="Economy"/>
    <x v="1"/>
    <x v="4"/>
    <s v="Raj Kumar"/>
    <s v="North"/>
    <s v="Chennai"/>
    <s v="Tamil Nadu"/>
    <x v="2"/>
    <s v="794005"/>
    <s v="Flat500"/>
    <n v="5"/>
    <s v="No"/>
    <s v="other"/>
    <s v="WH-01"/>
    <s v="Ekart"/>
    <d v="2023-10-28T00:00:00"/>
    <x v="178"/>
    <d v="2023-11-06T00:00:00"/>
    <s v="jayalakshmik@gmail_com"/>
    <s v="8831960250"/>
  </r>
  <r>
    <x v="808"/>
    <s v="Yeswanth Reddy"/>
    <x v="1"/>
    <s v="Van Heusen Shirt"/>
    <x v="42"/>
    <x v="2"/>
    <s v="Clothing"/>
    <n v="1720"/>
    <n v="2"/>
    <n v="3440"/>
    <n v="5"/>
    <x v="569"/>
    <n v="3268"/>
    <n v="12"/>
    <n v="392.16"/>
    <n v="49"/>
    <n v="3660.16"/>
    <x v="4"/>
    <s v="Overnight"/>
    <x v="3"/>
    <x v="4"/>
    <s v="Sneha Reddy"/>
    <s v="South"/>
    <s v="Patna"/>
    <s v="Bihar"/>
    <x v="1"/>
    <s v="181326"/>
    <s v="Flat500"/>
    <n v="4"/>
    <s v="No"/>
    <s v="other"/>
    <s v="WH-09"/>
    <s v="Amazon Logistics"/>
    <d v="2024-03-12T00:00:00"/>
    <x v="178"/>
    <d v="2024-03-22T00:00:00"/>
    <s v="reddy_yeswanth@yahoo_co_in"/>
    <s v="9707518621"/>
  </r>
  <r>
    <x v="809"/>
    <s v="Hina Shah"/>
    <x v="0"/>
    <s v="Van Heusen Shirt"/>
    <x v="42"/>
    <x v="2"/>
    <s v="Clothing"/>
    <n v="1690"/>
    <n v="2"/>
    <n v="3380"/>
    <n v="5"/>
    <x v="174"/>
    <n v="3211"/>
    <n v="12"/>
    <n v="385.32"/>
    <n v="99"/>
    <n v="3596.32"/>
    <x v="6"/>
    <s v="Standard"/>
    <x v="0"/>
    <x v="2"/>
    <s v="Deepa Menon"/>
    <s v="South"/>
    <s v="Surat"/>
    <s v="Gujarat"/>
    <x v="4"/>
    <s v="394926"/>
    <s v="None"/>
    <n v="5"/>
    <s v="No"/>
    <s v="other"/>
    <s v="WH-09"/>
    <s v="Delhivery"/>
    <d v="2023-03-06T00:00:00"/>
    <x v="220"/>
    <d v="2023-03-17T00:00:00"/>
    <s v="shah_hina@yahoo_com"/>
    <s v="7703108083"/>
  </r>
  <r>
    <x v="810"/>
    <s v="Abhijeet Sawant"/>
    <x v="3"/>
    <s v="Classmate Notebook"/>
    <x v="9"/>
    <x v="3"/>
    <s v="Books"/>
    <n v="120"/>
    <n v="1"/>
    <n v="120"/>
    <n v="10"/>
    <x v="570"/>
    <n v="108"/>
    <n v="5"/>
    <n v="5.4"/>
    <n v="49"/>
    <n v="113.4"/>
    <x v="5"/>
    <s v="Economy"/>
    <x v="0"/>
    <x v="3"/>
    <s v="Aman Bhatia"/>
    <s v="West"/>
    <s v="Thiruvananthapuram"/>
    <s v="Kerala"/>
    <x v="2"/>
    <s v="772428"/>
    <s v="Save10"/>
    <n v="3"/>
    <s v="No"/>
    <s v="other"/>
    <s v="WH-04"/>
    <s v="Ekart"/>
    <d v="2023-05-19T00:00:00"/>
    <x v="329"/>
    <d v="2023-05-25T00:00:00"/>
    <s v="abhijeet_sawant@outlook_com"/>
    <s v="8037825371"/>
  </r>
  <r>
    <x v="811"/>
    <s v="Nagalakshmi Venkatesh"/>
    <x v="0"/>
    <s v="Samsung 253L Fridge"/>
    <x v="2"/>
    <x v="1"/>
    <s v="Refrigerators"/>
    <n v="25690"/>
    <n v="1"/>
    <n v="25690"/>
    <n v="0"/>
    <x v="2"/>
    <n v="25690"/>
    <n v="5"/>
    <n v="1284.5"/>
    <n v="0"/>
    <n v="26974.5"/>
    <x v="0"/>
    <s v="Economy"/>
    <x v="5"/>
    <x v="4"/>
    <s v="Priya Sinha"/>
    <s v="West"/>
    <s v="Hyderabad"/>
    <s v="Telangana"/>
    <x v="2"/>
    <s v="425306"/>
    <s v="Save10"/>
    <n v="3"/>
    <s v="No"/>
    <s v="other"/>
    <s v="WH-06"/>
    <s v="Dtdc"/>
    <d v="2023-10-04T00:00:00"/>
    <x v="394"/>
    <d v="2023-05-25T00:00:00"/>
    <s v="nagalakshmi_venkatesh@yahoo_com"/>
    <s v="7846401577"/>
  </r>
  <r>
    <x v="812"/>
    <s v="Geetha Devi"/>
    <x v="0"/>
    <s v="Boat Rockerz 450"/>
    <x v="8"/>
    <x v="0"/>
    <s v="Audio"/>
    <n v="1490"/>
    <n v="4"/>
    <n v="5960"/>
    <n v="0"/>
    <x v="2"/>
    <n v="5960"/>
    <n v="18"/>
    <n v="1072.8"/>
    <n v="0"/>
    <n v="7032.8"/>
    <x v="2"/>
    <s v="Standard"/>
    <x v="0"/>
    <x v="3"/>
    <s v="Ankit Sharma"/>
    <s v="North"/>
    <s v="Bhubaneswar"/>
    <s v="Odisha"/>
    <x v="1"/>
    <s v="782583"/>
    <s v="Newuser"/>
    <n v="4"/>
    <s v="No"/>
    <s v="other"/>
    <s v="WH-09"/>
    <s v="Amazon Logistics"/>
    <d v="2023-02-26T00:00:00"/>
    <x v="421"/>
    <d v="2023-03-06T00:00:00"/>
    <s v="devi_geetha@gmail_com"/>
    <s v="7923898622"/>
  </r>
  <r>
    <x v="813"/>
    <s v="Vijay Pillai"/>
    <x v="0"/>
    <s v="Parker Pen Set"/>
    <x v="36"/>
    <x v="3"/>
    <s v="Writing"/>
    <n v="29347.846790890268"/>
    <n v="3"/>
    <n v="88043.540372670803"/>
    <n v="5"/>
    <x v="125"/>
    <n v="2223"/>
    <n v="5"/>
    <n v="111.15"/>
    <n v="49"/>
    <n v="2334.15"/>
    <x v="0"/>
    <s v="Economy"/>
    <x v="1"/>
    <x v="2"/>
    <s v="Vinay Joshi"/>
    <s v="Central"/>
    <s v="Hubballi"/>
    <s v="Karnataka"/>
    <x v="2"/>
    <s v="422598"/>
    <s v="Newuser"/>
    <n v="5"/>
    <s v="No"/>
    <s v="other"/>
    <s v="WH-11"/>
    <s v="Ekart"/>
    <d v="2023-06-14T00:00:00"/>
    <x v="241"/>
    <d v="2023-06-22T00:00:00"/>
    <s v="vijay_pillai@gmail_com"/>
    <s v="7009166595"/>
  </r>
  <r>
    <x v="814"/>
    <s v="Kiran Rao"/>
    <x v="0"/>
    <s v="Samsung 253L Fridge"/>
    <x v="2"/>
    <x v="1"/>
    <s v="Refrigerators"/>
    <n v="25700"/>
    <n v="5"/>
    <n v="128500"/>
    <n v="0"/>
    <x v="2"/>
    <n v="128500"/>
    <n v="5"/>
    <n v="6425"/>
    <n v="0"/>
    <n v="134925"/>
    <x v="3"/>
    <s v="Economy"/>
    <x v="5"/>
    <x v="0"/>
    <s v="Pooja Nair"/>
    <s v="South"/>
    <s v="Ahmedabad"/>
    <s v="Gujarat"/>
    <x v="4"/>
    <s v="483432"/>
    <s v="Festive20"/>
    <n v="4"/>
    <s v="No"/>
    <s v="other"/>
    <s v="WH-06"/>
    <s v="India Post"/>
    <d v="2024-06-02T00:00:00"/>
    <x v="315"/>
    <d v="2024-06-11T00:00:00"/>
    <s v="kiran_rao@gmail_com"/>
    <s v="8340250064"/>
  </r>
  <r>
    <x v="815"/>
    <s v="Usha Chopra"/>
    <x v="0"/>
    <s v="Hp Pavilion 15"/>
    <x v="0"/>
    <x v="0"/>
    <s v="Laptops"/>
    <n v="60540"/>
    <n v="3"/>
    <n v="181620"/>
    <n v="15"/>
    <x v="571"/>
    <n v="154377"/>
    <n v="18"/>
    <n v="27787.86"/>
    <n v="0"/>
    <n v="182164.86"/>
    <x v="6"/>
    <s v="Overnight"/>
    <x v="5"/>
    <x v="2"/>
    <s v="Sneha Reddy"/>
    <s v="South"/>
    <s v="Gurugram"/>
    <s v="Haryana"/>
    <x v="0"/>
    <s v="262547"/>
    <s v="Diwali25"/>
    <n v="3"/>
    <s v="No"/>
    <s v="other"/>
    <s v="WH-05"/>
    <s v="Bluedart"/>
    <d v="2023-01-16T00:00:00"/>
    <x v="14"/>
    <d v="2023-01-28T00:00:00"/>
    <s v="usha_chopra@yahoo_co_in"/>
    <s v="7552823016"/>
  </r>
  <r>
    <x v="816"/>
    <s v="Kannappan Ponnusamy"/>
    <x v="1"/>
    <s v="Camlin Art Kit"/>
    <x v="34"/>
    <x v="3"/>
    <s v="Art Supplies"/>
    <n v="610"/>
    <n v="1"/>
    <n v="610"/>
    <n v="15"/>
    <x v="572"/>
    <n v="518.5"/>
    <n v="5"/>
    <n v="25.93"/>
    <n v="99"/>
    <n v="544.42999999999995"/>
    <x v="5"/>
    <s v="Express"/>
    <x v="4"/>
    <x v="0"/>
    <s v="Aman Bhatia"/>
    <s v="West"/>
    <s v="Mangaluru"/>
    <s v="Karnataka"/>
    <x v="2"/>
    <s v="298675"/>
    <s v="Flat500"/>
    <n v="4"/>
    <s v="Yes"/>
    <s v="Wrong Item"/>
    <s v="WH-01"/>
    <s v="Bluedart"/>
    <d v="2023-02-25T00:00:00"/>
    <x v="191"/>
    <d v="2023-01-28T00:00:00"/>
    <s v="kannappan_ponnusamy@gmail_com"/>
    <s v=" 8978442982"/>
  </r>
  <r>
    <x v="817"/>
    <s v="Anand Swaminathan"/>
    <x v="1"/>
    <s v="Hp Pavilion 15"/>
    <x v="0"/>
    <x v="0"/>
    <s v="Laptops"/>
    <n v="60520"/>
    <n v="4"/>
    <n v="242080"/>
    <n v="5"/>
    <x v="573"/>
    <n v="229976"/>
    <n v="18"/>
    <n v="41395.68"/>
    <n v="0"/>
    <n v="271371.68"/>
    <x v="1"/>
    <s v="Express"/>
    <x v="5"/>
    <x v="4"/>
    <s v="Ritu Singh"/>
    <s v="Central"/>
    <s v="Salem"/>
    <s v="Tamil Nadu"/>
    <x v="2"/>
    <s v="433557"/>
    <s v="Newuser"/>
    <n v="4"/>
    <s v="No"/>
    <s v="other"/>
    <s v="WH-02"/>
    <s v="India Post"/>
    <d v="2024-06-25T00:00:00"/>
    <x v="281"/>
    <d v="2024-07-07T00:00:00"/>
    <s v="anand_swaminathan@gmail_com"/>
    <s v="7139594357"/>
  </r>
  <r>
    <x v="818"/>
    <s v="Gurpreet Kaur"/>
    <x v="0"/>
    <s v="Titan Raga"/>
    <x v="26"/>
    <x v="2"/>
    <s v="Accessories"/>
    <n v="8980"/>
    <n v="2"/>
    <n v="17960"/>
    <n v="5"/>
    <x v="574"/>
    <n v="17062"/>
    <n v="12"/>
    <n v="2047.44"/>
    <n v="0"/>
    <n v="19109.439999999999"/>
    <x v="2"/>
    <s v="Overnight"/>
    <x v="0"/>
    <x v="3"/>
    <s v="Ankit Sharma"/>
    <s v="North"/>
    <s v="Kolkata"/>
    <s v="West Bengal"/>
    <x v="1"/>
    <s v="793428"/>
    <s v="None"/>
    <n v="4"/>
    <s v="No"/>
    <s v="other"/>
    <s v="WH-10"/>
    <s v="Dtdc"/>
    <d v="2023-08-11T00:00:00"/>
    <x v="57"/>
    <d v="2023-08-27T00:00:00"/>
    <s v="gurpreetk@outlook_com"/>
    <s v="9265720798"/>
  </r>
  <r>
    <x v="819"/>
    <s v="Pallavi Gaikwad"/>
    <x v="1"/>
    <s v="Wildcraft Backpack"/>
    <x v="28"/>
    <x v="2"/>
    <s v="Bags"/>
    <n v="2060"/>
    <n v="1"/>
    <n v="2060"/>
    <n v="10"/>
    <x v="575"/>
    <n v="1854"/>
    <n v="12"/>
    <n v="222.48"/>
    <n v="79"/>
    <n v="2076.48"/>
    <x v="3"/>
    <s v="Economy"/>
    <x v="5"/>
    <x v="0"/>
    <s v="Ritu Singh"/>
    <s v="Central"/>
    <s v="Noida"/>
    <s v="Uttar Pradesh"/>
    <x v="0"/>
    <s v="629154"/>
    <s v="Summer15"/>
    <n v="4"/>
    <s v="No"/>
    <s v="other"/>
    <s v="WH-07"/>
    <s v="Amazon Logistics"/>
    <d v="2024-06-15T00:00:00"/>
    <x v="181"/>
    <d v="2024-06-25T00:00:00"/>
    <s v="pgaikwad@gmail_com"/>
    <s v="7952747871"/>
  </r>
  <r>
    <x v="820"/>
    <s v="Suresh Gupta"/>
    <x v="3"/>
    <s v="Adidas Ultraboost 22"/>
    <x v="18"/>
    <x v="2"/>
    <s v="Footwear"/>
    <n v="14640"/>
    <n v="5"/>
    <n v="73200"/>
    <n v="0"/>
    <x v="2"/>
    <n v="73200"/>
    <n v="12"/>
    <n v="8784"/>
    <n v="0"/>
    <n v="81984"/>
    <x v="3"/>
    <s v="Overnight"/>
    <x v="0"/>
    <x v="0"/>
    <s v="Arjun Das"/>
    <s v="East"/>
    <s v="Hyderabad"/>
    <s v="Telangana"/>
    <x v="2"/>
    <s v="632128"/>
    <s v="Diwali25"/>
    <n v="5"/>
    <s v="No"/>
    <s v="other"/>
    <s v="WH-07"/>
    <s v="Ekart"/>
    <d v="2023-02-21T00:00:00"/>
    <x v="422"/>
    <d v="2023-02-26T00:00:00"/>
    <s v="suresh_gupta@gmail_com"/>
    <s v="7538063190"/>
  </r>
  <r>
    <x v="821"/>
    <s v="Obeysekara Fernando"/>
    <x v="0"/>
    <s v="Godrej Interio Desk"/>
    <x v="14"/>
    <x v="4"/>
    <s v="Desks"/>
    <n v="18480"/>
    <n v="2"/>
    <n v="36960"/>
    <n v="15"/>
    <x v="576"/>
    <n v="31416"/>
    <n v="5"/>
    <n v="1570.8"/>
    <n v="0"/>
    <n v="32986.800000000003"/>
    <x v="5"/>
    <s v="Express"/>
    <x v="0"/>
    <x v="1"/>
    <s v="Arjun Das"/>
    <s v="East"/>
    <s v="Kozhikode"/>
    <s v="Kerala"/>
    <x v="2"/>
    <s v="777069"/>
    <s v="None"/>
    <n v="3"/>
    <s v="No"/>
    <s v="other"/>
    <s v="WH-06"/>
    <s v="Delhivery"/>
    <d v="2023-07-19T00:00:00"/>
    <x v="326"/>
    <d v="2023-07-23T00:00:00"/>
    <s v="fernando_obeysekara@gmail_com"/>
    <s v="8996459624"/>
  </r>
  <r>
    <x v="822"/>
    <s v="Obeysekara Fernando"/>
    <x v="0"/>
    <s v="Macbook Air M2"/>
    <x v="13"/>
    <x v="0"/>
    <s v="Laptops"/>
    <n v="107360"/>
    <n v="8"/>
    <n v="858880"/>
    <n v="10"/>
    <x v="577"/>
    <n v="772992"/>
    <n v="18"/>
    <n v="139138.56"/>
    <n v="0"/>
    <n v="912130.56000000006"/>
    <x v="2"/>
    <s v="Economy"/>
    <x v="0"/>
    <x v="3"/>
    <s v="Priya Sinha"/>
    <s v="West"/>
    <s v="Durgapur"/>
    <s v="West Bengal"/>
    <x v="1"/>
    <s v="590229"/>
    <s v="None"/>
    <n v="4"/>
    <s v="No"/>
    <s v="other"/>
    <s v="WH-12"/>
    <s v="Delhivery"/>
    <d v="2023-12-24T00:00:00"/>
    <x v="41"/>
    <d v="2023-12-28T00:00:00"/>
    <s v="obeysekara_fernando@gmail_com"/>
    <s v="96015 04340"/>
  </r>
  <r>
    <x v="823"/>
    <s v="Kavita Reddy"/>
    <x v="0"/>
    <s v="Samsung 253L Fridge"/>
    <x v="2"/>
    <x v="1"/>
    <s v="Refrigerators"/>
    <n v="25500"/>
    <n v="5"/>
    <n v="127500"/>
    <n v="0"/>
    <x v="2"/>
    <n v="127500"/>
    <n v="5"/>
    <n v="6375"/>
    <n v="0"/>
    <n v="133875"/>
    <x v="3"/>
    <s v="Economy"/>
    <x v="1"/>
    <x v="4"/>
    <s v="Sneha Reddy"/>
    <s v="South"/>
    <s v="Mumbai"/>
    <s v="Maharashtra"/>
    <x v="4"/>
    <s v="162934"/>
    <s v="Festive20"/>
    <n v="2"/>
    <s v="No"/>
    <s v="other"/>
    <s v="WH-02"/>
    <s v="Bluedart"/>
    <d v="2024-06-16T00:00:00"/>
    <x v="423"/>
    <d v="2024-06-21T00:00:00"/>
    <s v="kreddy@gmail_com"/>
    <s v="6305342890"/>
  </r>
  <r>
    <x v="824"/>
    <s v="Lalita Shah"/>
    <x v="0"/>
    <s v="Macbook Air M2"/>
    <x v="13"/>
    <x v="0"/>
    <s v="Laptops"/>
    <n v="116280"/>
    <n v="1"/>
    <n v="116280"/>
    <n v="0"/>
    <x v="2"/>
    <n v="116280"/>
    <n v="18"/>
    <n v="20930.400000000001"/>
    <n v="0"/>
    <n v="137210.4"/>
    <x v="6"/>
    <s v="Overnight"/>
    <x v="0"/>
    <x v="2"/>
    <s v="Pooja Nair"/>
    <s v="South"/>
    <s v="Thiruvananthapuram"/>
    <s v="Kerala"/>
    <x v="2"/>
    <m/>
    <s v="None"/>
    <n v="4"/>
    <s v="No"/>
    <s v="other"/>
    <s v="WH-01"/>
    <s v="Dtdc"/>
    <d v="2024-04-25T00:00:00"/>
    <x v="367"/>
    <d v="2024-05-07T00:00:00"/>
    <s v="shah_lalita@yahoo_com"/>
    <s v="8788477988"/>
  </r>
  <r>
    <x v="825"/>
    <s v="Mohan Tiwari"/>
    <x v="0"/>
    <s v="Sony Wh-1000Xm5"/>
    <x v="1"/>
    <x v="0"/>
    <s v="Audio"/>
    <n v="28010"/>
    <n v="4"/>
    <n v="112040"/>
    <n v="15"/>
    <x v="578"/>
    <n v="95234"/>
    <n v="18"/>
    <n v="17142.12"/>
    <n v="0"/>
    <n v="112376.12"/>
    <x v="4"/>
    <s v="Overnight"/>
    <x v="0"/>
    <x v="1"/>
    <s v="Ritu Singh"/>
    <s v="Central"/>
    <s v="Jabalpur"/>
    <s v="Madhya Pradesh"/>
    <x v="3"/>
    <s v="647561"/>
    <s v="Newuser"/>
    <n v="4"/>
    <s v="No"/>
    <s v="other"/>
    <s v="WH-12"/>
    <s v="Delhivery"/>
    <d v="2023-10-08T00:00:00"/>
    <x v="424"/>
    <d v="2023-08-23T00:00:00"/>
    <s v="tiwari_mohan@gmail_com"/>
    <s v="8371650942"/>
  </r>
  <r>
    <x v="826"/>
    <s v="Eswaran Murugan"/>
    <x v="0"/>
    <s v="Realme Gt 5"/>
    <x v="25"/>
    <x v="0"/>
    <s v="Mobile Phones"/>
    <n v="29370"/>
    <n v="2"/>
    <n v="58740"/>
    <n v="0"/>
    <x v="2"/>
    <n v="58740"/>
    <n v="18"/>
    <n v="10573.2"/>
    <n v="0"/>
    <n v="69313.2"/>
    <x v="4"/>
    <s v="Express"/>
    <x v="0"/>
    <x v="0"/>
    <s v="Sneha Reddy"/>
    <s v="South"/>
    <s v="Hubballi"/>
    <s v="Karnataka"/>
    <x v="2"/>
    <s v="599262"/>
    <s v="Newuser"/>
    <n v="5"/>
    <s v="No"/>
    <s v="other"/>
    <s v="WH-10"/>
    <s v="Delhivery"/>
    <d v="2023-11-09T00:00:00"/>
    <x v="223"/>
    <d v="2023-11-18T00:00:00"/>
    <s v="eswaran_murugan@rediffmail_com"/>
    <s v="6689009860"/>
  </r>
  <r>
    <x v="827"/>
    <s v="Arjun Nair"/>
    <x v="0"/>
    <s v="Amul Butter 500G"/>
    <x v="38"/>
    <x v="5"/>
    <s v="Dairy"/>
    <n v="280"/>
    <n v="3"/>
    <n v="840"/>
    <n v="10"/>
    <x v="310"/>
    <n v="756"/>
    <n v="5"/>
    <n v="37.799999999999997"/>
    <n v="99"/>
    <n v="793.8"/>
    <x v="0"/>
    <s v="Same Day"/>
    <x v="1"/>
    <x v="1"/>
    <s v="Deepa Menon"/>
    <s v="South"/>
    <s v="Madurai"/>
    <s v="Tamil Nadu"/>
    <x v="2"/>
    <s v="252906"/>
    <s v="Save10"/>
    <n v="4"/>
    <s v="No"/>
    <s v="other"/>
    <s v="WH-07"/>
    <s v="Delhivery"/>
    <d v="2023-06-07T00:00:00"/>
    <x v="139"/>
    <d v="2023-06-12T00:00:00"/>
    <s v="arjun_nair@gmail_com"/>
    <s v="7962249476"/>
  </r>
  <r>
    <x v="828"/>
    <s v="Harpreet Singh"/>
    <x v="3"/>
    <s v="Classmate Notebook"/>
    <x v="9"/>
    <x v="3"/>
    <s v="Books"/>
    <n v="110"/>
    <n v="6"/>
    <n v="660"/>
    <n v="10"/>
    <x v="579"/>
    <n v="594"/>
    <n v="5"/>
    <n v="29.7"/>
    <n v="79"/>
    <n v="623.70000000000005"/>
    <x v="1"/>
    <s v="Same Day"/>
    <x v="1"/>
    <x v="3"/>
    <s v="Karim Sheikh"/>
    <s v="North"/>
    <s v="Jabalpur"/>
    <s v="Madhya Pradesh"/>
    <x v="3"/>
    <s v="284940"/>
    <s v="Newuser"/>
    <n v="4"/>
    <s v="No"/>
    <s v="other"/>
    <s v="WH-03"/>
    <s v="Ekart"/>
    <d v="2023-02-26T00:00:00"/>
    <x v="293"/>
    <d v="2023-03-10T00:00:00"/>
    <s v="harpreet_singh@gmail_com"/>
    <s v="7769415139"/>
  </r>
  <r>
    <x v="829"/>
    <s v="Zubair Khan"/>
    <x v="1"/>
    <s v="Puma Softride"/>
    <x v="31"/>
    <x v="2"/>
    <s v="Footwear"/>
    <n v="5310"/>
    <n v="2"/>
    <n v="10620"/>
    <n v="5"/>
    <x v="580"/>
    <n v="10089"/>
    <n v="12"/>
    <n v="1210.68"/>
    <n v="0"/>
    <n v="11299.68"/>
    <x v="1"/>
    <s v="Same Day"/>
    <x v="0"/>
    <x v="3"/>
    <s v="Sneha Reddy"/>
    <s v="South"/>
    <s v="Bhubaneswar"/>
    <s v="Odisha"/>
    <x v="1"/>
    <s v="173426"/>
    <s v="Diwali25"/>
    <n v="4"/>
    <s v="No"/>
    <s v="other"/>
    <s v="WH-09"/>
    <s v="Delhivery"/>
    <d v="2023-11-30T00:00:00"/>
    <x v="425"/>
    <d v="2023-12-08T00:00:00"/>
    <s v="zubair_khan@gmail_com"/>
    <s v="8286255872"/>
  </r>
  <r>
    <x v="830"/>
    <s v="Gita Pillai"/>
    <x v="0"/>
    <s v="Tata Tea Premium 1Kg"/>
    <x v="17"/>
    <x v="5"/>
    <s v="Beverages"/>
    <n v="420"/>
    <n v="1"/>
    <n v="420"/>
    <n v="0"/>
    <x v="2"/>
    <n v="420"/>
    <n v="5"/>
    <n v="21"/>
    <n v="79"/>
    <n v="441"/>
    <x v="5"/>
    <s v="Standard"/>
    <x v="1"/>
    <x v="4"/>
    <s v="Aman Bhatia"/>
    <s v="West"/>
    <s v="Chandigarh"/>
    <s v="Punjab"/>
    <x v="0"/>
    <s v="267324"/>
    <s v="Newuser"/>
    <n v="4"/>
    <s v="No"/>
    <s v="other"/>
    <s v="WH-04"/>
    <s v="India Post"/>
    <d v="2023-03-26T00:00:00"/>
    <x v="102"/>
    <d v="2023-04-08T00:00:00"/>
    <s v="gita_pillai@hotmail_com"/>
    <s v="68637 13799"/>
  </r>
  <r>
    <x v="831"/>
    <s v="Ramachandran Pillai"/>
    <x v="1"/>
    <s v="Amul Butter 500G"/>
    <x v="38"/>
    <x v="5"/>
    <s v="Dairy"/>
    <n v="290"/>
    <n v="2"/>
    <n v="580"/>
    <n v="5"/>
    <x v="581"/>
    <n v="551"/>
    <n v="5"/>
    <n v="27.55"/>
    <n v="79"/>
    <n v="578.54999999999995"/>
    <x v="5"/>
    <s v="Express"/>
    <x v="1"/>
    <x v="4"/>
    <s v="Vinay Joshi"/>
    <s v="Central"/>
    <s v="Salem"/>
    <s v="Tamil Nadu"/>
    <x v="2"/>
    <s v="269345"/>
    <s v="Summer15"/>
    <n v="4"/>
    <s v="Yes"/>
    <s v="Wrong Item"/>
    <s v="WH-07"/>
    <s v="Delhivery"/>
    <d v="2023-07-19T00:00:00"/>
    <x v="426"/>
    <d v="2023-08-04T00:00:00"/>
    <s v="rpillai@gmail_com"/>
    <s v="69961 38071"/>
  </r>
  <r>
    <x v="832"/>
    <s v="Abhijeet Sawant"/>
    <x v="3"/>
    <s v="Iphone 15 Pro"/>
    <x v="13"/>
    <x v="0"/>
    <s v="Mobile Phones"/>
    <n v="94300"/>
    <n v="2"/>
    <n v="188600"/>
    <n v="15"/>
    <x v="582"/>
    <n v="160310"/>
    <n v="18"/>
    <n v="28855.8"/>
    <n v="0"/>
    <n v="189165.8"/>
    <x v="1"/>
    <s v="Express"/>
    <x v="0"/>
    <x v="1"/>
    <s v="Aman Bhatia"/>
    <s v="West"/>
    <s v="Hubballi"/>
    <s v="Karnataka"/>
    <x v="2"/>
    <s v="734783"/>
    <s v="Diwali25"/>
    <n v="3"/>
    <s v="No"/>
    <s v="other"/>
    <s v="WH-04"/>
    <s v="Ekart"/>
    <d v="2023-07-09T00:00:00"/>
    <x v="149"/>
    <d v="2023-07-23T00:00:00"/>
    <s v="abhijeet_sawant@outlook_com"/>
    <s v="9941235288"/>
  </r>
  <r>
    <x v="770"/>
    <s v="Chirag  Desai"/>
    <x v="0"/>
    <s v="Van Heusen Shirt"/>
    <x v="42"/>
    <x v="2"/>
    <s v="Clothing"/>
    <n v="1540"/>
    <n v="5"/>
    <n v="7700"/>
    <n v="15"/>
    <x v="51"/>
    <n v="6545"/>
    <n v="12"/>
    <n v="785.4"/>
    <n v="0"/>
    <n v="7330.4"/>
    <x v="4"/>
    <s v="Standard"/>
    <x v="0"/>
    <x v="4"/>
    <s v="Deepa Menon"/>
    <s v="South"/>
    <s v="Pune"/>
    <s v="Maharashtra"/>
    <x v="4"/>
    <s v="144548"/>
    <s v="Summer15"/>
    <n v="3"/>
    <s v="No"/>
    <s v="other"/>
    <s v="WH-09"/>
    <s v="Ekart"/>
    <d v="2023-12-08T00:00:00"/>
    <x v="286"/>
    <d v="2023-12-23T00:00:00"/>
    <s v="desai_chirag@gmail_com"/>
    <s v="81918 04384"/>
  </r>
  <r>
    <x v="833"/>
    <s v="Varsha Shinde"/>
    <x v="0"/>
    <s v="Godrej Interio Desk"/>
    <x v="14"/>
    <x v="4"/>
    <s v="Desks"/>
    <n v="17170"/>
    <n v="1"/>
    <n v="17170"/>
    <n v="0"/>
    <x v="2"/>
    <n v="17170"/>
    <n v="5"/>
    <n v="858.5"/>
    <n v="0"/>
    <n v="18028.5"/>
    <x v="2"/>
    <s v="Economy"/>
    <x v="0"/>
    <x v="1"/>
    <s v="Karim Sheikh"/>
    <s v="North"/>
    <s v="Vadodara"/>
    <s v="Gujarat"/>
    <x v="4"/>
    <s v="592014"/>
    <s v="Newuser"/>
    <n v="4"/>
    <s v="No"/>
    <s v="other"/>
    <s v="WH-03"/>
    <s v="Ekart"/>
    <d v="2023-11-13T00:00:00"/>
    <x v="190"/>
    <d v="2023-11-19T00:00:00"/>
    <s v="varsha_shinde@yahoo_co_in"/>
    <s v="8206304165"/>
  </r>
  <r>
    <x v="834"/>
    <s v="Pooja Agarwal"/>
    <x v="3"/>
    <s v="Sony Bravia 55-Inch"/>
    <x v="1"/>
    <x v="0"/>
    <s v="Televisions"/>
    <n v="74910"/>
    <n v="9"/>
    <n v="674190"/>
    <n v="20"/>
    <x v="583"/>
    <n v="539352"/>
    <n v="18"/>
    <n v="97083.36"/>
    <n v="0"/>
    <n v="636435.36"/>
    <x v="6"/>
    <s v="Standard"/>
    <x v="1"/>
    <x v="0"/>
    <s v="Deepa Menon"/>
    <s v="South"/>
    <s v="Chandigarh"/>
    <s v="Punjab"/>
    <x v="0"/>
    <s v="248462"/>
    <s v="Newuser"/>
    <n v="4"/>
    <s v="No"/>
    <s v="other"/>
    <s v="WH-02"/>
    <s v="Delhivery"/>
    <d v="2023-01-19T00:00:00"/>
    <x v="427"/>
    <d v="2023-01-25T00:00:00"/>
    <s v="poojaa@gmail_com"/>
    <s v="9772720450"/>
  </r>
  <r>
    <x v="835"/>
    <s v="Harish Malhotra"/>
    <x v="0"/>
    <s v="Daikin 1.5T Inverter"/>
    <x v="30"/>
    <x v="1"/>
    <s v="Air Conditioners"/>
    <n v="49290"/>
    <n v="5"/>
    <n v="246450"/>
    <n v="0"/>
    <x v="2"/>
    <n v="246450"/>
    <n v="5"/>
    <n v="12322.5"/>
    <n v="0"/>
    <n v="258772.5"/>
    <x v="0"/>
    <s v="Standard"/>
    <x v="0"/>
    <x v="0"/>
    <s v="Karim Sheikh"/>
    <s v="North"/>
    <s v="Faridabad"/>
    <s v="Haryana"/>
    <x v="0"/>
    <s v="130377"/>
    <s v="None"/>
    <n v="3"/>
    <s v="No"/>
    <s v="other"/>
    <s v="WH-01"/>
    <s v="Ekart"/>
    <d v="2023-09-08T00:00:00"/>
    <x v="342"/>
    <d v="2023-09-16T00:00:00"/>
    <s v="hmalhotra@gmail_com"/>
    <s v="8413596653"/>
  </r>
  <r>
    <x v="836"/>
    <s v="Parvati Devi"/>
    <x v="0"/>
    <s v="Daikin 1.5T Inverter"/>
    <x v="30"/>
    <x v="1"/>
    <s v="Air Conditioners"/>
    <n v="43210"/>
    <n v="1"/>
    <n v="43210"/>
    <n v="5"/>
    <x v="584"/>
    <n v="41049.5"/>
    <n v="5"/>
    <n v="2052.4699999999998"/>
    <n v="0"/>
    <n v="43101.97"/>
    <x v="4"/>
    <s v="Standard"/>
    <x v="0"/>
    <x v="4"/>
    <s v="Arjun Das"/>
    <s v="East"/>
    <s v="Thrissur"/>
    <s v="Kerala"/>
    <x v="2"/>
    <s v="143915"/>
    <s v="None"/>
    <n v="1"/>
    <s v="No"/>
    <s v="other"/>
    <s v="WH-06"/>
    <s v="Delhivery"/>
    <d v="2023-02-14T00:00:00"/>
    <x v="94"/>
    <d v="2023-02-21T00:00:00"/>
    <s v="pdevi@gmail_com"/>
    <s v="82018 19023"/>
  </r>
  <r>
    <x v="837"/>
    <s v="Kunal Oberoi"/>
    <x v="0"/>
    <s v="Durian Sofa 3-Seat"/>
    <x v="24"/>
    <x v="4"/>
    <s v="Sofas"/>
    <n v="42550"/>
    <n v="2"/>
    <n v="85100"/>
    <n v="0"/>
    <x v="2"/>
    <n v="85100"/>
    <n v="5"/>
    <n v="4255"/>
    <n v="0"/>
    <n v="89355"/>
    <x v="6"/>
    <s v="Same Day"/>
    <x v="1"/>
    <x v="4"/>
    <s v="Ritu Singh"/>
    <s v="Central"/>
    <s v="Madurai"/>
    <s v="Tamil Nadu"/>
    <x v="2"/>
    <s v="720317"/>
    <s v="None"/>
    <n v="4"/>
    <s v="No"/>
    <s v="other"/>
    <s v="WH-05"/>
    <s v="Bluedart"/>
    <d v="2023-01-22T00:00:00"/>
    <x v="401"/>
    <d v="2023-02-02T00:00:00"/>
    <s v="kunal_oberoi@gmail_com"/>
    <s v="6020487103"/>
  </r>
  <r>
    <x v="838"/>
    <s v="Hussain Ali"/>
    <x v="0"/>
    <s v="Samsung Galaxy S24"/>
    <x v="2"/>
    <x v="0"/>
    <s v="Mobile Phones"/>
    <n v="79930"/>
    <n v="3"/>
    <n v="239790"/>
    <n v="0"/>
    <x v="2"/>
    <n v="159860"/>
    <n v="18"/>
    <n v="28774.799999999999"/>
    <n v="0"/>
    <n v="188634.8"/>
    <x v="1"/>
    <s v="Express"/>
    <x v="2"/>
    <x v="0"/>
    <s v="Aman Bhatia"/>
    <s v="West"/>
    <s v="Vijayawada"/>
    <s v="Andhra Pradesh"/>
    <x v="2"/>
    <s v="376974"/>
    <s v="Newuser"/>
    <n v="4"/>
    <s v="No"/>
    <s v="other"/>
    <s v="WH-08"/>
    <s v="Bluedart"/>
    <d v="2023-12-25T00:00:00"/>
    <x v="183"/>
    <d v="2023-02-02T00:00:00"/>
    <s v="hussaina@yahoo_co_in"/>
    <s v="68146 47023"/>
  </r>
  <r>
    <x v="839"/>
    <s v="Manisha Kadam"/>
    <x v="1"/>
    <s v="Hp Laserjet 1020"/>
    <x v="0"/>
    <x v="0"/>
    <s v="Printers"/>
    <n v="11570"/>
    <n v="2"/>
    <n v="23140"/>
    <n v="15"/>
    <x v="585"/>
    <n v="19669"/>
    <n v="18"/>
    <n v="3540.42"/>
    <n v="0"/>
    <n v="23209.42"/>
    <x v="0"/>
    <s v="Overnight"/>
    <x v="0"/>
    <x v="1"/>
    <s v="Anjali Mehta"/>
    <s v="South"/>
    <s v="Surat"/>
    <s v="Gujarat"/>
    <x v="4"/>
    <s v="480139"/>
    <s v="None"/>
    <n v="4"/>
    <s v="No"/>
    <s v="other"/>
    <s v="WH-11"/>
    <s v="Delhivery"/>
    <d v="2023-04-09T00:00:00"/>
    <x v="428"/>
    <d v="2023-04-18T00:00:00"/>
    <s v="manisha_kadam@gmail_com"/>
    <s v="7296561206"/>
  </r>
  <r>
    <x v="840"/>
    <s v="Ravi Shankar"/>
    <x v="3"/>
    <s v="Godrej 236L Fridge"/>
    <x v="14"/>
    <x v="1"/>
    <s v="Refrigerators"/>
    <n v="21450"/>
    <n v="1"/>
    <n v="21450"/>
    <n v="5"/>
    <x v="586"/>
    <n v="20377.5"/>
    <n v="5"/>
    <n v="1018.88"/>
    <n v="0"/>
    <n v="21396.38"/>
    <x v="3"/>
    <s v="Express"/>
    <x v="3"/>
    <x v="0"/>
    <s v="Anjali Mehta"/>
    <s v="South"/>
    <s v="Thiruvananthapuram"/>
    <s v="Kerala"/>
    <x v="2"/>
    <s v="165661"/>
    <s v="None"/>
    <n v="5"/>
    <s v="No"/>
    <s v="other"/>
    <s v="WH-09"/>
    <s v="Delhivery"/>
    <d v="2023-06-24T00:00:00"/>
    <x v="428"/>
    <d v="2023-07-07T00:00:00"/>
    <s v="shankar_ravi@gmail_com"/>
    <s v="8918198052"/>
  </r>
  <r>
    <x v="841"/>
    <s v="Kunal Oberoi"/>
    <x v="3"/>
    <s v="Adidas Ultraboost 22"/>
    <x v="18"/>
    <x v="2"/>
    <s v="Footwear"/>
    <n v="14530"/>
    <n v="3"/>
    <n v="43590"/>
    <n v="5"/>
    <x v="587"/>
    <n v="41410.5"/>
    <n v="12"/>
    <n v="4969.26"/>
    <n v="0"/>
    <n v="46379.76"/>
    <x v="2"/>
    <s v="Overnight"/>
    <x v="3"/>
    <x v="2"/>
    <s v="Ankit Sharma"/>
    <s v="North"/>
    <s v="Warangal"/>
    <s v="Telangana"/>
    <x v="2"/>
    <s v="298803"/>
    <s v="Save10"/>
    <n v="4"/>
    <s v="Yes"/>
    <s v="Late Delivery"/>
    <s v="WH-03"/>
    <s v="Ekart"/>
    <d v="2023-05-26T00:00:00"/>
    <x v="413"/>
    <d v="2023-06-04T00:00:00"/>
    <s v="koberoi@gmail_com"/>
    <s v="7914387673"/>
  </r>
  <r>
    <x v="842"/>
    <s v="Meena Iyer"/>
    <x v="0"/>
    <s v="Sony Wh-1000Xm5"/>
    <x v="1"/>
    <x v="0"/>
    <s v="Audio"/>
    <n v="29130"/>
    <n v="2"/>
    <n v="58260"/>
    <n v="15"/>
    <x v="588"/>
    <n v="49521"/>
    <n v="18"/>
    <n v="8913.7800000000007"/>
    <n v="0"/>
    <n v="58434.78"/>
    <x v="3"/>
    <s v="Standard"/>
    <x v="0"/>
    <x v="4"/>
    <s v="Vinay Joshi"/>
    <s v="Central"/>
    <s v="Surat"/>
    <s v="Gujarat"/>
    <x v="4"/>
    <s v="385560"/>
    <s v="Newuser"/>
    <n v="4"/>
    <s v="No"/>
    <s v="other"/>
    <s v="WH-02"/>
    <s v="Delhivery"/>
    <d v="2023-03-22T00:00:00"/>
    <x v="141"/>
    <d v="2023-03-29T00:00:00"/>
    <s v="iyer_meena@gmail_com"/>
    <s v="8160519170"/>
  </r>
  <r>
    <x v="843"/>
    <s v="Uma Shankar"/>
    <x v="0"/>
    <s v="Macbook Air M2"/>
    <x v="13"/>
    <x v="0"/>
    <s v="Laptops"/>
    <n v="110980"/>
    <n v="3"/>
    <n v="332940"/>
    <n v="5"/>
    <x v="589"/>
    <n v="421724"/>
    <n v="18"/>
    <n v="75910.320000000007"/>
    <n v="0"/>
    <n v="497634.32"/>
    <x v="2"/>
    <s v="Economy"/>
    <x v="4"/>
    <x v="4"/>
    <s v="Aman Bhatia"/>
    <s v="West"/>
    <s v="Vijayawada"/>
    <s v="Andhra Pradesh"/>
    <x v="2"/>
    <s v="422700"/>
    <s v="Newuser"/>
    <n v="3"/>
    <s v="Yes"/>
    <s v="other"/>
    <s v="WH-08"/>
    <s v="Dtdc"/>
    <d v="2023-05-27T00:00:00"/>
    <x v="44"/>
    <d v="2023-06-03T00:00:00"/>
    <s v="uma_shankar@gmail_com"/>
    <s v="7564731168"/>
  </r>
  <r>
    <x v="844"/>
    <s v="Priya Patel"/>
    <x v="3"/>
    <s v="Peter England Suit"/>
    <x v="37"/>
    <x v="2"/>
    <s v="Clothing"/>
    <n v="9650"/>
    <n v="1"/>
    <n v="9650"/>
    <n v="0"/>
    <x v="2"/>
    <n v="9650"/>
    <n v="12"/>
    <n v="1158"/>
    <n v="0"/>
    <n v="10808"/>
    <x v="5"/>
    <s v="Express"/>
    <x v="0"/>
    <x v="0"/>
    <s v="Anjali Mehta"/>
    <s v="South"/>
    <s v="Howrah"/>
    <s v="West Bengal"/>
    <x v="1"/>
    <s v="351023"/>
    <s v="None"/>
    <n v="5"/>
    <s v="No"/>
    <s v="other"/>
    <s v="WH-02"/>
    <s v="Ekart"/>
    <d v="2023-09-28T00:00:00"/>
    <x v="202"/>
    <d v="2023-10-09T00:00:00"/>
    <s v="patel_priya@yahoo_co_in"/>
    <s v="6314931813"/>
  </r>
  <r>
    <x v="845"/>
    <s v="Naveen Bajaj"/>
    <x v="0"/>
    <s v="Lavie Handbag"/>
    <x v="12"/>
    <x v="2"/>
    <s v="Bags"/>
    <n v="2940"/>
    <n v="2"/>
    <n v="5880"/>
    <n v="0"/>
    <x v="2"/>
    <n v="5880"/>
    <n v="12"/>
    <n v="705.6"/>
    <n v="0"/>
    <n v="6585.6"/>
    <x v="1"/>
    <s v="Economy"/>
    <x v="0"/>
    <x v="4"/>
    <s v="Aman Bhatia"/>
    <s v="South"/>
    <s v="Kanpur"/>
    <s v="Uttar Pradesh"/>
    <x v="0"/>
    <s v="125070"/>
    <s v="Summer15"/>
    <n v="4"/>
    <s v="No"/>
    <s v="other"/>
    <s v="WH-07"/>
    <s v="Amazon Logistics"/>
    <d v="2024-05-03T00:00:00"/>
    <x v="429"/>
    <d v="2024-05-15T00:00:00"/>
    <s v="naveenb@gmail_com"/>
    <s v=" 6588302136"/>
  </r>
  <r>
    <x v="846"/>
    <s v="Nisha Jain"/>
    <x v="3"/>
    <s v="Iphone 15 Pro"/>
    <x v="13"/>
    <x v="0"/>
    <s v="Mobile Phones"/>
    <n v="85300"/>
    <n v="3"/>
    <n v="255900"/>
    <n v="10"/>
    <x v="590"/>
    <n v="230310"/>
    <n v="18"/>
    <n v="41455.800000000003"/>
    <n v="0"/>
    <n v="271765.8"/>
    <x v="6"/>
    <s v="Express"/>
    <x v="0"/>
    <x v="0"/>
    <s v="Aman Bhatia"/>
    <s v="West"/>
    <s v="Coimbatore"/>
    <s v="Tamil Nadu"/>
    <x v="2"/>
    <s v="199651"/>
    <s v="None"/>
    <n v="4"/>
    <s v="No"/>
    <s v="other"/>
    <s v="WH-11"/>
    <s v="Ekart"/>
    <d v="2023-02-01T00:00:00"/>
    <x v="54"/>
    <d v="2023-02-06T00:00:00"/>
    <s v="nishaj@gmail_com"/>
    <s v="7781469539"/>
  </r>
  <r>
    <x v="847"/>
    <s v="Deepak  Nair"/>
    <x v="0"/>
    <s v="Classmate Notebook"/>
    <x v="9"/>
    <x v="3"/>
    <s v="Books"/>
    <n v="110"/>
    <n v="1"/>
    <n v="110"/>
    <n v="15"/>
    <x v="251"/>
    <n v="93.5"/>
    <n v="5"/>
    <n v="4.67"/>
    <n v="49"/>
    <n v="98.17"/>
    <x v="6"/>
    <s v="Standard"/>
    <x v="3"/>
    <x v="3"/>
    <s v="Karim Sheikh"/>
    <s v="North"/>
    <s v="Hyderabad"/>
    <s v="Telangana"/>
    <x v="2"/>
    <s v="457944"/>
    <s v="Newuser"/>
    <n v="3"/>
    <s v="Yes"/>
    <s v="Late Delivery"/>
    <s v="WH-07"/>
    <s v="Dtdc"/>
    <d v="2023-01-31T00:00:00"/>
    <x v="243"/>
    <d v="2023-02-07T00:00:00"/>
    <s v="deepak_nair@yahoo_com"/>
    <s v="6748562378"/>
  </r>
  <r>
    <x v="848"/>
    <s v="Sunil Jadhav"/>
    <x v="2"/>
    <s v="Maggi Noodles 12-Pack"/>
    <x v="40"/>
    <x v="5"/>
    <s v="Instant Foods"/>
    <n v="170"/>
    <n v="1"/>
    <n v="170"/>
    <n v="20"/>
    <x v="591"/>
    <n v="136"/>
    <n v="5"/>
    <n v="6.8"/>
    <n v="149"/>
    <n v="142.80000000000001"/>
    <x v="0"/>
    <s v="Express"/>
    <x v="4"/>
    <x v="2"/>
    <s v="Neha Kulkarni"/>
    <s v="West"/>
    <s v="Kozhikode"/>
    <s v="Kerala"/>
    <x v="2"/>
    <s v="505659"/>
    <s v="Diwali25"/>
    <n v="3"/>
    <s v="Yes"/>
    <s v="Changed Mind"/>
    <s v="WH-05"/>
    <s v="Delhivery"/>
    <d v="2023-03-18T00:00:00"/>
    <x v="29"/>
    <d v="2023-04-01T00:00:00"/>
    <s v="sunil_jadhav@gmail_com"/>
    <s v=" 6859294583"/>
  </r>
  <r>
    <x v="347"/>
    <s v="Pallavi Gaikwad"/>
    <x v="0"/>
    <s v="Levi'S 511 Jeans"/>
    <x v="10"/>
    <x v="2"/>
    <s v="Clothing"/>
    <n v="3110"/>
    <n v="1"/>
    <n v="3110"/>
    <n v="25"/>
    <x v="592"/>
    <n v="2332.5"/>
    <n v="12"/>
    <n v="279.89999999999998"/>
    <n v="49"/>
    <n v="2612.4"/>
    <x v="4"/>
    <s v="Standard"/>
    <x v="4"/>
    <x v="1"/>
    <s v="Anjali Mehta"/>
    <s v="South"/>
    <s v="Ranchi"/>
    <s v="Jharkhand"/>
    <x v="1"/>
    <s v="636845"/>
    <s v="Flat500"/>
    <n v="3"/>
    <s v="Yes"/>
    <s v="Late Delivery"/>
    <s v="WH-11"/>
    <s v="Delhivery"/>
    <d v="2023-06-09T00:00:00"/>
    <x v="139"/>
    <d v="2023-06-19T00:00:00"/>
    <s v="gaikwad_pallavi@gmail_com"/>
    <s v="9437412698"/>
  </r>
  <r>
    <x v="849"/>
    <s v="Kunal Oberoi"/>
    <x v="0"/>
    <s v="Voltas 1.5T Ac"/>
    <x v="19"/>
    <x v="1"/>
    <s v="Air Conditioners"/>
    <n v="37230"/>
    <n v="9"/>
    <n v="335070"/>
    <n v="5"/>
    <x v="593"/>
    <n v="318316.5"/>
    <n v="5"/>
    <n v="15915.83"/>
    <n v="0"/>
    <n v="334232.33"/>
    <x v="3"/>
    <s v="Overnight"/>
    <x v="0"/>
    <x v="2"/>
    <s v="Neha Kulkarni"/>
    <s v="West"/>
    <s v="Cuttack"/>
    <s v="Odisha"/>
    <x v="1"/>
    <s v="506851"/>
    <s v="Flat500"/>
    <n v="4"/>
    <s v="No"/>
    <s v="other"/>
    <s v="WH-12"/>
    <s v="Delhivery"/>
    <d v="2023-07-05T00:00:00"/>
    <x v="78"/>
    <d v="2023-07-10T00:00:00"/>
    <s v="kunal_oberoi@gmail_com"/>
    <s v="60557 38410"/>
  </r>
  <r>
    <x v="850"/>
    <s v="Durga Prasad"/>
    <x v="0"/>
    <s v="Hp Pavilion 15"/>
    <x v="0"/>
    <x v="0"/>
    <s v="Laptops"/>
    <n v="65140"/>
    <n v="7"/>
    <n v="455980"/>
    <n v="20"/>
    <x v="594"/>
    <n v="364784"/>
    <n v="18"/>
    <n v="65661.119999999995"/>
    <n v="0"/>
    <n v="430445.12"/>
    <x v="3"/>
    <s v="Economy"/>
    <x v="5"/>
    <x v="3"/>
    <s v="Raj Kumar"/>
    <s v="North"/>
    <s v="Kolkata"/>
    <s v="West Bengal"/>
    <x v="1"/>
    <s v="130606"/>
    <s v="Diwali25"/>
    <n v="1"/>
    <s v="No"/>
    <s v="other"/>
    <s v="WH-04"/>
    <s v="Amazon Logistics"/>
    <d v="2023-10-28T00:00:00"/>
    <x v="34"/>
    <d v="2023-11-04T00:00:00"/>
    <s v="durga_prasad@gmail_com"/>
    <s v="6882499696"/>
  </r>
  <r>
    <x v="851"/>
    <s v="Pallavi Gaikwad"/>
    <x v="3"/>
    <s v="Macbook Air M2"/>
    <x v="13"/>
    <x v="0"/>
    <s v="Laptops"/>
    <n v="119360"/>
    <n v="1"/>
    <n v="119360"/>
    <n v="10"/>
    <x v="595"/>
    <n v="107424"/>
    <n v="18"/>
    <n v="19336.32"/>
    <n v="0"/>
    <n v="126760.32000000001"/>
    <x v="6"/>
    <s v="Same Day"/>
    <x v="3"/>
    <x v="3"/>
    <s v="Suraj Verma"/>
    <s v="East"/>
    <s v="Bhubaneswar"/>
    <s v="Odisha"/>
    <x v="1"/>
    <s v="187282"/>
    <s v="Flat500"/>
    <n v="5"/>
    <s v="No"/>
    <s v="other"/>
    <s v="WH-06"/>
    <s v="Delhivery"/>
    <d v="2024-05-04T00:00:00"/>
    <x v="430"/>
    <d v="2024-12-04T00:00:00"/>
    <s v="pgaikwad@gmail_com"/>
    <s v="6999007256"/>
  </r>
  <r>
    <x v="852"/>
    <s v="Parag Soni"/>
    <x v="0"/>
    <s v="Puma Softride"/>
    <x v="31"/>
    <x v="2"/>
    <s v="Footwear"/>
    <n v="4710"/>
    <n v="4"/>
    <n v="18840"/>
    <n v="20"/>
    <x v="20"/>
    <n v="15072"/>
    <n v="12"/>
    <n v="1808.64"/>
    <n v="0"/>
    <n v="16880.64"/>
    <x v="0"/>
    <s v="Economy"/>
    <x v="0"/>
    <x v="1"/>
    <s v="Karim Sheikh"/>
    <s v="North"/>
    <s v="Hyderabad"/>
    <s v="Telangana"/>
    <x v="2"/>
    <s v="721450"/>
    <s v="None"/>
    <n v="3"/>
    <s v="No"/>
    <s v="other"/>
    <s v="WH-01"/>
    <s v="Dtdc"/>
    <d v="2024-01-05T00:00:00"/>
    <x v="431"/>
    <d v="2024-01-17T00:00:00"/>
    <s v="soni_parag@gmail_com"/>
    <s v="8028944388"/>
  </r>
  <r>
    <x v="853"/>
    <s v="Prakash Dubey"/>
    <x v="0"/>
    <s v="Lg 8Kg Front Load"/>
    <x v="33"/>
    <x v="1"/>
    <s v="Washing Machines"/>
    <n v="46160"/>
    <n v="5"/>
    <n v="230800"/>
    <n v="0"/>
    <x v="2"/>
    <n v="230800"/>
    <n v="5"/>
    <n v="11540"/>
    <n v="0"/>
    <n v="242340"/>
    <x v="5"/>
    <s v="Express"/>
    <x v="0"/>
    <x v="3"/>
    <s v="Anjali Mehta"/>
    <s v="South"/>
    <s v="Cuttack"/>
    <s v="Odisha"/>
    <x v="1"/>
    <s v="230744"/>
    <s v="Newuser"/>
    <n v="2"/>
    <s v="No"/>
    <s v="other"/>
    <s v="WH-01"/>
    <s v="Dtdc"/>
    <d v="2023-10-20T00:00:00"/>
    <x v="50"/>
    <d v="2023-10-27T00:00:00"/>
    <s v="prakash_dubey@rediffmail_com"/>
    <s v="9874075193"/>
  </r>
  <r>
    <x v="854"/>
    <s v="Gurpreet Kaur"/>
    <x v="1"/>
    <s v="Puma Softride"/>
    <x v="31"/>
    <x v="2"/>
    <s v="Footwear"/>
    <n v="5140"/>
    <n v="3"/>
    <n v="15420"/>
    <n v="0"/>
    <x v="2"/>
    <n v="15420"/>
    <n v="12"/>
    <n v="1850.4"/>
    <n v="0"/>
    <n v="17270.400000000001"/>
    <x v="1"/>
    <s v="Express"/>
    <x v="2"/>
    <x v="3"/>
    <s v="Anjali Mehta"/>
    <s v="South"/>
    <s v="Thiruvananthapuram"/>
    <s v="Kerala"/>
    <x v="2"/>
    <s v="317496"/>
    <s v="None"/>
    <n v="5"/>
    <s v="No"/>
    <s v="other"/>
    <s v="WH-07"/>
    <s v="Delhivery"/>
    <d v="2024-04-25T00:00:00"/>
    <x v="216"/>
    <d v="2024-04-30T00:00:00"/>
    <s v="gkaur@outlook_com"/>
    <s v="6317718626"/>
  </r>
  <r>
    <x v="855"/>
    <s v="Dinesh Thakur"/>
    <x v="3"/>
    <s v="Samsung Galaxy S24"/>
    <x v="2"/>
    <x v="0"/>
    <s v="Mobile Phones"/>
    <n v="74840"/>
    <n v="1"/>
    <n v="74840"/>
    <n v="0"/>
    <x v="2"/>
    <n v="74840"/>
    <n v="18"/>
    <n v="13471.2"/>
    <n v="0"/>
    <n v="88311.2"/>
    <x v="5"/>
    <s v="Same Day"/>
    <x v="0"/>
    <x v="3"/>
    <s v="Neha Kulkarni"/>
    <s v="West"/>
    <s v="Gaya"/>
    <s v="Bihar"/>
    <x v="1"/>
    <s v="737750"/>
    <s v="Flat500"/>
    <n v="5"/>
    <s v="Yes"/>
    <s v="Wrong Item"/>
    <s v="WH-10"/>
    <s v="Delhivery"/>
    <d v="2024-02-17T00:00:00"/>
    <x v="432"/>
    <d v="2024-02-28T00:00:00"/>
    <s v="dinesh_thakur@gmail_com"/>
    <s v="9012893482"/>
  </r>
  <r>
    <x v="856"/>
    <s v="Parag Soni"/>
    <x v="0"/>
    <s v="Lg 8Kg Front Load"/>
    <x v="33"/>
    <x v="1"/>
    <s v="Washing Machines"/>
    <n v="51660"/>
    <n v="3"/>
    <n v="154980"/>
    <n v="0"/>
    <x v="2"/>
    <n v="154980"/>
    <n v="5"/>
    <n v="7749"/>
    <n v="0"/>
    <n v="162729"/>
    <x v="5"/>
    <s v="Economy"/>
    <x v="2"/>
    <x v="0"/>
    <s v="Aman Bhatia"/>
    <s v="West"/>
    <s v="Kolkata"/>
    <s v="West Bengal"/>
    <x v="1"/>
    <s v="537758"/>
    <s v="Flat500"/>
    <n v="5"/>
    <s v="No"/>
    <s v="other"/>
    <s v="WH-03"/>
    <s v="Delhivery"/>
    <d v="2023-10-01T00:00:00"/>
    <x v="338"/>
    <d v="2023-10-11T00:00:00"/>
    <s v="parags@gmail_com"/>
    <s v=" 7445766162"/>
  </r>
  <r>
    <x v="857"/>
    <s v="Saraswathi Rao"/>
    <x v="0"/>
    <s v="Voltas 1.5T Ac"/>
    <x v="19"/>
    <x v="1"/>
    <s v="Air Conditioners"/>
    <n v="36670"/>
    <n v="5"/>
    <n v="183350"/>
    <n v="25"/>
    <x v="596"/>
    <n v="137512.5"/>
    <n v="5"/>
    <n v="6875.62"/>
    <n v="0"/>
    <n v="144388.12"/>
    <x v="0"/>
    <s v="Economy"/>
    <x v="0"/>
    <x v="3"/>
    <s v="Sneha Reddy"/>
    <s v="South"/>
    <s v="Mangaluru"/>
    <s v="Karnataka"/>
    <x v="2"/>
    <s v="407508"/>
    <s v="Newuser"/>
    <n v="4"/>
    <s v="No"/>
    <s v="other"/>
    <s v="WH-08"/>
    <s v="Ekart"/>
    <d v="2023-03-07T00:00:00"/>
    <x v="433"/>
    <d v="2023-03-11T00:00:00"/>
    <s v="rao_saraswathi@gmail_com"/>
    <s v="8435354256"/>
  </r>
  <r>
    <x v="858"/>
    <s v="Chandni Gupta"/>
    <x v="3"/>
    <s v="Logitech Mx Master 3"/>
    <x v="41"/>
    <x v="0"/>
    <s v="Accessories"/>
    <n v="9330"/>
    <n v="3"/>
    <n v="27990"/>
    <n v="0"/>
    <x v="2"/>
    <n v="27990"/>
    <n v="18"/>
    <n v="5038.2"/>
    <n v="0"/>
    <n v="33028.199999999997"/>
    <x v="6"/>
    <s v="Express"/>
    <x v="1"/>
    <x v="3"/>
    <s v="Anjali Mehta"/>
    <s v="South"/>
    <s v="Raipur"/>
    <s v="Chhattisgarh"/>
    <x v="3"/>
    <m/>
    <s v="Save10"/>
    <n v="4"/>
    <s v="No"/>
    <s v="other"/>
    <s v="WH-06"/>
    <s v="Delhivery"/>
    <d v="2024-04-19T00:00:00"/>
    <x v="301"/>
    <d v="2024-05-01T00:00:00"/>
    <s v="chandni_gupta@gmail_com"/>
    <s v="8611959737"/>
  </r>
  <r>
    <x v="577"/>
    <s v="Pooja Agarwal"/>
    <x v="0"/>
    <s v="Maggi Noodles 12-Pack"/>
    <x v="40"/>
    <x v="5"/>
    <s v="Instant Foods"/>
    <n v="180"/>
    <n v="1"/>
    <n v="180"/>
    <n v="5"/>
    <x v="597"/>
    <n v="171"/>
    <n v="5"/>
    <n v="8.5500000000000007"/>
    <n v="49"/>
    <n v="179.55"/>
    <x v="3"/>
    <s v="Express"/>
    <x v="3"/>
    <x v="0"/>
    <s v="Ritu Singh"/>
    <s v="Central"/>
    <s v="Bhopal"/>
    <s v="Madhya Pradesh"/>
    <x v="3"/>
    <s v="327602"/>
    <s v="Save10"/>
    <n v="5"/>
    <s v="No"/>
    <s v="other"/>
    <s v="WH-10"/>
    <s v="Ekart"/>
    <d v="2023-04-08T00:00:00"/>
    <x v="333"/>
    <d v="2023-12-08T00:00:00"/>
    <s v="agarwal_pooja@gmail_com"/>
    <s v="7205555628"/>
  </r>
  <r>
    <x v="859"/>
    <s v="Paramjit Brar"/>
    <x v="0"/>
    <s v="Godrej 236L Fridge"/>
    <x v="14"/>
    <x v="1"/>
    <s v="Refrigerators"/>
    <n v="23250"/>
    <n v="3"/>
    <n v="69750"/>
    <n v="10"/>
    <x v="598"/>
    <n v="62775"/>
    <n v="5"/>
    <n v="3138.75"/>
    <n v="0"/>
    <n v="65913.75"/>
    <x v="5"/>
    <s v="Express"/>
    <x v="1"/>
    <x v="0"/>
    <s v="Karim Sheikh"/>
    <s v="North"/>
    <s v="Jabalpur"/>
    <s v="Madhya Pradesh"/>
    <x v="3"/>
    <s v="454153"/>
    <s v="Flat500"/>
    <n v="4"/>
    <s v="No"/>
    <s v="other"/>
    <s v="WH-10"/>
    <s v="Dtdc"/>
    <d v="2024-03-26T00:00:00"/>
    <x v="23"/>
    <d v="2024-04-04T00:00:00"/>
    <s v="pbrar@gmail_com"/>
    <s v="7846074562"/>
  </r>
  <r>
    <x v="860"/>
    <s v="Meena Iyer"/>
    <x v="3"/>
    <s v="Logitech Mx Master 3"/>
    <x v="41"/>
    <x v="0"/>
    <s v="Accessories"/>
    <n v="8850"/>
    <n v="1"/>
    <n v="8850"/>
    <n v="0"/>
    <x v="2"/>
    <n v="8850"/>
    <n v="18"/>
    <n v="1593"/>
    <n v="0"/>
    <n v="10443"/>
    <x v="5"/>
    <s v="Economy"/>
    <x v="0"/>
    <x v="4"/>
    <s v="Ritu Singh"/>
    <s v="Central"/>
    <s v="Warangal"/>
    <s v="Telangana"/>
    <x v="2"/>
    <s v="196565"/>
    <s v="None"/>
    <n v="4"/>
    <s v="No"/>
    <s v="other"/>
    <s v="WH-07"/>
    <s v="Bluedart"/>
    <d v="2023-02-18T00:00:00"/>
    <x v="100"/>
    <d v="2023-02-28T00:00:00"/>
    <s v="meena_iyer@gmail_com"/>
    <s v="9971890112"/>
  </r>
  <r>
    <x v="861"/>
    <s v="Bhavani Shankar"/>
    <x v="0"/>
    <s v="Canon Eos 200D"/>
    <x v="7"/>
    <x v="0"/>
    <s v="Cameras"/>
    <n v="53720"/>
    <n v="15"/>
    <n v="805800"/>
    <n v="10"/>
    <x v="599"/>
    <n v="725220"/>
    <n v="18"/>
    <n v="130539.6"/>
    <n v="0"/>
    <n v="855759.6"/>
    <x v="1"/>
    <s v="Express"/>
    <x v="0"/>
    <x v="1"/>
    <s v="Priya Sinha"/>
    <s v="West"/>
    <s v="Madurai"/>
    <s v="Tamil Nadu"/>
    <x v="2"/>
    <s v="404412"/>
    <s v="None"/>
    <n v="4"/>
    <s v="No"/>
    <s v="other"/>
    <s v="WH-01"/>
    <s v="Bluedart"/>
    <d v="2024-03-29T00:00:00"/>
    <x v="224"/>
    <d v="2024-04-09T00:00:00"/>
    <s v="bhavanis@yahoo_com"/>
    <s v="60741 66430"/>
  </r>
  <r>
    <x v="862"/>
    <s v="Parag Soni"/>
    <x v="0"/>
    <s v="Pepperfry Coffee Table"/>
    <x v="20"/>
    <x v="4"/>
    <s v="Tables"/>
    <n v="11530"/>
    <n v="1"/>
    <n v="11530"/>
    <n v="10"/>
    <x v="526"/>
    <n v="10377"/>
    <n v="5"/>
    <n v="518.85"/>
    <n v="0"/>
    <n v="10895.85"/>
    <x v="5"/>
    <s v="Express"/>
    <x v="0"/>
    <x v="0"/>
    <s v="Karim Sheikh"/>
    <s v="North"/>
    <s v="Udaipur"/>
    <s v="Rajasthan"/>
    <x v="0"/>
    <s v="622968"/>
    <s v="Save10"/>
    <n v="4"/>
    <s v="No"/>
    <s v="other"/>
    <s v="WH-02"/>
    <s v="Ekart"/>
    <d v="2024-09-04T00:00:00"/>
    <x v="138"/>
    <d v="2024-04-24T00:00:00"/>
    <s v="parag_soni@gmail_com"/>
    <s v="6056476585"/>
  </r>
  <r>
    <x v="576"/>
    <s v="Chandni Gupta"/>
    <x v="3"/>
    <s v="Godrej Interio Desk"/>
    <x v="14"/>
    <x v="4"/>
    <s v="Desks"/>
    <n v="19020"/>
    <n v="3"/>
    <n v="57060"/>
    <n v="5"/>
    <x v="600"/>
    <n v="54207"/>
    <n v="5"/>
    <n v="2710.35"/>
    <n v="0"/>
    <n v="56917.35"/>
    <x v="2"/>
    <s v="Overnight"/>
    <x v="0"/>
    <x v="1"/>
    <s v="Ankit Sharma"/>
    <s v="North"/>
    <s v="Rajkot"/>
    <s v="Gujarat"/>
    <x v="4"/>
    <s v="257917"/>
    <s v="Newuser"/>
    <n v="2"/>
    <s v="No"/>
    <s v="other"/>
    <s v="WH-11"/>
    <s v="Delhivery"/>
    <d v="2023-08-11T00:00:00"/>
    <x v="111"/>
    <d v="2023-08-26T00:00:00"/>
    <s v="chandnig@gmail_com"/>
    <s v="6000267554"/>
  </r>
  <r>
    <x v="863"/>
    <s v="Vishal Chaudhary"/>
    <x v="0"/>
    <s v="Daikin 1.5T Inverter"/>
    <x v="30"/>
    <x v="1"/>
    <s v="Air Conditioners"/>
    <n v="48080"/>
    <n v="7"/>
    <n v="336560"/>
    <n v="15"/>
    <x v="601"/>
    <n v="286076"/>
    <n v="5"/>
    <n v="14303.8"/>
    <n v="0"/>
    <n v="300379.8"/>
    <x v="4"/>
    <s v="Standard"/>
    <x v="0"/>
    <x v="0"/>
    <s v="Pooja Nair"/>
    <s v="South"/>
    <s v="Jodhpur"/>
    <s v="Rajasthan"/>
    <x v="0"/>
    <s v="495302"/>
    <s v="None"/>
    <n v="4"/>
    <s v="No"/>
    <s v="other"/>
    <s v="WH-06"/>
    <s v="Delhivery"/>
    <d v="2023-09-12T00:00:00"/>
    <x v="152"/>
    <d v="2023-09-21T00:00:00"/>
    <s v="vchaudhary@yahoo_co_in"/>
    <s v="6065772112"/>
  </r>
  <r>
    <x v="864"/>
    <s v="Nidhi Joshi"/>
    <x v="3"/>
    <s v="Macbook Air M2"/>
    <x v="13"/>
    <x v="0"/>
    <s v="Laptops"/>
    <n v="115380"/>
    <n v="3"/>
    <n v="346140"/>
    <n v="5"/>
    <x v="602"/>
    <n v="328833"/>
    <n v="18"/>
    <n v="59189.94"/>
    <n v="0"/>
    <n v="388022.94"/>
    <x v="1"/>
    <s v="Same Day"/>
    <x v="0"/>
    <x v="1"/>
    <s v="Anjali Mehta"/>
    <s v="South"/>
    <s v="Delhi"/>
    <s v="Delhi"/>
    <x v="0"/>
    <s v="798482"/>
    <s v="Newuser"/>
    <n v="4"/>
    <s v="No"/>
    <s v="other"/>
    <s v="WH-01"/>
    <s v="Delhivery"/>
    <d v="2024-07-04T00:00:00"/>
    <x v="138"/>
    <d v="2024-04-16T00:00:00"/>
    <s v="nidhij@yahoo_co_in"/>
    <s v="6252577689"/>
  </r>
  <r>
    <x v="865"/>
    <s v="Varsha Shinde"/>
    <x v="0"/>
    <s v="Parker Pen Set"/>
    <x v="36"/>
    <x v="3"/>
    <s v="Writing"/>
    <n v="800"/>
    <n v="20"/>
    <n v="16000"/>
    <n v="10"/>
    <x v="603"/>
    <n v="14400"/>
    <n v="5"/>
    <n v="720"/>
    <n v="0"/>
    <n v="15120"/>
    <x v="1"/>
    <s v="Express"/>
    <x v="0"/>
    <x v="4"/>
    <s v="Anjali Mehta"/>
    <s v="South"/>
    <s v="Jamshedpur"/>
    <s v="Jharkhand"/>
    <x v="1"/>
    <s v="713653"/>
    <s v="Flat500"/>
    <n v="4"/>
    <s v="No"/>
    <s v="other"/>
    <s v="WH-06"/>
    <s v="Amazon Logistics"/>
    <d v="2024-03-26T00:00:00"/>
    <x v="419"/>
    <d v="2024-04-05T00:00:00"/>
    <s v="varsha_shinde@yahoo_co_in"/>
    <s v="9533841629"/>
  </r>
  <r>
    <x v="866"/>
    <s v="Seema Kapoor"/>
    <x v="0"/>
    <s v="Wildcraft Backpack"/>
    <x v="28"/>
    <x v="2"/>
    <s v="Bags"/>
    <n v="2140"/>
    <n v="3"/>
    <n v="6420"/>
    <n v="5"/>
    <x v="604"/>
    <n v="8132"/>
    <n v="12"/>
    <n v="975.84"/>
    <n v="0"/>
    <n v="9107.84"/>
    <x v="4"/>
    <s v="Express"/>
    <x v="1"/>
    <x v="3"/>
    <s v="Sneha Reddy"/>
    <s v="South"/>
    <s v="Jaipur"/>
    <s v="Rajasthan"/>
    <x v="0"/>
    <s v="727855"/>
    <s v="None"/>
    <n v="4"/>
    <s v="No"/>
    <s v="other"/>
    <s v="WH-05"/>
    <s v="Bluedart"/>
    <d v="2023-09-13T00:00:00"/>
    <x v="211"/>
    <d v="2023-09-24T00:00:00"/>
    <s v="kapoor_seema@gmail_com"/>
    <s v="8309647429"/>
  </r>
  <r>
    <x v="867"/>
    <s v="Manoj Tomar"/>
    <x v="0"/>
    <s v="Lenovo Thinkpad E14"/>
    <x v="4"/>
    <x v="0"/>
    <s v="Laptops"/>
    <n v="58560"/>
    <n v="9"/>
    <n v="527040"/>
    <n v="5"/>
    <x v="605"/>
    <n v="500688"/>
    <n v="18"/>
    <n v="90123.839999999997"/>
    <n v="0"/>
    <n v="590811.84"/>
    <x v="0"/>
    <s v="Same Day"/>
    <x v="5"/>
    <x v="1"/>
    <s v="Arjun Das"/>
    <s v="East"/>
    <s v="Kanpur"/>
    <s v="Uttar Pradesh"/>
    <x v="0"/>
    <m/>
    <s v="Newuser"/>
    <n v="5"/>
    <s v="No"/>
    <s v="other"/>
    <s v="WH-01"/>
    <s v="Bluedart"/>
    <d v="2024-06-17T00:00:00"/>
    <x v="181"/>
    <d v="2024-06-22T00:00:00"/>
    <s v="manoj_tomar@yahoo_com"/>
    <s v=" 8246968516"/>
  </r>
  <r>
    <x v="868"/>
    <s v="Rajeev Pawar"/>
    <x v="0"/>
    <s v="Parker Pen Set"/>
    <x v="36"/>
    <x v="3"/>
    <s v="Writing"/>
    <n v="820"/>
    <n v="2"/>
    <n v="1640"/>
    <n v="0"/>
    <x v="2"/>
    <n v="1640"/>
    <n v="5"/>
    <n v="82"/>
    <n v="79"/>
    <n v="1722"/>
    <x v="5"/>
    <s v="Economy"/>
    <x v="0"/>
    <x v="1"/>
    <s v="Anjali Mehta"/>
    <s v="South"/>
    <s v="Howrah"/>
    <s v="West Bengal"/>
    <x v="1"/>
    <s v="417130"/>
    <s v="None"/>
    <n v="4"/>
    <s v="No"/>
    <s v="other"/>
    <s v="WH-08"/>
    <s v="Amazon Logistics"/>
    <d v="2024-05-11T00:00:00"/>
    <x v="434"/>
    <d v="2024-05-23T00:00:00"/>
    <s v="rajeevp@hotmail_com"/>
    <s v="8248816035"/>
  </r>
  <r>
    <x v="869"/>
    <s v="Parvati Devi"/>
    <x v="3"/>
    <s v="Hp Pavilion 15"/>
    <x v="0"/>
    <x v="0"/>
    <s v="Laptops"/>
    <n v="59520"/>
    <n v="2"/>
    <n v="119040"/>
    <n v="10"/>
    <x v="606"/>
    <n v="107136"/>
    <n v="18"/>
    <n v="19284.48"/>
    <n v="0"/>
    <n v="126420.48"/>
    <x v="2"/>
    <s v="Standard"/>
    <x v="4"/>
    <x v="4"/>
    <s v="Priya Sinha"/>
    <s v="West"/>
    <s v="Ranchi"/>
    <s v="Jharkhand"/>
    <x v="1"/>
    <s v="776070"/>
    <s v="None"/>
    <n v="4"/>
    <s v="Yes"/>
    <s v="other"/>
    <s v="WH-05"/>
    <s v="Ekart"/>
    <d v="2024-02-06T00:00:00"/>
    <x v="414"/>
    <d v="2024-06-14T00:00:00"/>
    <s v="pdevi@gmail_com"/>
    <s v="6539091744"/>
  </r>
  <r>
    <x v="870"/>
    <s v="Pallavi Gaikwad"/>
    <x v="0"/>
    <s v="Lg 8Kg Front Load"/>
    <x v="33"/>
    <x v="1"/>
    <s v="Washing Machines"/>
    <n v="47390"/>
    <n v="1"/>
    <n v="47390"/>
    <n v="5"/>
    <x v="607"/>
    <n v="45020.5"/>
    <n v="5"/>
    <n v="2251.0300000000002"/>
    <n v="0"/>
    <n v="47271.53"/>
    <x v="1"/>
    <s v="Same Day"/>
    <x v="2"/>
    <x v="0"/>
    <s v="Aman Bhatia"/>
    <s v="West"/>
    <s v="Asansol"/>
    <s v="West Bengal"/>
    <x v="1"/>
    <s v="797496"/>
    <s v="None"/>
    <n v="5"/>
    <s v="No"/>
    <s v="other"/>
    <s v="WH-03"/>
    <s v="Delhivery"/>
    <d v="2023-10-30T00:00:00"/>
    <x v="435"/>
    <d v="2023-11-04T00:00:00"/>
    <s v="pallavig@gmail_com"/>
    <s v="90805 98018"/>
  </r>
  <r>
    <x v="871"/>
    <s v="Arun Das"/>
    <x v="0"/>
    <s v="Tata Tea Premium 1Kg"/>
    <x v="17"/>
    <x v="5"/>
    <s v="Beverages"/>
    <n v="440"/>
    <n v="3"/>
    <n v="1320"/>
    <n v="10"/>
    <x v="608"/>
    <n v="1188"/>
    <n v="5"/>
    <n v="59.4"/>
    <n v="79"/>
    <n v="1247.4000000000001"/>
    <x v="3"/>
    <s v="Standard"/>
    <x v="0"/>
    <x v="3"/>
    <s v="Ankit Sharma"/>
    <s v="North"/>
    <s v="Vijayawada"/>
    <s v="Andhra Pradesh"/>
    <x v="2"/>
    <s v="202743"/>
    <s v="Festive20"/>
    <n v="5"/>
    <s v="Yes"/>
    <s v="Changed Mind"/>
    <s v="WH-12"/>
    <s v="Delhivery"/>
    <d v="2023-06-24T00:00:00"/>
    <x v="435"/>
    <d v="2023-01-07T00:00:00"/>
    <s v="arun_das@rediffmail_com"/>
    <s v="8294286358"/>
  </r>
  <r>
    <x v="872"/>
    <s v="Balwinder Sandhu"/>
    <x v="0"/>
    <s v="Godrej 236L Fridge"/>
    <x v="14"/>
    <x v="1"/>
    <s v="Refrigerators"/>
    <n v="22520"/>
    <n v="4"/>
    <n v="90080"/>
    <n v="15"/>
    <x v="609"/>
    <n v="76568"/>
    <n v="5"/>
    <n v="3828.4"/>
    <n v="0"/>
    <n v="80396.399999999994"/>
    <x v="5"/>
    <s v="Standard"/>
    <x v="0"/>
    <x v="0"/>
    <s v="Vinay Joshi"/>
    <s v="Central"/>
    <s v="Thiruvananthapuram"/>
    <s v="Kerala"/>
    <x v="2"/>
    <s v="194806"/>
    <s v="Save10"/>
    <n v="3"/>
    <s v="Yes"/>
    <s v="other"/>
    <s v="WH-10"/>
    <s v="India Post"/>
    <d v="2023-06-02T00:00:00"/>
    <x v="436"/>
    <d v="2023-01-07T00:00:00"/>
    <s v="sandhu_balwinder@gmail_com"/>
    <s v="7990941679"/>
  </r>
  <r>
    <x v="873"/>
    <s v="Seema Kapoor"/>
    <x v="0"/>
    <s v="Samsung 253L Fridge"/>
    <x v="2"/>
    <x v="1"/>
    <s v="Refrigerators"/>
    <n v="28590"/>
    <n v="1"/>
    <n v="28590"/>
    <n v="5"/>
    <x v="610"/>
    <n v="27160.5"/>
    <n v="5"/>
    <n v="1358.03"/>
    <n v="0"/>
    <n v="28518.53"/>
    <x v="4"/>
    <s v="Overnight"/>
    <x v="1"/>
    <x v="2"/>
    <s v="Neha Kulkarni"/>
    <s v="West"/>
    <s v="Howrah"/>
    <s v="West Bengal"/>
    <x v="1"/>
    <s v="683824"/>
    <s v="Diwali25"/>
    <n v="4"/>
    <s v="No"/>
    <s v="other"/>
    <s v="WH-10"/>
    <s v="Ekart"/>
    <d v="2024-05-10T00:00:00"/>
    <x v="130"/>
    <d v="2024-05-19T00:00:00"/>
    <s v="seema_kapoor@gmail_com"/>
    <s v="6570197435"/>
  </r>
  <r>
    <x v="285"/>
    <s v="Ramachandran Pillai"/>
    <x v="0"/>
    <s v="Pepperfry Coffee Table"/>
    <x v="20"/>
    <x v="4"/>
    <s v="Tables"/>
    <n v="12390"/>
    <n v="1"/>
    <n v="12390"/>
    <n v="0"/>
    <x v="2"/>
    <n v="12390"/>
    <n v="5"/>
    <n v="619.5"/>
    <n v="0"/>
    <n v="13009.5"/>
    <x v="1"/>
    <s v="Same Day"/>
    <x v="1"/>
    <x v="2"/>
    <s v="Raj Kumar"/>
    <s v="North"/>
    <s v="Asansol"/>
    <s v="West Bengal"/>
    <x v="1"/>
    <s v="209081"/>
    <s v="None"/>
    <n v="4"/>
    <s v="No"/>
    <s v="other"/>
    <s v="WH-11"/>
    <s v="Delhivery"/>
    <d v="2023-05-11T00:00:00"/>
    <x v="393"/>
    <d v="2023-05-23T00:00:00"/>
    <s v="ramachandran_pillai@gmail_com"/>
    <s v="6460957724"/>
  </r>
  <r>
    <x v="874"/>
    <s v="Obeysekara Fernando"/>
    <x v="3"/>
    <s v="Hp Pavilion 15"/>
    <x v="0"/>
    <x v="0"/>
    <s v="Laptops"/>
    <n v="58970"/>
    <n v="1"/>
    <n v="58970"/>
    <n v="5"/>
    <x v="611"/>
    <n v="56021.5"/>
    <n v="18"/>
    <n v="10083.870000000001"/>
    <n v="0"/>
    <n v="66105.37"/>
    <x v="5"/>
    <s v="Same Day"/>
    <x v="3"/>
    <x v="2"/>
    <s v="Anjali Mehta"/>
    <s v="South"/>
    <s v="Kolkata"/>
    <s v="West Bengal"/>
    <x v="1"/>
    <s v="644932"/>
    <s v="Flat500"/>
    <n v="4"/>
    <s v="No"/>
    <s v="other"/>
    <s v="WH-04"/>
    <s v="Delhivery"/>
    <d v="2023-09-28T00:00:00"/>
    <x v="437"/>
    <d v="2023-10-09T00:00:00"/>
    <s v="fernando_obeysekara@gmail_com"/>
    <s v="7575552586"/>
  </r>
  <r>
    <x v="875"/>
    <s v="Usha Chopra"/>
    <x v="0"/>
    <s v="Samsung 253L Fridge"/>
    <x v="2"/>
    <x v="1"/>
    <s v="Refrigerators"/>
    <n v="27590"/>
    <n v="3"/>
    <n v="82770"/>
    <n v="25"/>
    <x v="612"/>
    <n v="62077.5"/>
    <n v="5"/>
    <n v="3103.88"/>
    <n v="0"/>
    <n v="65181.38"/>
    <x v="5"/>
    <s v="Standard"/>
    <x v="0"/>
    <x v="3"/>
    <s v="Suraj Verma"/>
    <s v="East"/>
    <s v="Udaipur"/>
    <s v="Rajasthan"/>
    <x v="0"/>
    <s v="412841"/>
    <s v="Festive20"/>
    <n v="4"/>
    <s v="No"/>
    <s v="other"/>
    <s v="WH-11"/>
    <s v="Dtdc"/>
    <d v="2023-10-20T00:00:00"/>
    <x v="55"/>
    <d v="2023-11-03T00:00:00"/>
    <s v="usha_choprayahoo_co_in"/>
    <s v="6511819613"/>
  </r>
  <r>
    <x v="876"/>
    <s v="Rekha Menon"/>
    <x v="0"/>
    <s v="Hp Pavilion 15"/>
    <x v="0"/>
    <x v="0"/>
    <s v="Laptops"/>
    <n v="59960"/>
    <n v="5"/>
    <n v="299800"/>
    <n v="15"/>
    <x v="613"/>
    <n v="254830"/>
    <n v="18"/>
    <n v="45869.4"/>
    <n v="0"/>
    <n v="300699.40000000002"/>
    <x v="4"/>
    <s v="Same Day"/>
    <x v="0"/>
    <x v="0"/>
    <s v="Anjali Mehta"/>
    <s v="South"/>
    <s v="Howrah"/>
    <s v="West Bengal"/>
    <x v="1"/>
    <s v="168473"/>
    <s v="None"/>
    <n v="5"/>
    <s v="No"/>
    <s v="other"/>
    <s v="WH-04"/>
    <s v="Delhivery"/>
    <d v="2023-04-21T00:00:00"/>
    <x v="408"/>
    <d v="2023-05-05T00:00:00"/>
    <s v="rekham@yahoo_co_in"/>
    <s v="8474934768"/>
  </r>
  <r>
    <x v="877"/>
    <s v="Arun Das"/>
    <x v="0"/>
    <s v="Classmate Notebook"/>
    <x v="9"/>
    <x v="3"/>
    <s v="Books"/>
    <n v="110"/>
    <n v="1"/>
    <n v="110"/>
    <n v="25"/>
    <x v="614"/>
    <n v="82.5"/>
    <n v="5"/>
    <n v="4.12"/>
    <n v="49"/>
    <n v="86.62"/>
    <x v="1"/>
    <s v="Economy"/>
    <x v="0"/>
    <x v="3"/>
    <s v="Vinay Joshi"/>
    <s v="Central"/>
    <s v="Kochi"/>
    <s v="Kerala"/>
    <x v="2"/>
    <s v="384372"/>
    <s v="Save10"/>
    <n v="4"/>
    <s v="No"/>
    <s v="other"/>
    <s v="WH-12"/>
    <s v="Delhivery"/>
    <d v="2023-07-02T00:00:00"/>
    <x v="198"/>
    <d v="2023-02-15T00:00:00"/>
    <s v="adas@rediffmail_com"/>
    <s v="9695591268"/>
  </r>
  <r>
    <x v="878"/>
    <s v="Arjun  Nair"/>
    <x v="1"/>
    <s v="Realme Gt 5"/>
    <x v="25"/>
    <x v="0"/>
    <s v="Mobile Phones"/>
    <n v="26210"/>
    <n v="1"/>
    <n v="26210"/>
    <n v="5"/>
    <x v="615"/>
    <n v="24899.5"/>
    <n v="18"/>
    <n v="4481.91"/>
    <n v="0"/>
    <n v="29381.41"/>
    <x v="1"/>
    <s v="Economy"/>
    <x v="0"/>
    <x v="3"/>
    <s v="Priya Sinha"/>
    <s v="West"/>
    <s v="Indore"/>
    <s v="Madhya Pradesh"/>
    <x v="3"/>
    <s v="503596"/>
    <s v="Flat500"/>
    <n v="3"/>
    <s v="No"/>
    <s v="other"/>
    <s v="WH-04"/>
    <s v="Delhivery"/>
    <d v="2023-10-23T00:00:00"/>
    <x v="312"/>
    <d v="2023-11-02T00:00:00"/>
    <s v="arjun_nair@gmail_com"/>
    <s v="63174 02810"/>
  </r>
  <r>
    <x v="879"/>
    <s v="Vishal Chaudhary"/>
    <x v="0"/>
    <s v="Lavie Handbag"/>
    <x v="12"/>
    <x v="2"/>
    <s v="Bags"/>
    <n v="2900"/>
    <n v="1"/>
    <n v="2900"/>
    <n v="20"/>
    <x v="616"/>
    <n v="2320"/>
    <n v="12"/>
    <n v="278.39999999999998"/>
    <n v="99"/>
    <n v="2598.4"/>
    <x v="1"/>
    <s v="Express"/>
    <x v="1"/>
    <x v="3"/>
    <s v="Pooja Nair"/>
    <s v="South"/>
    <s v="Asansol"/>
    <s v="West Bengal"/>
    <x v="1"/>
    <s v="114476"/>
    <s v="Festive20"/>
    <n v="4"/>
    <s v="No"/>
    <s v="other"/>
    <s v="WH-11"/>
    <s v="Dtdc"/>
    <d v="2024-05-22T00:00:00"/>
    <x v="438"/>
    <d v="2024-05-27T00:00:00"/>
    <s v="vchaudhary@yahoo_co_in"/>
    <s v="76023 54722"/>
  </r>
  <r>
    <x v="880"/>
    <s v="Balwinder  Sandhu"/>
    <x v="3"/>
    <s v="Levi'S 511 Jeans"/>
    <x v="10"/>
    <x v="2"/>
    <s v="Clothing"/>
    <n v="29347.846790890268"/>
    <n v="15"/>
    <n v="440217.70186335401"/>
    <n v="0"/>
    <x v="2"/>
    <n v="49200"/>
    <n v="12"/>
    <n v="5904"/>
    <n v="0"/>
    <n v="55104"/>
    <x v="3"/>
    <s v="Economy"/>
    <x v="0"/>
    <x v="4"/>
    <s v="Ritu Singh"/>
    <s v="South"/>
    <s v="Nagpur"/>
    <s v="Maharashtra"/>
    <x v="4"/>
    <s v="374104"/>
    <s v="None"/>
    <n v="3"/>
    <s v="No"/>
    <s v="other"/>
    <s v="WH-06"/>
    <s v="Delhivery"/>
    <d v="2024-01-19T00:00:00"/>
    <x v="350"/>
    <d v="2024-02-02T00:00:00"/>
    <s v="sandhu_balwinder@gmail_com"/>
    <s v="8869800557"/>
  </r>
  <r>
    <x v="881"/>
    <s v="Priya Patel"/>
    <x v="0"/>
    <s v="Samsung 253L Fridge"/>
    <x v="2"/>
    <x v="1"/>
    <s v="Refrigerators"/>
    <n v="27580"/>
    <n v="5"/>
    <n v="137900"/>
    <n v="15"/>
    <x v="617"/>
    <n v="117215"/>
    <n v="5"/>
    <n v="5860.75"/>
    <n v="0"/>
    <n v="123075.75"/>
    <x v="3"/>
    <s v="Overnight"/>
    <x v="1"/>
    <x v="2"/>
    <s v="Pooja Nair"/>
    <s v="South"/>
    <s v="Visakhapatnam"/>
    <s v="Andhra Pradesh"/>
    <x v="2"/>
    <s v="161813"/>
    <s v="None"/>
    <n v="4"/>
    <s v="No"/>
    <s v="other"/>
    <s v="WH-03"/>
    <s v="Dtdc"/>
    <d v="2024-02-06T00:00:00"/>
    <x v="101"/>
    <d v="2024-02-16T00:00:00"/>
    <s v="priya_patel@yahoo_co_in"/>
    <s v="6063191069"/>
  </r>
  <r>
    <x v="882"/>
    <s v="Chirag Desai"/>
    <x v="0"/>
    <s v="Kurl-On King Bed"/>
    <x v="15"/>
    <x v="4"/>
    <s v="Beds"/>
    <n v="53220"/>
    <n v="8"/>
    <n v="425760"/>
    <n v="0"/>
    <x v="2"/>
    <n v="425760"/>
    <n v="5"/>
    <n v="21288"/>
    <n v="0"/>
    <n v="447048"/>
    <x v="0"/>
    <s v="Express"/>
    <x v="1"/>
    <x v="3"/>
    <s v="Raj Kumar"/>
    <s v="North"/>
    <s v="Jabalpur"/>
    <s v="Madhya Pradesh"/>
    <x v="3"/>
    <s v="654679"/>
    <s v="Flat500"/>
    <n v="4"/>
    <s v="No"/>
    <s v="other"/>
    <s v="WH-12"/>
    <s v="Bluedart"/>
    <d v="2023-10-04T00:00:00"/>
    <x v="437"/>
    <d v="2024-02-16T00:00:00"/>
    <s v="chiragd@gmail_com"/>
    <s v="9282435097"/>
  </r>
  <r>
    <x v="883"/>
    <s v="Gopal Menon"/>
    <x v="1"/>
    <s v="Tata Tea Premium 1Kg"/>
    <x v="17"/>
    <x v="5"/>
    <s v="Beverages"/>
    <n v="430"/>
    <n v="1"/>
    <n v="430"/>
    <n v="10"/>
    <x v="618"/>
    <n v="387"/>
    <n v="5"/>
    <n v="19.350000000000001"/>
    <n v="49"/>
    <n v="406.35"/>
    <x v="2"/>
    <s v="Overnight"/>
    <x v="1"/>
    <x v="1"/>
    <s v="Vinay Joshi"/>
    <s v="Central"/>
    <s v="Patna"/>
    <s v="Bihar"/>
    <x v="1"/>
    <s v="402934"/>
    <s v="None"/>
    <n v="4"/>
    <s v="No"/>
    <s v="other"/>
    <s v="WH-10"/>
    <s v="Delhivery"/>
    <d v="2024-04-10T00:00:00"/>
    <x v="138"/>
    <d v="2024-04-21T00:00:00"/>
    <s v="gmenon@gmail_com"/>
    <s v="7617362924"/>
  </r>
  <r>
    <x v="884"/>
    <s v="Venugopal Krishnan"/>
    <x v="1"/>
    <s v="Hp Pavilion 15"/>
    <x v="0"/>
    <x v="0"/>
    <s v="Laptops"/>
    <n v="57320"/>
    <n v="3"/>
    <n v="171960"/>
    <n v="0"/>
    <x v="2"/>
    <n v="171960"/>
    <n v="18"/>
    <n v="30952.799999999999"/>
    <n v="0"/>
    <n v="202912.8"/>
    <x v="4"/>
    <s v="Overnight"/>
    <x v="1"/>
    <x v="3"/>
    <s v="Deepa Menon"/>
    <s v="South"/>
    <s v="Chandigarh"/>
    <s v="Punjab"/>
    <x v="0"/>
    <s v="316309"/>
    <s v="Save10"/>
    <n v="5"/>
    <s v="No"/>
    <s v="other"/>
    <s v="WH-09"/>
    <s v="Ekart"/>
    <d v="2023-11-30T00:00:00"/>
    <x v="439"/>
    <d v="2023-12-06T00:00:00"/>
    <s v="venugopalk@gmail_com"/>
    <s v="8456708939"/>
  </r>
  <r>
    <x v="885"/>
    <s v="Arjun Nair"/>
    <x v="0"/>
    <s v="Nike Air Max 270"/>
    <x v="21"/>
    <x v="2"/>
    <s v="Footwear"/>
    <n v="11190"/>
    <n v="5"/>
    <n v="55950"/>
    <n v="5"/>
    <x v="619"/>
    <n v="53152.5"/>
    <n v="12"/>
    <n v="6378.3"/>
    <n v="0"/>
    <n v="59530.8"/>
    <x v="6"/>
    <s v="Same Day"/>
    <x v="2"/>
    <x v="3"/>
    <s v="Pooja Nair"/>
    <s v="South"/>
    <s v="Kolkata"/>
    <s v="West Bengal"/>
    <x v="1"/>
    <s v="494548"/>
    <s v="None"/>
    <n v="4"/>
    <s v="No"/>
    <s v="other"/>
    <s v="WH-07"/>
    <s v="Amazon Logistics"/>
    <d v="2024-01-09T00:00:00"/>
    <x v="365"/>
    <d v="2024-01-19T00:00:00"/>
    <s v="arjun_nair@gmail_com"/>
    <s v="6300708618"/>
  </r>
  <r>
    <x v="886"/>
    <s v="Abhijeet Sawant"/>
    <x v="0"/>
    <s v="Wildcraft Backpack"/>
    <x v="28"/>
    <x v="2"/>
    <s v="Bags"/>
    <n v="1880"/>
    <n v="2"/>
    <n v="3760"/>
    <n v="10"/>
    <x v="620"/>
    <n v="3384"/>
    <n v="12"/>
    <n v="406.08"/>
    <n v="99"/>
    <n v="3790.08"/>
    <x v="2"/>
    <s v="Standard"/>
    <x v="4"/>
    <x v="1"/>
    <s v="Pooja Nair"/>
    <s v="South"/>
    <s v="Ghaziabad"/>
    <s v="Uttar Pradesh"/>
    <x v="0"/>
    <s v="345847"/>
    <s v="Diwali25"/>
    <n v="3"/>
    <s v="Yes"/>
    <s v="other"/>
    <s v="WH-11"/>
    <s v="Delhivery"/>
    <d v="2023-05-23T00:00:00"/>
    <x v="20"/>
    <d v="2023-05-29T00:00:00"/>
    <s v="abhijeet_sawant@outlook_com"/>
    <s v="9094059647"/>
  </r>
  <r>
    <x v="887"/>
    <s v="Nagalakshmi Venkatesh"/>
    <x v="0"/>
    <s v="Maggi Noodles 12-Pack"/>
    <x v="40"/>
    <x v="5"/>
    <s v="Instant Foods"/>
    <n v="170"/>
    <n v="4"/>
    <n v="680"/>
    <n v="0"/>
    <x v="2"/>
    <n v="680"/>
    <n v="5"/>
    <n v="34"/>
    <n v="49"/>
    <n v="714"/>
    <x v="4"/>
    <s v="Economy"/>
    <x v="0"/>
    <x v="0"/>
    <s v="Karim Sheikh"/>
    <s v="North"/>
    <s v="Jaipur"/>
    <s v="Rajasthan"/>
    <x v="0"/>
    <s v="592558"/>
    <s v="Flat500"/>
    <n v="4"/>
    <s v="No"/>
    <s v="other"/>
    <s v="WH-12"/>
    <s v="Delhivery"/>
    <d v="2023-03-14T00:00:00"/>
    <x v="5"/>
    <d v="2023-03-21T00:00:00"/>
    <s v="nagalakshmi_venkatesh@yahoo_com"/>
    <s v=" 6252649747"/>
  </r>
  <r>
    <x v="888"/>
    <s v="Priya Patel"/>
    <x v="0"/>
    <s v="Voltas 1.5T Ac"/>
    <x v="19"/>
    <x v="1"/>
    <s v="Air Conditioners"/>
    <n v="36830"/>
    <n v="3"/>
    <n v="110490"/>
    <n v="10"/>
    <x v="621"/>
    <n v="99441"/>
    <n v="5"/>
    <n v="4972.05"/>
    <n v="0"/>
    <n v="104413.05"/>
    <x v="3"/>
    <s v="Same Day"/>
    <x v="0"/>
    <x v="0"/>
    <s v="Ankit Sharma"/>
    <s v="South"/>
    <s v="Warangal"/>
    <s v="Telangana"/>
    <x v="2"/>
    <s v="337570"/>
    <s v="Festive20"/>
    <n v="5"/>
    <s v="No"/>
    <s v="other"/>
    <s v="WH-12"/>
    <s v="Dtdc"/>
    <d v="2023-11-01T00:00:00"/>
    <x v="249"/>
    <d v="2023-11-06T00:00:00"/>
    <s v="priya_patel@yahoo_co_in"/>
    <s v=" 7920499306"/>
  </r>
  <r>
    <x v="889"/>
    <s v="Kruti Bhatt"/>
    <x v="0"/>
    <s v="Nike Air Max 270"/>
    <x v="21"/>
    <x v="2"/>
    <s v="Footwear"/>
    <n v="11760"/>
    <n v="1"/>
    <n v="11760"/>
    <n v="5"/>
    <x v="622"/>
    <n v="11172"/>
    <n v="12"/>
    <n v="1340.64"/>
    <n v="0"/>
    <n v="12512.64"/>
    <x v="3"/>
    <s v="Standard"/>
    <x v="0"/>
    <x v="3"/>
    <s v="Pooja Nair"/>
    <s v="South"/>
    <s v="Madurai"/>
    <s v="Tamil Nadu"/>
    <x v="2"/>
    <s v="474656"/>
    <s v="Summer15"/>
    <n v="5"/>
    <s v="No"/>
    <s v="other"/>
    <s v="WH-12"/>
    <s v="Delhivery"/>
    <d v="2023-04-29T00:00:00"/>
    <x v="60"/>
    <d v="2023-05-05T00:00:00"/>
    <s v="kruti_bhatt@gmail_com"/>
    <s v="7111627143"/>
  </r>
  <r>
    <x v="890"/>
    <s v="Rohit Singh"/>
    <x v="1"/>
    <s v="Fastrack Watch"/>
    <x v="6"/>
    <x v="2"/>
    <s v="Accessories"/>
    <n v="2510"/>
    <n v="1"/>
    <n v="2510"/>
    <n v="15"/>
    <x v="623"/>
    <n v="2133.5"/>
    <n v="12"/>
    <n v="256.02"/>
    <n v="49"/>
    <n v="2389.52"/>
    <x v="5"/>
    <s v="Overnight"/>
    <x v="1"/>
    <x v="4"/>
    <s v="Neha Kulkarni"/>
    <s v="West"/>
    <s v="Jamshedpur"/>
    <s v="Jharkhand"/>
    <x v="1"/>
    <s v="430764"/>
    <s v="Diwali25"/>
    <n v="4"/>
    <s v="No"/>
    <s v="other"/>
    <s v="WH-06"/>
    <s v="Ekart"/>
    <d v="2023-11-25T00:00:00"/>
    <x v="439"/>
    <d v="2023-12-06T00:00:00"/>
    <s v="singh_rohit@outlook_com"/>
    <s v="9931914009"/>
  </r>
  <r>
    <x v="891"/>
    <s v="Ravi Shankar"/>
    <x v="0"/>
    <s v="Godrej 236L Fridge"/>
    <x v="14"/>
    <x v="1"/>
    <s v="Refrigerators"/>
    <n v="29347.846790890268"/>
    <n v="3"/>
    <n v="88043.540372670803"/>
    <n v="10"/>
    <x v="624"/>
    <n v="19566"/>
    <n v="5"/>
    <n v="978.3"/>
    <n v="0"/>
    <n v="20544.3"/>
    <x v="6"/>
    <s v="Economy"/>
    <x v="0"/>
    <x v="0"/>
    <s v="Pooja Nair"/>
    <s v="South"/>
    <s v="Bengaluru"/>
    <s v="Karnataka"/>
    <x v="2"/>
    <s v="197289"/>
    <s v="None"/>
    <n v="5"/>
    <s v="No"/>
    <s v="other"/>
    <s v="WH-04"/>
    <s v="Delhivery"/>
    <d v="2023-07-16T00:00:00"/>
    <x v="322"/>
    <d v="2023-12-06T00:00:00"/>
    <s v="ravis@gmail_com"/>
    <s v="8724306777"/>
  </r>
  <r>
    <x v="892"/>
    <s v="Neha Saxena"/>
    <x v="1"/>
    <s v="Centuary Mattress"/>
    <x v="16"/>
    <x v="4"/>
    <s v="Beds"/>
    <n v="14190"/>
    <n v="2"/>
    <n v="28380"/>
    <n v="0"/>
    <x v="2"/>
    <n v="28380"/>
    <n v="5"/>
    <n v="1419"/>
    <n v="0"/>
    <n v="29799"/>
    <x v="0"/>
    <s v="Overnight"/>
    <x v="2"/>
    <x v="3"/>
    <s v="Ritu Singh"/>
    <s v="Central"/>
    <s v="Udaipur"/>
    <s v="Rajasthan"/>
    <x v="0"/>
    <s v="721546"/>
    <s v="Festive20"/>
    <n v="4"/>
    <s v="No"/>
    <s v="other"/>
    <s v="WH-06"/>
    <s v="Delhivery"/>
    <d v="2024-03-18T00:00:00"/>
    <x v="310"/>
    <d v="2024-03-25T00:00:00"/>
    <s v="neha_saxena@gmail_com"/>
    <s v="8110840390"/>
  </r>
  <r>
    <x v="893"/>
    <s v="Kannappan Ponnusamy"/>
    <x v="0"/>
    <s v="Levi'S 511 Jeans"/>
    <x v="10"/>
    <x v="2"/>
    <s v="Clothing"/>
    <n v="29347.846790890268"/>
    <n v="1"/>
    <n v="29347.846790890268"/>
    <n v="15"/>
    <x v="625"/>
    <n v="2516"/>
    <n v="12"/>
    <n v="301.92"/>
    <n v="49"/>
    <n v="2817.92"/>
    <x v="2"/>
    <s v="Overnight"/>
    <x v="1"/>
    <x v="4"/>
    <s v="Anjali Mehta"/>
    <s v="South"/>
    <s v="Vijayawada"/>
    <s v="Andhra Pradesh"/>
    <x v="2"/>
    <s v="770968"/>
    <s v="Save10"/>
    <n v="3"/>
    <s v="No"/>
    <s v="other"/>
    <s v="WH-12"/>
    <s v="Amazon Logistics"/>
    <d v="2023-12-15T00:00:00"/>
    <x v="351"/>
    <d v="2023-12-20T00:00:00"/>
    <s v="kannappan_ponnusamy@gmail_com"/>
    <s v="7644199412"/>
  </r>
  <r>
    <x v="894"/>
    <s v="Gurpreet Kaur"/>
    <x v="0"/>
    <s v="Peter England Suit"/>
    <x v="37"/>
    <x v="2"/>
    <s v="Clothing"/>
    <n v="8920"/>
    <n v="1"/>
    <n v="8920"/>
    <n v="10"/>
    <x v="626"/>
    <n v="8028"/>
    <n v="12"/>
    <n v="963.36"/>
    <n v="0"/>
    <n v="8991.36"/>
    <x v="2"/>
    <s v="Standard"/>
    <x v="4"/>
    <x v="2"/>
    <s v="Ankit Sharma"/>
    <s v="North"/>
    <s v="Bengaluru"/>
    <s v="Karnataka"/>
    <x v="2"/>
    <s v="524854"/>
    <s v="None"/>
    <n v="3"/>
    <s v="Yes"/>
    <s v="other"/>
    <s v="WH-04"/>
    <s v="Ekart"/>
    <d v="2023-01-15T00:00:00"/>
    <x v="405"/>
    <d v="2023-01-21T00:00:00"/>
    <s v="gkaur@outlook_com"/>
    <s v=" 7531575229"/>
  </r>
  <r>
    <x v="895"/>
    <s v="Sangita Ghosh"/>
    <x v="0"/>
    <s v="Logitech Mx Master 3"/>
    <x v="41"/>
    <x v="0"/>
    <s v="Accessories"/>
    <n v="8280"/>
    <n v="1"/>
    <n v="8280"/>
    <n v="0"/>
    <x v="2"/>
    <n v="8280"/>
    <n v="18"/>
    <n v="1490.4"/>
    <n v="0"/>
    <n v="9770.4"/>
    <x v="6"/>
    <s v="Standard"/>
    <x v="0"/>
    <x v="1"/>
    <s v="Aman Bhatia"/>
    <s v="West"/>
    <s v="Ahmedabad"/>
    <s v="Gujarat"/>
    <x v="4"/>
    <s v="160307"/>
    <s v="Flat500"/>
    <n v="4"/>
    <s v="No"/>
    <s v="other"/>
    <s v="WH-10"/>
    <s v="Delhivery"/>
    <d v="2023-01-15T00:00:00"/>
    <x v="405"/>
    <d v="2024-05-28T00:00:00"/>
    <s v="sangita_ghosh@gmail_com"/>
    <s v="7416099097"/>
  </r>
  <r>
    <x v="896"/>
    <s v="Uma Shankar"/>
    <x v="1"/>
    <s v="Dell Xps 15 Laptop"/>
    <x v="23"/>
    <x v="0"/>
    <s v="Laptops"/>
    <n v="132630"/>
    <n v="4"/>
    <n v="530520"/>
    <n v="0"/>
    <x v="2"/>
    <n v="530520"/>
    <n v="18"/>
    <n v="95493.6"/>
    <n v="0"/>
    <n v="626013.6"/>
    <x v="3"/>
    <s v="Same Day"/>
    <x v="0"/>
    <x v="1"/>
    <s v="Pooja Nair"/>
    <s v="South"/>
    <s v="Vijayawada"/>
    <s v="Andhra Pradesh"/>
    <x v="2"/>
    <s v="354611"/>
    <s v="Summer15"/>
    <n v="4"/>
    <s v="No"/>
    <s v="other"/>
    <s v="WH-09"/>
    <s v="Bluedart"/>
    <d v="2023-05-25T00:00:00"/>
    <x v="20"/>
    <d v="2023-05-31T00:00:00"/>
    <s v="ushankar@gmail_com"/>
    <s v="7218956886"/>
  </r>
  <r>
    <x v="897"/>
    <s v="Yeswanth Reddy"/>
    <x v="1"/>
    <s v="Parker Pen Set"/>
    <x v="36"/>
    <x v="3"/>
    <s v="Writing"/>
    <n v="870"/>
    <n v="3"/>
    <n v="2610"/>
    <n v="15"/>
    <x v="627"/>
    <n v="2218.5"/>
    <n v="5"/>
    <n v="110.92"/>
    <n v="99"/>
    <n v="2329.42"/>
    <x v="0"/>
    <s v="Economy"/>
    <x v="0"/>
    <x v="0"/>
    <s v="Pooja Nair"/>
    <s v="South"/>
    <s v="Jodhpur"/>
    <s v="Rajasthan"/>
    <x v="0"/>
    <s v="748093"/>
    <s v="Newuser"/>
    <n v="3"/>
    <s v="No"/>
    <s v="other"/>
    <s v="WH-02"/>
    <s v="Delhivery"/>
    <d v="2024-03-27T00:00:00"/>
    <x v="406"/>
    <d v="2024-04-06T00:00:00"/>
    <s v="reddy_yeswanth@yahoo_co_in"/>
    <s v="6492785234"/>
  </r>
  <r>
    <x v="898"/>
    <s v="Saurabh Kulkarni"/>
    <x v="0"/>
    <s v="Van Heusen Shirt"/>
    <x v="42"/>
    <x v="2"/>
    <s v="Clothing"/>
    <n v="1570"/>
    <n v="1"/>
    <n v="1570"/>
    <n v="5"/>
    <x v="628"/>
    <n v="1491.5"/>
    <n v="12"/>
    <n v="178.98"/>
    <n v="79"/>
    <n v="1670.48"/>
    <x v="0"/>
    <s v="Overnight"/>
    <x v="2"/>
    <x v="3"/>
    <s v="Karim Sheikh"/>
    <s v="North"/>
    <s v="Gaya"/>
    <s v="Bihar"/>
    <x v="1"/>
    <s v="190456"/>
    <s v="Newuser"/>
    <n v="4"/>
    <s v="No"/>
    <s v="other"/>
    <s v="WH-04"/>
    <s v="Delhivery"/>
    <d v="2024-05-29T00:00:00"/>
    <x v="236"/>
    <d v="2024-06-08T00:00:00"/>
    <s v="saurabhk@gmail_com"/>
    <s v="9638346690"/>
  </r>
  <r>
    <x v="879"/>
    <s v="Eswaran Murugan"/>
    <x v="0"/>
    <s v="Lenovo Thinkpad E14"/>
    <x v="4"/>
    <x v="0"/>
    <s v="Laptops"/>
    <n v="62120"/>
    <n v="3"/>
    <n v="186360"/>
    <n v="0"/>
    <x v="2"/>
    <n v="186360"/>
    <n v="18"/>
    <n v="33544.800000000003"/>
    <n v="0"/>
    <n v="219904.8"/>
    <x v="1"/>
    <s v="Express"/>
    <x v="0"/>
    <x v="4"/>
    <s v="Anjali Mehta"/>
    <s v="South"/>
    <s v="Gaya"/>
    <s v="Bihar"/>
    <x v="1"/>
    <s v="168199"/>
    <s v="Newuser"/>
    <n v="5"/>
    <s v="No"/>
    <s v="other"/>
    <s v="WH-07"/>
    <s v="Bluedart"/>
    <d v="2023-10-26T00:00:00"/>
    <x v="228"/>
    <d v="2023-11-11T00:00:00"/>
    <s v="emurugan@rediffmail_com"/>
    <s v="7833788147"/>
  </r>
  <r>
    <x v="899"/>
    <s v="Rahul Sharma"/>
    <x v="0"/>
    <s v="Oneplus 12"/>
    <x v="32"/>
    <x v="0"/>
    <s v="Mobile Phones"/>
    <n v="66420"/>
    <n v="7"/>
    <n v="464940"/>
    <n v="20"/>
    <x v="629"/>
    <n v="371952"/>
    <n v="18"/>
    <n v="66951.360000000001"/>
    <n v="0"/>
    <n v="438903.36"/>
    <x v="2"/>
    <s v="Express"/>
    <x v="0"/>
    <x v="2"/>
    <s v="Arjun Das"/>
    <s v="East"/>
    <s v="Raipur"/>
    <s v="Chhattisgarh"/>
    <x v="3"/>
    <s v="515614"/>
    <s v="None"/>
    <n v="4"/>
    <s v="Yes"/>
    <s v="other"/>
    <s v="WH-01"/>
    <s v="Delhivery"/>
    <d v="2023-07-14T00:00:00"/>
    <x v="326"/>
    <d v="2023-07-27T00:00:00"/>
    <s v="rsharma@gmail_com"/>
    <s v="8632956614"/>
  </r>
  <r>
    <x v="900"/>
    <s v="Rekha Menon"/>
    <x v="0"/>
    <s v="Nilkamal Chair"/>
    <x v="11"/>
    <x v="4"/>
    <s v="Seating"/>
    <n v="29347.846790890268"/>
    <n v="4"/>
    <n v="117391.38716356107"/>
    <n v="5"/>
    <x v="630"/>
    <n v="16150"/>
    <n v="5"/>
    <n v="807.5"/>
    <n v="0"/>
    <n v="16957.5"/>
    <x v="0"/>
    <s v="Same Day"/>
    <x v="0"/>
    <x v="0"/>
    <s v="Neha Kulkarni"/>
    <s v="West"/>
    <s v="Hyderabad"/>
    <s v="Telangana"/>
    <x v="2"/>
    <s v="468440"/>
    <s v="None"/>
    <n v="5"/>
    <s v="No"/>
    <s v="other"/>
    <s v="WH-04"/>
    <s v="Amazon Logistics"/>
    <d v="2023-01-27T00:00:00"/>
    <x v="65"/>
    <d v="2023-02-04T00:00:00"/>
    <s v="rekha_menon@yahoo_co_in"/>
    <s v="9402347145"/>
  </r>
  <r>
    <x v="901"/>
    <s v="Manisha Kadam"/>
    <x v="1"/>
    <s v="Tata Tea Premium 1Kg"/>
    <x v="17"/>
    <x v="5"/>
    <s v="Beverages"/>
    <n v="480"/>
    <n v="3"/>
    <n v="1440"/>
    <n v="15"/>
    <x v="631"/>
    <n v="1224"/>
    <n v="5"/>
    <n v="61.2"/>
    <n v="79"/>
    <n v="1285.2"/>
    <x v="3"/>
    <s v="Overnight"/>
    <x v="1"/>
    <x v="3"/>
    <s v="Arjun Das"/>
    <s v="East"/>
    <s v="Bengaluru"/>
    <s v="Karnataka"/>
    <x v="2"/>
    <s v="263874"/>
    <s v="Diwali25"/>
    <n v="4"/>
    <s v="No"/>
    <s v="other"/>
    <s v="WH-09"/>
    <s v="Bluedart"/>
    <d v="2023-09-22T00:00:00"/>
    <x v="440"/>
    <d v="2023-09-28T00:00:00"/>
    <s v="mkadam@gmail_com"/>
    <s v="9447658390"/>
  </r>
  <r>
    <x v="902"/>
    <s v="Ramachandran Pillai"/>
    <x v="3"/>
    <s v="Peter England Suit"/>
    <x v="37"/>
    <x v="2"/>
    <s v="Clothing"/>
    <n v="9270"/>
    <n v="3"/>
    <n v="27810"/>
    <n v="5"/>
    <x v="632"/>
    <n v="26419.5"/>
    <n v="12"/>
    <n v="3170.34"/>
    <n v="0"/>
    <n v="29589.84"/>
    <x v="6"/>
    <s v="Same Day"/>
    <x v="1"/>
    <x v="3"/>
    <s v="Neha Kulkarni"/>
    <s v="West"/>
    <s v="Jodhpur"/>
    <s v="Rajasthan"/>
    <x v="0"/>
    <s v="613763"/>
    <s v="Newuser"/>
    <n v="5"/>
    <s v="No"/>
    <s v="other"/>
    <s v="WH-09"/>
    <s v="Delhivery"/>
    <d v="2023-09-30T00:00:00"/>
    <x v="441"/>
    <d v="2023-10-04T00:00:00"/>
    <s v="pillai_ramachandran@gmail_com"/>
    <s v="6688698908"/>
  </r>
  <r>
    <x v="903"/>
    <s v="Harpreet Singh"/>
    <x v="0"/>
    <s v="Jbl Flip 6"/>
    <x v="27"/>
    <x v="0"/>
    <s v="Audio"/>
    <n v="9670"/>
    <n v="1"/>
    <n v="9670"/>
    <n v="10"/>
    <x v="633"/>
    <n v="8703"/>
    <n v="18"/>
    <n v="1566.54"/>
    <n v="0"/>
    <n v="10269.540000000001"/>
    <x v="2"/>
    <s v="Overnight"/>
    <x v="5"/>
    <x v="1"/>
    <s v="Karim Sheikh"/>
    <s v="North"/>
    <s v="Hyderabad"/>
    <s v="Telangana"/>
    <x v="2"/>
    <s v="217480"/>
    <s v="None"/>
    <n v="3"/>
    <s v="No"/>
    <s v="other"/>
    <s v="WH-08"/>
    <s v="Delhivery"/>
    <d v="2023-03-29T00:00:00"/>
    <x v="125"/>
    <d v="2023-04-10T00:00:00"/>
    <s v="harpreet_singh@gmail_com"/>
    <s v="8896762182"/>
  </r>
  <r>
    <x v="904"/>
    <s v="Bhavani Shankar"/>
    <x v="0"/>
    <s v="Godrej 236L Fridge"/>
    <x v="14"/>
    <x v="1"/>
    <s v="Refrigerators"/>
    <n v="29347.846790890268"/>
    <n v="4"/>
    <n v="117391.38716356107"/>
    <n v="5"/>
    <x v="634"/>
    <n v="79496"/>
    <n v="5"/>
    <n v="3974.8"/>
    <n v="0"/>
    <n v="83470.8"/>
    <x v="6"/>
    <s v="Standard"/>
    <x v="0"/>
    <x v="1"/>
    <s v="Ankit Sharma"/>
    <s v="North"/>
    <s v="Thiruvananthapuram"/>
    <s v="Kerala"/>
    <x v="2"/>
    <s v="329711"/>
    <s v="None"/>
    <n v="4"/>
    <s v="No"/>
    <s v="other"/>
    <s v="WH-07"/>
    <s v="Amazon Logistics"/>
    <d v="2023-05-25T00:00:00"/>
    <x v="201"/>
    <d v="2023-06-06T00:00:00"/>
    <s v="bshankar@yahoo_com"/>
    <s v="715582218"/>
  </r>
  <r>
    <x v="905"/>
    <s v="Sushma Yadav"/>
    <x v="0"/>
    <s v="Sony Wh-1000Xm5"/>
    <x v="1"/>
    <x v="0"/>
    <s v="Audio"/>
    <n v="32200"/>
    <n v="6"/>
    <n v="193200"/>
    <n v="0"/>
    <x v="2"/>
    <n v="193200"/>
    <n v="18"/>
    <n v="34776"/>
    <n v="0"/>
    <n v="227976"/>
    <x v="1"/>
    <s v="Express"/>
    <x v="1"/>
    <x v="1"/>
    <s v="Neha Kulkarni"/>
    <s v="West"/>
    <s v="Warangal"/>
    <s v="Telangana"/>
    <x v="2"/>
    <s v="312349"/>
    <s v="Save10"/>
    <n v="4"/>
    <s v="No"/>
    <s v="other"/>
    <s v="WH-08"/>
    <s v="Dtdc"/>
    <d v="2023-06-15T00:00:00"/>
    <x v="241"/>
    <d v="2023-06-25T00:00:00"/>
    <s v="sushma_yadav@gmail_com"/>
    <s v="9959770317"/>
  </r>
  <r>
    <x v="906"/>
    <s v="Foram Trivedi"/>
    <x v="2"/>
    <s v="Durian Sofa 3-Seat"/>
    <x v="24"/>
    <x v="4"/>
    <s v="Sofas"/>
    <n v="42240"/>
    <n v="3"/>
    <n v="126720"/>
    <n v="10"/>
    <x v="635"/>
    <n v="114048"/>
    <n v="5"/>
    <n v="5702.4"/>
    <n v="0"/>
    <n v="119750.39999999999"/>
    <x v="0"/>
    <s v="Express"/>
    <x v="4"/>
    <x v="2"/>
    <s v="Pooja Nair"/>
    <s v="South"/>
    <s v="Hubballi"/>
    <s v="Karnataka"/>
    <x v="2"/>
    <s v="637056"/>
    <s v="None"/>
    <n v="4"/>
    <s v="Yes"/>
    <s v="Wrong Item"/>
    <s v="WH-02"/>
    <s v="Delhivery"/>
    <d v="2023-11-16T00:00:00"/>
    <x v="332"/>
    <d v="2023-11-28T00:00:00"/>
    <s v="foram_trivedi@gmail_com"/>
    <s v="7429921192"/>
  </r>
  <r>
    <x v="507"/>
    <s v="Ravi Shankar"/>
    <x v="0"/>
    <s v="Camlin Art Kit"/>
    <x v="34"/>
    <x v="3"/>
    <s v="Art Supplies"/>
    <n v="630"/>
    <n v="7"/>
    <n v="4410"/>
    <n v="25"/>
    <x v="636"/>
    <n v="3307.5"/>
    <n v="5"/>
    <n v="165.38"/>
    <n v="99"/>
    <n v="3472.88"/>
    <x v="3"/>
    <s v="Economy"/>
    <x v="1"/>
    <x v="2"/>
    <s v="Ankit Sharma"/>
    <s v="North"/>
    <s v="Cuttack"/>
    <s v="Odisha"/>
    <x v="1"/>
    <s v="759541"/>
    <s v="Festive20"/>
    <n v="3"/>
    <s v="Yes"/>
    <s v="Changed Mind"/>
    <s v="WH-10"/>
    <s v="Delhivery"/>
    <d v="2024-06-01T00:00:00"/>
    <x v="442"/>
    <d v="2024-06-05T00:00:00"/>
    <s v="ravisgmail_com"/>
    <s v="7054680131"/>
  </r>
  <r>
    <x v="907"/>
    <s v="Zubair Khan"/>
    <x v="1"/>
    <s v="Lenovo Thinkpad E14"/>
    <x v="4"/>
    <x v="0"/>
    <s v="Laptops"/>
    <n v="57910"/>
    <n v="1"/>
    <n v="57910"/>
    <n v="5"/>
    <x v="637"/>
    <n v="55014.5"/>
    <n v="18"/>
    <n v="9902.61"/>
    <n v="0"/>
    <n v="64917.11"/>
    <x v="6"/>
    <s v="Express"/>
    <x v="4"/>
    <x v="1"/>
    <s v="Sneha Reddy"/>
    <s v="South"/>
    <s v="Patna"/>
    <s v="Bihar"/>
    <x v="1"/>
    <s v="232200"/>
    <s v="Diwali25"/>
    <n v="5"/>
    <s v="Yes"/>
    <s v="other"/>
    <s v="WH-04"/>
    <s v="Ekart"/>
    <d v="2023-02-18T00:00:00"/>
    <x v="422"/>
    <d v="2023-02-26T00:00:00"/>
    <s v="khan_zubair@gmail_com"/>
    <s v="6680115360"/>
  </r>
  <r>
    <x v="908"/>
    <s v="Girish More"/>
    <x v="0"/>
    <s v="Milton Water Purifier"/>
    <x v="22"/>
    <x v="1"/>
    <s v="Kitchen"/>
    <n v="10230"/>
    <n v="6"/>
    <n v="61380"/>
    <n v="10"/>
    <x v="638"/>
    <n v="55242"/>
    <n v="5"/>
    <n v="2762.1"/>
    <n v="0"/>
    <n v="58004.1"/>
    <x v="2"/>
    <s v="Same Day"/>
    <x v="5"/>
    <x v="0"/>
    <s v="Priya Sinha"/>
    <s v="West"/>
    <s v="Indore"/>
    <s v="Madhya Pradesh"/>
    <x v="3"/>
    <s v="487772"/>
    <s v="None"/>
    <n v="4"/>
    <s v="No"/>
    <s v="other"/>
    <s v="WH-09"/>
    <s v="Amazon Logistics"/>
    <d v="2023-11-12T00:00:00"/>
    <x v="229"/>
    <d v="2023-11-28T00:00:00"/>
    <s v="girish_more@gmail_com"/>
    <s v="8324057411"/>
  </r>
  <r>
    <x v="909"/>
    <s v="Abhijeet Sawant"/>
    <x v="2"/>
    <s v="Peter England Suit"/>
    <x v="37"/>
    <x v="2"/>
    <s v="Clothing"/>
    <n v="8300"/>
    <n v="1"/>
    <n v="8300"/>
    <n v="25"/>
    <x v="639"/>
    <n v="6225"/>
    <n v="12"/>
    <n v="747"/>
    <n v="0"/>
    <n v="6972"/>
    <x v="1"/>
    <s v="Overnight"/>
    <x v="0"/>
    <x v="0"/>
    <s v="Anjali Mehta"/>
    <s v="South"/>
    <s v="Rajkot"/>
    <s v="Gujarat"/>
    <x v="4"/>
    <s v="191414"/>
    <s v="Summer15"/>
    <n v="3"/>
    <s v="No"/>
    <s v="other"/>
    <s v="WH-05"/>
    <s v="India Post"/>
    <d v="2023-09-25T00:00:00"/>
    <x v="106"/>
    <d v="2023-10-06T00:00:00"/>
    <s v="sawant_abhijeet@outlook_com"/>
    <s v=" 8037037731"/>
  </r>
  <r>
    <x v="910"/>
    <s v="Lalitha Devi"/>
    <x v="0"/>
    <s v="Macbook Air M2"/>
    <x v="13"/>
    <x v="0"/>
    <s v="Laptops"/>
    <n v="121230"/>
    <n v="1"/>
    <n v="121230"/>
    <n v="5"/>
    <x v="640"/>
    <n v="115168.5"/>
    <n v="18"/>
    <n v="20730.330000000002"/>
    <n v="0"/>
    <n v="135898.83000000002"/>
    <x v="2"/>
    <s v="Standard"/>
    <x v="0"/>
    <x v="1"/>
    <s v="Anjali Mehta"/>
    <s v="South"/>
    <s v="Mysuru"/>
    <s v="Karnataka"/>
    <x v="2"/>
    <s v="701379"/>
    <s v="Newuser"/>
    <n v="4"/>
    <s v="No"/>
    <s v="other"/>
    <s v="WH-01"/>
    <s v="Delhivery"/>
    <d v="2023-11-24T00:00:00"/>
    <x v="98"/>
    <d v="2023-11-28T00:00:00"/>
    <s v="lalithad@gmail_com"/>
    <s v="8810945255"/>
  </r>
  <r>
    <x v="911"/>
    <s v="Ajay Pandey"/>
    <x v="1"/>
    <s v="Centuary Mattress"/>
    <x v="16"/>
    <x v="4"/>
    <s v="Beds"/>
    <n v="14060"/>
    <n v="5"/>
    <n v="70300"/>
    <n v="0"/>
    <x v="2"/>
    <n v="70300"/>
    <n v="5"/>
    <n v="3515"/>
    <n v="0"/>
    <n v="73815"/>
    <x v="6"/>
    <s v="Express"/>
    <x v="3"/>
    <x v="4"/>
    <s v="Raj Kumar"/>
    <s v="North"/>
    <s v="Ghaziabad"/>
    <s v="Uttar Pradesh"/>
    <x v="0"/>
    <s v="367675"/>
    <s v="Newuser"/>
    <n v="4"/>
    <s v="No"/>
    <s v="other"/>
    <s v="WH-09"/>
    <s v="Ekart"/>
    <d v="2023-12-08T00:00:00"/>
    <x v="151"/>
    <d v="2023-12-16T00:00:00"/>
    <s v="ajay_pandey@outlook_com"/>
    <s v=" 9166948100"/>
  </r>
  <r>
    <x v="912"/>
    <s v="Jyoti Narayan"/>
    <x v="0"/>
    <s v="Lenovo Thinkpad E14"/>
    <x v="4"/>
    <x v="0"/>
    <s v="Laptops"/>
    <n v="58050"/>
    <n v="1"/>
    <n v="58050"/>
    <n v="15"/>
    <x v="641"/>
    <n v="49342.5"/>
    <n v="18"/>
    <n v="8881.65"/>
    <n v="0"/>
    <n v="58224.15"/>
    <x v="6"/>
    <s v="Standard"/>
    <x v="0"/>
    <x v="3"/>
    <s v="Suraj Verma"/>
    <s v="East"/>
    <s v="Mangaluru"/>
    <s v="Karnataka"/>
    <x v="2"/>
    <s v="476820"/>
    <s v="Flat500"/>
    <n v="4"/>
    <s v="Yes"/>
    <s v="other"/>
    <s v="WH-12"/>
    <s v="Ekart"/>
    <d v="2023-11-11T00:00:00"/>
    <x v="157"/>
    <d v="2023-12-16T00:00:00"/>
    <s v="jnarayan@yahoo_com"/>
    <s v="6281683625"/>
  </r>
  <r>
    <x v="913"/>
    <s v="Smita Patil"/>
    <x v="0"/>
    <s v="Samsung 253L Fridge"/>
    <x v="2"/>
    <x v="1"/>
    <s v="Refrigerators"/>
    <n v="29347.846790890268"/>
    <n v="5"/>
    <n v="146739.23395445134"/>
    <n v="5"/>
    <x v="642"/>
    <n v="121410"/>
    <n v="5"/>
    <n v="6070.5"/>
    <n v="0"/>
    <n v="127480.5"/>
    <x v="3"/>
    <s v="Express"/>
    <x v="0"/>
    <x v="4"/>
    <s v="Deepa Menon"/>
    <s v="South"/>
    <s v="Gurugram"/>
    <s v="Haryana"/>
    <x v="0"/>
    <s v="508195"/>
    <s v="Festive20"/>
    <n v="4"/>
    <s v="No"/>
    <s v="other"/>
    <s v="WH-06"/>
    <s v="Delhivery"/>
    <d v="2023-11-16T00:00:00"/>
    <x v="124"/>
    <d v="2023-11-28T00:00:00"/>
    <s v="smitap@gmail_com"/>
    <s v="9202917265"/>
  </r>
  <r>
    <x v="914"/>
    <s v="Dinesh Thakur"/>
    <x v="0"/>
    <s v="Whirlpool 7Kg Washer"/>
    <x v="35"/>
    <x v="1"/>
    <s v="Washing Machines"/>
    <n v="33920"/>
    <n v="3"/>
    <n v="101760"/>
    <n v="0"/>
    <x v="2"/>
    <n v="101760"/>
    <n v="5"/>
    <n v="5088"/>
    <n v="0"/>
    <n v="106848"/>
    <x v="3"/>
    <s v="Overnight"/>
    <x v="3"/>
    <x v="4"/>
    <s v="Raj Kumar"/>
    <s v="North"/>
    <s v="Kanpur"/>
    <s v="Uttar Pradesh"/>
    <x v="0"/>
    <s v="532449"/>
    <s v="Summer15"/>
    <n v="5"/>
    <s v="Yes"/>
    <s v="other"/>
    <s v="WH-09"/>
    <s v="Delhivery"/>
    <d v="2023-10-16T00:00:00"/>
    <x v="339"/>
    <d v="2023-10-27T00:00:00"/>
    <s v="thakur_dinesh@gmail_com"/>
    <s v="6799872569"/>
  </r>
  <r>
    <x v="915"/>
    <s v="Tarun Bansal"/>
    <x v="0"/>
    <s v="Levi'S 511 Jeans"/>
    <x v="10"/>
    <x v="2"/>
    <s v="Clothing"/>
    <n v="3020"/>
    <n v="1"/>
    <n v="3020"/>
    <n v="15"/>
    <x v="643"/>
    <n v="2567"/>
    <n v="12"/>
    <n v="308.04000000000002"/>
    <n v="149"/>
    <n v="2875.04"/>
    <x v="2"/>
    <s v="Same Day"/>
    <x v="2"/>
    <x v="4"/>
    <s v="Anjali Mehta"/>
    <s v="South"/>
    <s v="Chennai"/>
    <s v="Tamil Nadu"/>
    <x v="2"/>
    <s v="225284"/>
    <s v="Summer15"/>
    <n v="5"/>
    <s v="No"/>
    <s v="other"/>
    <s v="WH-08"/>
    <s v="Dtdc"/>
    <d v="2023-12-31T00:00:00"/>
    <x v="159"/>
    <d v="2024-01-10T00:00:00"/>
    <s v="tarunb@outlook_com"/>
    <s v="6433161669"/>
  </r>
  <r>
    <x v="916"/>
    <s v="Chandra Sekar"/>
    <x v="2"/>
    <s v="Realme Gt 5"/>
    <x v="25"/>
    <x v="0"/>
    <s v="Mobile Phones"/>
    <n v="25810"/>
    <n v="3"/>
    <n v="77430"/>
    <n v="5"/>
    <x v="644"/>
    <n v="73558.5"/>
    <n v="18"/>
    <n v="13240.53"/>
    <n v="0"/>
    <n v="86799.03"/>
    <x v="5"/>
    <s v="Express"/>
    <x v="0"/>
    <x v="3"/>
    <s v="Karim Sheikh"/>
    <s v="North"/>
    <s v="Chandigarh"/>
    <s v="Punjab"/>
    <x v="0"/>
    <s v="288243"/>
    <s v="Diwali25"/>
    <n v="5"/>
    <s v="No"/>
    <s v="other"/>
    <s v="WH-04"/>
    <s v="Bluedart"/>
    <d v="2023-01-05T00:00:00"/>
    <x v="26"/>
    <d v="2023-11-05T00:00:00"/>
    <s v="chandra_sekar@gmail_com__"/>
    <s v=" 9787508057"/>
  </r>
  <r>
    <x v="917"/>
    <s v="Deepak Nair"/>
    <x v="0"/>
    <s v="Epson L3250"/>
    <x v="39"/>
    <x v="0"/>
    <s v="Printers"/>
    <n v="14910"/>
    <n v="3"/>
    <n v="44730"/>
    <n v="0"/>
    <x v="2"/>
    <n v="44730"/>
    <n v="18"/>
    <n v="8051.4"/>
    <n v="0"/>
    <n v="52781.4"/>
    <x v="5"/>
    <s v="Economy"/>
    <x v="0"/>
    <x v="4"/>
    <s v="Deepa Menon"/>
    <s v="South"/>
    <s v="Hubballi"/>
    <s v="Karnataka"/>
    <x v="2"/>
    <s v="173993"/>
    <s v="Newuser"/>
    <n v="5"/>
    <s v="No"/>
    <s v="other"/>
    <s v="WH-08"/>
    <s v="Dtdc"/>
    <d v="2024-02-11T00:00:00"/>
    <x v="282"/>
    <d v="2024-02-27T00:00:00"/>
    <s v="deepakn@yahoo_com"/>
    <s v="7318815675"/>
  </r>
  <r>
    <x v="918"/>
    <s v="Janaki Ramanathan"/>
    <x v="0"/>
    <s v="Voltas 1.5T Ac"/>
    <x v="19"/>
    <x v="1"/>
    <s v="Air Conditioners"/>
    <n v="40600"/>
    <n v="1"/>
    <n v="40600"/>
    <n v="0"/>
    <x v="2"/>
    <n v="40600"/>
    <n v="5"/>
    <n v="2030"/>
    <n v="0"/>
    <n v="42630"/>
    <x v="3"/>
    <s v="Overnight"/>
    <x v="0"/>
    <x v="4"/>
    <s v="Suraj Verma"/>
    <s v="East"/>
    <s v="Coimbatore"/>
    <s v="Tamil Nadu"/>
    <x v="2"/>
    <s v="163780"/>
    <s v="Festive20"/>
    <n v="4"/>
    <s v="No"/>
    <s v="other"/>
    <s v="WH-01"/>
    <s v="Bluedart"/>
    <d v="2023-01-28T00:00:00"/>
    <x v="443"/>
    <d v="2023-02-01T00:00:00"/>
    <s v="jramanathan@gmail_com"/>
    <s v="8517748565"/>
  </r>
  <r>
    <x v="919"/>
    <s v="Kavita Reddy"/>
    <x v="0"/>
    <s v="Kurl-On King Bed"/>
    <x v="15"/>
    <x v="4"/>
    <s v="Beds"/>
    <n v="54570"/>
    <n v="3"/>
    <n v="163710"/>
    <n v="0"/>
    <x v="2"/>
    <n v="163710"/>
    <n v="5"/>
    <n v="8185.5"/>
    <n v="0"/>
    <n v="171895.5"/>
    <x v="2"/>
    <s v="Standard"/>
    <x v="0"/>
    <x v="0"/>
    <s v="Aman Bhatia"/>
    <s v="West"/>
    <s v="Noida"/>
    <s v="Uttar Pradesh"/>
    <x v="0"/>
    <s v="288929"/>
    <s v="Flat500"/>
    <n v="5"/>
    <s v="Yes"/>
    <s v="other"/>
    <s v="WH-08"/>
    <s v="Bluedart"/>
    <d v="2023-10-13T00:00:00"/>
    <x v="339"/>
    <d v="2023-10-27T00:00:00"/>
    <s v="kavitar@gmail_com"/>
    <s v="7506506961"/>
  </r>
  <r>
    <x v="920"/>
    <s v="Roshni Modi"/>
    <x v="0"/>
    <s v="Lg 8Kg Front Load"/>
    <x v="33"/>
    <x v="1"/>
    <s v="Washing Machines"/>
    <n v="46750"/>
    <n v="2"/>
    <n v="93500"/>
    <n v="5"/>
    <x v="645"/>
    <n v="88825"/>
    <n v="5"/>
    <n v="4441.25"/>
    <n v="0"/>
    <n v="93266.25"/>
    <x v="3"/>
    <s v="Express"/>
    <x v="0"/>
    <x v="3"/>
    <s v="Ankit Sharma"/>
    <s v="North"/>
    <s v="Faridabad"/>
    <s v="Haryana"/>
    <x v="0"/>
    <s v="582088"/>
    <s v="Summer15"/>
    <n v="4"/>
    <s v="No"/>
    <s v="other"/>
    <s v="WH-09"/>
    <s v="Ekart"/>
    <d v="2024-01-21T00:00:00"/>
    <x v="262"/>
    <d v="2024-01-29T00:00:00"/>
    <s v="roshni_modi@gmail_com"/>
    <s v="8287499589"/>
  </r>
  <r>
    <x v="921"/>
    <s v="Ramesh Bose"/>
    <x v="1"/>
    <s v="Oneplus 12"/>
    <x v="32"/>
    <x v="0"/>
    <s v="Mobile Phones"/>
    <n v="63590"/>
    <n v="3"/>
    <n v="190770"/>
    <n v="25"/>
    <x v="646"/>
    <n v="143077.5"/>
    <n v="18"/>
    <n v="25753.95"/>
    <n v="0"/>
    <n v="168831.45"/>
    <x v="5"/>
    <s v="Economy"/>
    <x v="0"/>
    <x v="3"/>
    <s v="Arjun Das"/>
    <s v="East"/>
    <s v="Jamshedpur"/>
    <s v="Jharkhand"/>
    <x v="1"/>
    <s v="509378"/>
    <s v="Save10"/>
    <n v="1"/>
    <s v="No"/>
    <s v="other"/>
    <s v="WH-07"/>
    <s v="Dtdc"/>
    <d v="2023-06-26T00:00:00"/>
    <x v="358"/>
    <d v="2023-06-07T00:00:00"/>
    <s v="rbose@gmail_com"/>
    <s v="9684604126"/>
  </r>
  <r>
    <x v="922"/>
    <s v="Nagalakshmi Venkatesh"/>
    <x v="0"/>
    <s v="Daikin 1.5T Inverter"/>
    <x v="30"/>
    <x v="1"/>
    <s v="Air Conditioners"/>
    <n v="49590"/>
    <n v="3"/>
    <n v="148770"/>
    <n v="0"/>
    <x v="2"/>
    <n v="148770"/>
    <n v="5"/>
    <n v="7438.5"/>
    <n v="0"/>
    <n v="156208.5"/>
    <x v="1"/>
    <s v="Standard"/>
    <x v="0"/>
    <x v="3"/>
    <s v="Anjali Mehta"/>
    <s v="South"/>
    <s v="Delhi"/>
    <s v="Delhi"/>
    <x v="0"/>
    <s v="305178"/>
    <s v="Flat500"/>
    <n v="4"/>
    <s v="No"/>
    <s v="other"/>
    <s v="WH-08"/>
    <s v="Dtdc"/>
    <d v="2023-06-02T00:00:00"/>
    <x v="436"/>
    <d v="2023-06-15T00:00:00"/>
    <s v="nvenkatesh@yahoo_com"/>
    <s v="66237 24645"/>
  </r>
  <r>
    <x v="923"/>
    <s v="Nisha Jain"/>
    <x v="1"/>
    <s v="Prestige Induction"/>
    <x v="29"/>
    <x v="1"/>
    <s v="Kitchen"/>
    <n v="3300"/>
    <n v="6"/>
    <n v="19800"/>
    <n v="5"/>
    <x v="32"/>
    <n v="18810"/>
    <n v="5"/>
    <n v="940.5"/>
    <n v="0"/>
    <n v="19750.5"/>
    <x v="2"/>
    <s v="Overnight"/>
    <x v="0"/>
    <x v="2"/>
    <s v="Neha Kulkarni"/>
    <s v="West"/>
    <s v="Patna"/>
    <s v="Bihar"/>
    <x v="1"/>
    <s v="301373"/>
    <s v="Diwali25"/>
    <n v="5"/>
    <s v="No"/>
    <s v="other"/>
    <s v="WH-07"/>
    <s v="Dtdc"/>
    <d v="2023-05-23T00:00:00"/>
    <x v="444"/>
    <d v="2023-06-03T00:00:00"/>
    <s v="nishaj@gmail_com"/>
    <s v="8588366079"/>
  </r>
  <r>
    <x v="924"/>
    <s v="Sunita Verma"/>
    <x v="1"/>
    <s v="Fastrack Watch"/>
    <x v="6"/>
    <x v="2"/>
    <s v="Accessories"/>
    <n v="2370"/>
    <n v="1"/>
    <n v="2370"/>
    <n v="0"/>
    <x v="2"/>
    <n v="2370"/>
    <n v="12"/>
    <n v="284.39999999999998"/>
    <n v="99"/>
    <n v="2654.4"/>
    <x v="0"/>
    <s v="Economy"/>
    <x v="0"/>
    <x v="1"/>
    <s v="Karim Sheikh"/>
    <s v="North"/>
    <s v="Pune"/>
    <s v="Maharashtra"/>
    <x v="4"/>
    <s v="368346"/>
    <s v="Newuser"/>
    <n v="4"/>
    <s v="No"/>
    <s v="other"/>
    <s v="WH-04"/>
    <s v="Amazon Logistics"/>
    <d v="2024-01-14T00:00:00"/>
    <x v="383"/>
    <d v="2024-01-25T00:00:00"/>
    <s v="sunita_verma@gmail_com"/>
    <s v="8374727939"/>
  </r>
  <r>
    <x v="925"/>
    <s v="Divya Krishnan"/>
    <x v="3"/>
    <s v="Sony Bravia 55-Inch"/>
    <x v="1"/>
    <x v="0"/>
    <s v="Televisions"/>
    <n v="73760"/>
    <n v="8"/>
    <n v="590080"/>
    <n v="25"/>
    <x v="647"/>
    <n v="442560"/>
    <n v="18"/>
    <n v="79660.800000000003"/>
    <n v="0"/>
    <n v="522220.79999999999"/>
    <x v="6"/>
    <s v="Overnight"/>
    <x v="2"/>
    <x v="1"/>
    <s v="Neha Kulkarni"/>
    <s v="West"/>
    <s v="Jabalpur"/>
    <s v="Madhya Pradesh"/>
    <x v="3"/>
    <s v="617904"/>
    <s v="None"/>
    <n v="5"/>
    <s v="No"/>
    <s v="other"/>
    <s v="WH-03"/>
    <s v="Delhivery"/>
    <d v="2023-01-31T00:00:00"/>
    <x v="445"/>
    <d v="2023-02-15T00:00:00"/>
    <s v="divya_krishnan@gmail_com"/>
    <s v="8040933627"/>
  </r>
  <r>
    <x v="926"/>
    <s v="Suresh Gupta"/>
    <x v="3"/>
    <s v="Prestige Induction"/>
    <x v="29"/>
    <x v="1"/>
    <s v="Kitchen"/>
    <n v="3360"/>
    <n v="7"/>
    <n v="23520"/>
    <n v="0"/>
    <x v="2"/>
    <n v="23520"/>
    <n v="5"/>
    <n v="1176"/>
    <n v="0"/>
    <n v="24696"/>
    <x v="5"/>
    <s v="Same Day"/>
    <x v="1"/>
    <x v="1"/>
    <s v="Vinay Joshi"/>
    <s v="South"/>
    <s v="Gaya"/>
    <s v="Bihar"/>
    <x v="1"/>
    <s v="234446"/>
    <s v="None"/>
    <n v="4"/>
    <s v="No"/>
    <s v="other"/>
    <s v="WH-02"/>
    <s v="Dtdc"/>
    <d v="2023-07-12T00:00:00"/>
    <x v="322"/>
    <d v="2023-07-23T00:00:00"/>
    <s v="suresh_gupta@gmail_com"/>
    <s v="6660575296"/>
  </r>
  <r>
    <x v="927"/>
    <s v="Chirag Desai"/>
    <x v="0"/>
    <s v="Jbl Flip 6"/>
    <x v="27"/>
    <x v="0"/>
    <s v="Audio"/>
    <n v="10380"/>
    <n v="2"/>
    <n v="20760"/>
    <n v="5"/>
    <x v="648"/>
    <n v="19722"/>
    <n v="18"/>
    <n v="3549.96"/>
    <n v="0"/>
    <n v="23271.96"/>
    <x v="3"/>
    <s v="Overnight"/>
    <x v="3"/>
    <x v="0"/>
    <s v="Ankit Sharma"/>
    <s v="North"/>
    <s v="Vijayawada"/>
    <s v="Andhra Pradesh"/>
    <x v="2"/>
    <s v="396696"/>
    <s v="None"/>
    <n v="4"/>
    <s v="Yes"/>
    <s v="Changed Mind"/>
    <s v="WH-02"/>
    <s v="Amazon Logistics"/>
    <d v="2024-06-04T00:00:00"/>
    <x v="373"/>
    <d v="2024-06-10T00:00:00"/>
    <s v="chiragd@gmail_com"/>
    <s v="9449951437"/>
  </r>
  <r>
    <x v="928"/>
    <s v="Anita Bhatt"/>
    <x v="0"/>
    <s v="Parker Pen Set"/>
    <x v="36"/>
    <x v="3"/>
    <s v="Writing"/>
    <n v="890"/>
    <n v="4"/>
    <n v="3560"/>
    <n v="10"/>
    <x v="649"/>
    <n v="3204"/>
    <n v="5"/>
    <n v="160.19999999999999"/>
    <n v="79"/>
    <n v="3364.2"/>
    <x v="0"/>
    <s v="Standard"/>
    <x v="0"/>
    <x v="2"/>
    <s v="Vinay Joshi"/>
    <s v="Central"/>
    <s v="Cuttack"/>
    <s v="Odisha"/>
    <x v="1"/>
    <s v="177641"/>
    <s v="Diwali25"/>
    <n v="4"/>
    <s v="No"/>
    <s v="other"/>
    <s v="WH-07"/>
    <s v="Delhivery"/>
    <d v="2024-05-06T00:00:00"/>
    <x v="226"/>
    <d v="2024-05-18T00:00:00"/>
    <s v="anita_bhatt@outlook_com"/>
    <s v="9327104535"/>
  </r>
  <r>
    <x v="929"/>
    <s v="Girish More"/>
    <x v="0"/>
    <s v="Logitech Mx Master 3"/>
    <x v="41"/>
    <x v="0"/>
    <s v="Accessories"/>
    <n v="8580"/>
    <n v="6"/>
    <n v="51480"/>
    <n v="20"/>
    <x v="650"/>
    <n v="41184"/>
    <n v="18"/>
    <n v="7413.12"/>
    <n v="0"/>
    <n v="48597.120000000003"/>
    <x v="0"/>
    <s v="Same Day"/>
    <x v="1"/>
    <x v="3"/>
    <s v="Pooja Nair"/>
    <s v="South"/>
    <s v="Kochi"/>
    <s v="Kerala"/>
    <x v="2"/>
    <s v="744438"/>
    <s v="Festive20"/>
    <n v="4"/>
    <s v="No"/>
    <s v="other"/>
    <s v="WH-05"/>
    <s v="Bluedart"/>
    <d v="2023-03-29T00:00:00"/>
    <x v="112"/>
    <d v="2023-11-04T00:00:00"/>
    <s v="more_girish@gmail_com"/>
    <s v="9458028457"/>
  </r>
  <r>
    <x v="930"/>
    <s v="Foram Trivedi"/>
    <x v="0"/>
    <s v="Adidas Ultraboost 22"/>
    <x v="18"/>
    <x v="2"/>
    <s v="Footwear"/>
    <n v="13590"/>
    <n v="5"/>
    <n v="67950"/>
    <n v="0"/>
    <x v="2"/>
    <n v="67950"/>
    <n v="12"/>
    <n v="8154"/>
    <n v="0"/>
    <n v="76104"/>
    <x v="2"/>
    <s v="Economy"/>
    <x v="0"/>
    <x v="4"/>
    <s v="Neha Kulkarni"/>
    <s v="West"/>
    <s v="Vadodara"/>
    <s v="Gujarat"/>
    <x v="4"/>
    <s v="505329"/>
    <s v="None"/>
    <n v="3"/>
    <s v="No"/>
    <s v="other"/>
    <s v="WH-09"/>
    <s v="Amazon Logistics"/>
    <d v="2024-01-31T00:00:00"/>
    <x v="19"/>
    <d v="2024-02-09T00:00:00"/>
    <s v="ftrivedi@gmail_com"/>
    <s v="6217894069"/>
  </r>
  <r>
    <x v="931"/>
    <s v="Ramachandran Pillai"/>
    <x v="3"/>
    <s v="Titan Raga"/>
    <x v="26"/>
    <x v="2"/>
    <s v="Accessories"/>
    <n v="8440"/>
    <n v="5"/>
    <n v="42200"/>
    <n v="15"/>
    <x v="651"/>
    <n v="35870"/>
    <n v="12"/>
    <n v="4304.3999999999996"/>
    <n v="0"/>
    <n v="40174.400000000001"/>
    <x v="3"/>
    <s v="Express"/>
    <x v="1"/>
    <x v="1"/>
    <s v="Aman Bhatia"/>
    <s v="West"/>
    <s v="Hyderabad"/>
    <s v="Telangana"/>
    <x v="2"/>
    <s v="168955"/>
    <s v="None"/>
    <n v="5"/>
    <s v="No"/>
    <s v="other"/>
    <s v="WH-06"/>
    <s v="Dtdc"/>
    <d v="2024-01-31T00:00:00"/>
    <x v="336"/>
    <d v="2023-10-02T00:00:00"/>
    <s v="ramachandranp@gmail_com"/>
    <s v="7039726754"/>
  </r>
  <r>
    <x v="932"/>
    <s v="Neha Saxena"/>
    <x v="0"/>
    <s v="Sony Wh-1000Xm5"/>
    <x v="1"/>
    <x v="0"/>
    <s v="Audio"/>
    <n v="31540"/>
    <n v="1"/>
    <n v="31540"/>
    <n v="5"/>
    <x v="652"/>
    <n v="29963"/>
    <n v="18"/>
    <n v="5393.34"/>
    <n v="0"/>
    <n v="35356.339999999997"/>
    <x v="6"/>
    <s v="Same Day"/>
    <x v="4"/>
    <x v="0"/>
    <s v="Suraj Verma"/>
    <s v="East"/>
    <s v="Faridabad"/>
    <s v="Haryana"/>
    <x v="0"/>
    <s v="314758"/>
    <s v="None"/>
    <n v="4"/>
    <s v="Yes"/>
    <s v="other"/>
    <s v="WH-01"/>
    <s v="Bluedart"/>
    <d v="2023-06-02T00:00:00"/>
    <x v="436"/>
    <d v="2023-06-15T00:00:00"/>
    <s v="nsaxena@gmail_com"/>
    <s v="6922543763"/>
  </r>
  <r>
    <x v="933"/>
    <s v="Smita Patil"/>
    <x v="0"/>
    <s v="Van Heusen Shirt"/>
    <x v="42"/>
    <x v="2"/>
    <s v="Clothing"/>
    <n v="1680"/>
    <n v="1"/>
    <n v="1680"/>
    <n v="10"/>
    <x v="653"/>
    <n v="1512"/>
    <n v="12"/>
    <n v="181.44"/>
    <n v="149"/>
    <n v="1693.44"/>
    <x v="6"/>
    <s v="Same Day"/>
    <x v="1"/>
    <x v="3"/>
    <s v="Pooja Nair"/>
    <s v="South"/>
    <s v="Raipur"/>
    <s v="Chhattisgarh"/>
    <x v="3"/>
    <s v="618440"/>
    <s v="None"/>
    <n v="2"/>
    <s v="No"/>
    <s v="other"/>
    <s v="WH-08"/>
    <s v="India Post"/>
    <d v="2023-05-12T00:00:00"/>
    <x v="446"/>
    <d v="2023-05-23T00:00:00"/>
    <s v="smita_patil@gmail_com"/>
    <s v="6142154409"/>
  </r>
  <r>
    <x v="934"/>
    <s v="Kruti Bhatt"/>
    <x v="0"/>
    <s v="Daikin 1.5T Inverter"/>
    <x v="30"/>
    <x v="1"/>
    <s v="Air Conditioners"/>
    <n v="44680"/>
    <n v="3"/>
    <n v="134040"/>
    <n v="10"/>
    <x v="654"/>
    <n v="120636"/>
    <n v="5"/>
    <n v="6031.8"/>
    <n v="0"/>
    <n v="126667.8"/>
    <x v="2"/>
    <s v="Economy"/>
    <x v="0"/>
    <x v="3"/>
    <s v="Anjali Mehta"/>
    <s v="South"/>
    <s v="Jodhpur"/>
    <s v="Rajasthan"/>
    <x v="0"/>
    <s v="572638"/>
    <s v="Festive20"/>
    <n v="4"/>
    <s v="No"/>
    <s v="other"/>
    <s v="WH-11"/>
    <s v="Ekart"/>
    <d v="2024-04-08T00:00:00"/>
    <x v="35"/>
    <d v="2024-04-24T00:00:00"/>
    <s v="kruti_bhatt@gmail_com"/>
    <s v=" 8411708292"/>
  </r>
  <r>
    <x v="935"/>
    <s v="Bhavani Shankar"/>
    <x v="0"/>
    <s v="Realme Gt 5"/>
    <x v="25"/>
    <x v="0"/>
    <s v="Mobile Phones"/>
    <n v="28870"/>
    <n v="3"/>
    <n v="86610"/>
    <n v="0"/>
    <x v="2"/>
    <n v="86610"/>
    <n v="18"/>
    <n v="15589.8"/>
    <n v="0"/>
    <n v="102199.8"/>
    <x v="5"/>
    <s v="Same Day"/>
    <x v="1"/>
    <x v="2"/>
    <s v="Arjun Das"/>
    <s v="East"/>
    <s v="Rajkot"/>
    <s v="Gujarat"/>
    <x v="4"/>
    <s v="719910"/>
    <s v="Newuser"/>
    <n v="2"/>
    <s v="No"/>
    <s v="other"/>
    <s v="WH-06"/>
    <s v="Dtdc"/>
    <d v="2024-01-15T00:00:00"/>
    <x v="383"/>
    <d v="2024-01-22T00:00:00"/>
    <s v="bhavanis@yahoo_com"/>
    <s v="8846519034"/>
  </r>
  <r>
    <x v="936"/>
    <s v="Lalita Shah"/>
    <x v="1"/>
    <s v="Levi'S 511 Jeans"/>
    <x v="10"/>
    <x v="2"/>
    <s v="Clothing"/>
    <n v="3420"/>
    <n v="4"/>
    <n v="13680"/>
    <n v="15"/>
    <x v="269"/>
    <n v="11628"/>
    <n v="12"/>
    <n v="1395.36"/>
    <n v="0"/>
    <n v="13023.36"/>
    <x v="4"/>
    <s v="Economy"/>
    <x v="0"/>
    <x v="1"/>
    <s v="Karim Sheikh"/>
    <s v="North"/>
    <s v="Surat"/>
    <s v="Gujarat"/>
    <x v="4"/>
    <s v="715228"/>
    <s v="None"/>
    <n v="4"/>
    <s v="No"/>
    <s v="other"/>
    <s v="WH-01"/>
    <s v="Ekart"/>
    <d v="2023-07-19T00:00:00"/>
    <x v="447"/>
    <d v="2023-07-27T00:00:00"/>
    <s v="lalita_shah@yahoo_com"/>
    <s v="9392318678"/>
  </r>
  <r>
    <x v="937"/>
    <s v="Varsha Shinde"/>
    <x v="0"/>
    <s v="Nike Air Max 270"/>
    <x v="21"/>
    <x v="2"/>
    <s v="Footwear"/>
    <n v="10230"/>
    <n v="1"/>
    <n v="10230"/>
    <n v="0"/>
    <x v="2"/>
    <n v="10230"/>
    <n v="12"/>
    <n v="1227.5999999999999"/>
    <n v="0"/>
    <n v="11457.6"/>
    <x v="0"/>
    <s v="Same Day"/>
    <x v="1"/>
    <x v="3"/>
    <s v="Arjun Das"/>
    <s v="East"/>
    <s v="Patna"/>
    <s v="Bihar"/>
    <x v="1"/>
    <s v="466507"/>
    <s v="None"/>
    <n v="4"/>
    <s v="No"/>
    <s v="other"/>
    <s v="WH-11"/>
    <s v="Ekart"/>
    <d v="2023-09-03T00:00:00"/>
    <x v="13"/>
    <d v="2023-09-17T00:00:00"/>
    <s v="varsha_shinde@yahoo_co_in"/>
    <s v="9849203175"/>
  </r>
  <r>
    <x v="938"/>
    <s v="Manoj Tomar"/>
    <x v="0"/>
    <s v="Canon Eos 200D"/>
    <x v="7"/>
    <x v="0"/>
    <s v="Cameras"/>
    <n v="49640"/>
    <n v="2"/>
    <n v="99280"/>
    <n v="15"/>
    <x v="655"/>
    <n v="84388"/>
    <n v="18"/>
    <n v="15189.84"/>
    <n v="0"/>
    <n v="99577.84"/>
    <x v="2"/>
    <s v="Express"/>
    <x v="0"/>
    <x v="3"/>
    <s v="Deepa Menon"/>
    <s v="South"/>
    <s v="Jaipur"/>
    <s v="Rajasthan"/>
    <x v="0"/>
    <s v="288323"/>
    <s v="None"/>
    <n v="3"/>
    <s v="No"/>
    <s v="other"/>
    <s v="WH-11"/>
    <s v="Bluedart"/>
    <d v="2023-07-08T00:00:00"/>
    <x v="62"/>
    <d v="2023-07-20T00:00:00"/>
    <s v="mtomar@yahoo_com"/>
    <s v="7010154448"/>
  </r>
  <r>
    <x v="939"/>
    <s v="Naveen Bajaj"/>
    <x v="0"/>
    <s v="Amul Butter 500G"/>
    <x v="38"/>
    <x v="5"/>
    <s v="Dairy"/>
    <n v="270"/>
    <n v="15"/>
    <n v="4050"/>
    <n v="10"/>
    <x v="656"/>
    <n v="3645"/>
    <n v="5"/>
    <n v="182.25"/>
    <n v="49"/>
    <n v="3827.25"/>
    <x v="0"/>
    <s v="Economy"/>
    <x v="1"/>
    <x v="4"/>
    <s v="Ankit Sharma"/>
    <s v="North"/>
    <s v="Ranchi"/>
    <s v="Jharkhand"/>
    <x v="1"/>
    <s v="668406"/>
    <s v="None"/>
    <n v="4"/>
    <s v="No"/>
    <s v="other"/>
    <s v="WH-03"/>
    <s v="Delhivery"/>
    <d v="2024-06-26T00:00:00"/>
    <x v="43"/>
    <d v="2024-07-01T00:00:00"/>
    <s v="nbajaj@gmail_com"/>
    <s v="6551263700"/>
  </r>
  <r>
    <x v="940"/>
    <s v="Sanjay Mishra"/>
    <x v="0"/>
    <s v="Lenovo Thinkpad E14"/>
    <x v="4"/>
    <x v="0"/>
    <s v="Laptops"/>
    <n v="62150"/>
    <n v="3"/>
    <n v="186450"/>
    <n v="25"/>
    <x v="657"/>
    <n v="139837.5"/>
    <n v="18"/>
    <n v="25170.75"/>
    <n v="0"/>
    <n v="165008.25"/>
    <x v="5"/>
    <s v="Express"/>
    <x v="4"/>
    <x v="1"/>
    <s v="Suraj Verma"/>
    <s v="East"/>
    <s v="Jaipur"/>
    <s v="Rajasthan"/>
    <x v="0"/>
    <s v="630788"/>
    <s v="None"/>
    <n v="5"/>
    <s v="Yes"/>
    <s v="Defective"/>
    <s v="WH-06"/>
    <s v="Delhivery"/>
    <d v="2023-11-07T00:00:00"/>
    <x v="64"/>
    <d v="2023-11-17T00:00:00"/>
    <s v="mishra_sanjay@gmail_com"/>
    <s v="8147537637"/>
  </r>
  <r>
    <x v="941"/>
    <s v="Yeswanth Reddy"/>
    <x v="0"/>
    <s v="Maggi Noodles 12-Pack"/>
    <x v="40"/>
    <x v="5"/>
    <s v="Instant Foods"/>
    <n v="180"/>
    <n v="2"/>
    <n v="360"/>
    <n v="5"/>
    <x v="394"/>
    <n v="342"/>
    <n v="5"/>
    <n v="17.100000000000001"/>
    <n v="79"/>
    <n v="359.1"/>
    <x v="4"/>
    <s v="Same Day"/>
    <x v="3"/>
    <x v="2"/>
    <s v="Sneha Reddy"/>
    <s v="South"/>
    <s v="Cuttack"/>
    <s v="Odisha"/>
    <x v="1"/>
    <s v="225243"/>
    <s v="None"/>
    <n v="3"/>
    <s v="No"/>
    <s v="other"/>
    <s v="WH-04"/>
    <s v="Dtdc"/>
    <d v="2023-10-14T00:00:00"/>
    <x v="398"/>
    <d v="2023-10-28T00:00:00"/>
    <s v="yreddyyahoo_co_in"/>
    <s v="70466 06382"/>
  </r>
  <r>
    <x v="942"/>
    <s v="Venugopal Krishnan"/>
    <x v="0"/>
    <s v="Epson L3250"/>
    <x v="39"/>
    <x v="0"/>
    <s v="Printers"/>
    <n v="15550"/>
    <n v="2"/>
    <n v="31100"/>
    <n v="15"/>
    <x v="658"/>
    <n v="26435"/>
    <n v="18"/>
    <n v="4758.3"/>
    <n v="0"/>
    <n v="31193.3"/>
    <x v="3"/>
    <s v="Overnight"/>
    <x v="3"/>
    <x v="2"/>
    <s v="Aman Bhatia"/>
    <s v="West"/>
    <s v="Bengaluru"/>
    <s v="Karnataka"/>
    <x v="2"/>
    <s v="246053"/>
    <s v="Newuser"/>
    <n v="4"/>
    <s v="No"/>
    <s v="other"/>
    <s v="WH-10"/>
    <s v="Ekart"/>
    <d v="2024-01-27T00:00:00"/>
    <x v="337"/>
    <d v="2024-07-02T00:00:00"/>
    <s v="vkrishnan@gmail_com"/>
    <s v="9938533584"/>
  </r>
  <r>
    <x v="943"/>
    <s v="Nagalakshmi Venkatesh"/>
    <x v="0"/>
    <s v="Whirlpool 7Kg Washer"/>
    <x v="35"/>
    <x v="1"/>
    <s v="Washing Machines"/>
    <n v="32550"/>
    <n v="1"/>
    <n v="32550"/>
    <n v="0"/>
    <x v="2"/>
    <n v="32550"/>
    <n v="5"/>
    <n v="1627.5"/>
    <n v="0"/>
    <n v="34177.5"/>
    <x v="2"/>
    <s v="Overnight"/>
    <x v="0"/>
    <x v="0"/>
    <s v="Ankit Sharma"/>
    <s v="North"/>
    <s v="Jabalpur"/>
    <s v="Madhya Pradesh"/>
    <x v="3"/>
    <s v="418710"/>
    <s v="None"/>
    <n v="4"/>
    <s v="No"/>
    <s v="other"/>
    <s v="WH-09"/>
    <s v="Delhivery"/>
    <d v="2024-04-13T00:00:00"/>
    <x v="35"/>
    <d v="2024-04-18T00:00:00"/>
    <s v="nvenkatesh@yahoo_com"/>
    <s v="7197400597"/>
  </r>
  <r>
    <x v="944"/>
    <s v="Rohit Singh"/>
    <x v="0"/>
    <s v="Adidas Ultraboost 22"/>
    <x v="18"/>
    <x v="2"/>
    <s v="Footwear"/>
    <n v="13150"/>
    <n v="2"/>
    <n v="26300"/>
    <n v="25"/>
    <x v="659"/>
    <n v="19725"/>
    <n v="12"/>
    <n v="2367"/>
    <n v="0"/>
    <n v="22092"/>
    <x v="2"/>
    <s v="Overnight"/>
    <x v="0"/>
    <x v="4"/>
    <s v="Karim Sheikh"/>
    <s v="North"/>
    <s v="Asansol"/>
    <s v="West Bengal"/>
    <x v="1"/>
    <s v="595514"/>
    <s v="None"/>
    <n v="3"/>
    <s v="No"/>
    <s v="other"/>
    <s v="WH-12"/>
    <s v="Bluedart"/>
    <d v="2023-06-28T00:00:00"/>
    <x v="35"/>
    <d v="2023-07-08T00:00:00"/>
    <s v="singh_rohit@outlook_com"/>
    <s v="8616941351"/>
  </r>
  <r>
    <x v="945"/>
    <s v="Eswaran Murugan"/>
    <x v="3"/>
    <s v="Centuary Mattress"/>
    <x v="16"/>
    <x v="4"/>
    <s v="Beds"/>
    <n v="13850"/>
    <n v="2"/>
    <n v="27700"/>
    <n v="10"/>
    <x v="660"/>
    <n v="24930"/>
    <n v="5"/>
    <n v="1246.5"/>
    <n v="0"/>
    <n v="26176.5"/>
    <x v="5"/>
    <s v="Standard"/>
    <x v="0"/>
    <x v="1"/>
    <s v="Vinay Joshi"/>
    <s v="Central"/>
    <s v="Faridabad"/>
    <s v="Haryana"/>
    <x v="0"/>
    <s v="606556"/>
    <s v="Save10"/>
    <n v="4"/>
    <s v="No"/>
    <s v="other"/>
    <s v="WH-09"/>
    <s v="Bluedart"/>
    <d v="2024-01-19T00:00:00"/>
    <x v="350"/>
    <d v="2023-07-08T00:00:00"/>
    <s v="emurugan@rediffmail_com"/>
    <s v="8691573494"/>
  </r>
  <r>
    <x v="554"/>
    <s v="Arjun Nair"/>
    <x v="3"/>
    <s v="Hp Pavilion 15"/>
    <x v="0"/>
    <x v="0"/>
    <s v="Laptops"/>
    <n v="60270"/>
    <n v="2"/>
    <n v="120540"/>
    <n v="10"/>
    <x v="661"/>
    <n v="108486"/>
    <n v="18"/>
    <n v="19527.48"/>
    <n v="0"/>
    <n v="128013.48"/>
    <x v="0"/>
    <s v="Standard"/>
    <x v="0"/>
    <x v="3"/>
    <s v="Ritu Singh"/>
    <s v="Central"/>
    <s v="Ranchi"/>
    <s v="Jharkhand"/>
    <x v="1"/>
    <s v="443508"/>
    <s v="Flat500"/>
    <n v="4"/>
    <s v="No"/>
    <s v="other"/>
    <s v="WH-08"/>
    <s v="Dtdc"/>
    <d v="2023-03-31T00:00:00"/>
    <x v="350"/>
    <d v="2023-04-06T00:00:00"/>
    <s v="arjun_nair@gmail_com"/>
    <s v="9796338790"/>
  </r>
  <r>
    <x v="946"/>
    <s v="Mohan Tiwari"/>
    <x v="3"/>
    <s v="Tata Tea Premium 1Kg"/>
    <x v="17"/>
    <x v="5"/>
    <s v="Beverages"/>
    <n v="420"/>
    <n v="3"/>
    <n v="1260"/>
    <n v="15"/>
    <x v="662"/>
    <n v="1071"/>
    <n v="5"/>
    <n v="53.55"/>
    <n v="79"/>
    <n v="1124.55"/>
    <x v="0"/>
    <s v="Express"/>
    <x v="0"/>
    <x v="3"/>
    <s v="Ritu Singh"/>
    <s v="Central"/>
    <s v="Nagpur"/>
    <s v="Maharashtra"/>
    <x v="4"/>
    <s v="460930"/>
    <s v="Festive20"/>
    <n v="4"/>
    <s v="No"/>
    <s v="other"/>
    <s v="WH-10"/>
    <s v="India Post"/>
    <d v="2023-10-25T00:00:00"/>
    <x v="448"/>
    <d v="2023-11-03T00:00:00"/>
    <s v="mohan_tiwari@gmail_com"/>
    <s v="8434030579"/>
  </r>
  <r>
    <x v="947"/>
    <s v="Deepak Nair"/>
    <x v="0"/>
    <s v="Bajaj Mixer 750W"/>
    <x v="5"/>
    <x v="1"/>
    <s v="Kitchen"/>
    <n v="2780"/>
    <n v="1"/>
    <n v="2780"/>
    <n v="15"/>
    <x v="663"/>
    <n v="2363"/>
    <n v="5"/>
    <n v="118.15"/>
    <n v="149"/>
    <n v="2481.15"/>
    <x v="1"/>
    <s v="Same Day"/>
    <x v="0"/>
    <x v="4"/>
    <s v="Anjali Mehta"/>
    <s v="South"/>
    <s v="Lucknow"/>
    <s v="Uttar Pradesh"/>
    <x v="0"/>
    <s v="419061"/>
    <s v="None"/>
    <n v="4"/>
    <s v="No"/>
    <s v="other"/>
    <s v="WH-03"/>
    <s v="Ekart"/>
    <d v="2024-06-10T00:00:00"/>
    <x v="449"/>
    <d v="2024-06-15T00:00:00"/>
    <s v="deepak_nair@yahoo_com"/>
    <s v="9496895092"/>
  </r>
  <r>
    <x v="948"/>
    <s v="Naveen Bajaj"/>
    <x v="0"/>
    <s v="Whirlpool 7Kg Washer"/>
    <x v="35"/>
    <x v="1"/>
    <s v="Washing Machines"/>
    <n v="32440"/>
    <n v="3"/>
    <n v="97320"/>
    <n v="20"/>
    <x v="664"/>
    <n v="77856"/>
    <n v="5"/>
    <n v="3892.8"/>
    <n v="0"/>
    <n v="81748.800000000003"/>
    <x v="3"/>
    <s v="Standard"/>
    <x v="2"/>
    <x v="3"/>
    <s v="Pooja Nair"/>
    <s v="South"/>
    <s v="Ghaziabad"/>
    <s v="Uttar Pradesh"/>
    <x v="0"/>
    <s v="633502"/>
    <s v="Newuser"/>
    <n v="1"/>
    <s v="No"/>
    <s v="other"/>
    <s v="WH-09"/>
    <s v="Delhivery"/>
    <d v="2023-04-21T00:00:00"/>
    <x v="304"/>
    <d v="2023-05-02T00:00:00"/>
    <s v="nbajaj@gmail_com"/>
    <s v="8888646508"/>
  </r>
  <r>
    <x v="949"/>
    <s v="Mitesh Gandhi"/>
    <x v="0"/>
    <s v="Amul Butter 500G"/>
    <x v="38"/>
    <x v="5"/>
    <s v="Dairy"/>
    <n v="300"/>
    <n v="1"/>
    <n v="300"/>
    <n v="25"/>
    <x v="665"/>
    <n v="225"/>
    <n v="5"/>
    <n v="11.25"/>
    <n v="49"/>
    <n v="236.25"/>
    <x v="4"/>
    <s v="Overnight"/>
    <x v="1"/>
    <x v="4"/>
    <s v="Arjun Das"/>
    <s v="East"/>
    <s v="Faridabad"/>
    <s v="Haryana"/>
    <x v="0"/>
    <s v="666771"/>
    <s v="Newuser"/>
    <n v="4"/>
    <s v="No"/>
    <s v="other"/>
    <s v="WH-09"/>
    <s v="Delhivery"/>
    <d v="2023-09-15T00:00:00"/>
    <x v="379"/>
    <d v="2023-09-26T00:00:00"/>
    <s v="miteshggmail_com"/>
    <s v="8197537006"/>
  </r>
  <r>
    <x v="950"/>
    <s v="Varsha Shinde"/>
    <x v="1"/>
    <s v="Kurl-On King Bed"/>
    <x v="15"/>
    <x v="4"/>
    <s v="Beds"/>
    <n v="55910"/>
    <n v="1"/>
    <n v="55910"/>
    <n v="15"/>
    <x v="666"/>
    <n v="47523.5"/>
    <n v="5"/>
    <n v="2376.1799999999998"/>
    <n v="0"/>
    <n v="49899.68"/>
    <x v="3"/>
    <s v="Standard"/>
    <x v="2"/>
    <x v="1"/>
    <s v="Ritu Singh"/>
    <s v="Central"/>
    <s v="Durgapur"/>
    <s v="West Bengal"/>
    <x v="1"/>
    <s v="407578"/>
    <s v="None"/>
    <n v="4"/>
    <s v="No"/>
    <s v="other"/>
    <s v="WH-08"/>
    <s v="Ekart"/>
    <d v="2023-07-03T00:00:00"/>
    <x v="328"/>
    <d v="2023-07-12T00:00:00"/>
    <s v="varsha_shinde@yahoo_co_in"/>
    <s v="7994281783"/>
  </r>
  <r>
    <x v="951"/>
    <s v="Priya Patel"/>
    <x v="0"/>
    <s v="Hp Laserjet 1020"/>
    <x v="0"/>
    <x v="0"/>
    <s v="Printers"/>
    <n v="13160"/>
    <n v="5"/>
    <n v="65800"/>
    <n v="25"/>
    <x v="667"/>
    <n v="49350"/>
    <n v="18"/>
    <n v="8883"/>
    <n v="0"/>
    <n v="58233"/>
    <x v="2"/>
    <s v="Standard"/>
    <x v="3"/>
    <x v="0"/>
    <s v="Vinay Joshi"/>
    <s v="Central"/>
    <s v="Nashik"/>
    <s v="Maharashtra"/>
    <x v="4"/>
    <s v="263605"/>
    <s v="None"/>
    <n v="4"/>
    <s v="No"/>
    <s v="other"/>
    <s v="WH-02"/>
    <s v="Dtdc"/>
    <d v="2023-08-09T00:00:00"/>
    <x v="245"/>
    <d v="2023-08-17T00:00:00"/>
    <s v="ppatel@yahoo_co_in"/>
    <s v="9872447839"/>
  </r>
  <r>
    <x v="952"/>
    <s v="Sanjay Mishra"/>
    <x v="1"/>
    <s v="Hp Laserjet 1020"/>
    <x v="0"/>
    <x v="0"/>
    <s v="Printers"/>
    <n v="12760"/>
    <n v="3"/>
    <n v="38280"/>
    <n v="0"/>
    <x v="2"/>
    <n v="38280"/>
    <n v="18"/>
    <n v="6890.4"/>
    <n v="0"/>
    <n v="45170.400000000001"/>
    <x v="6"/>
    <s v="Express"/>
    <x v="0"/>
    <x v="1"/>
    <s v="Pooja Nair"/>
    <s v="South"/>
    <s v="Mangaluru"/>
    <s v="Karnataka"/>
    <x v="2"/>
    <s v="673551"/>
    <s v="Festive20"/>
    <n v="5"/>
    <s v="No"/>
    <s v="other"/>
    <s v="WH-05"/>
    <s v="Delhivery"/>
    <d v="2024-01-04T00:00:00"/>
    <x v="159"/>
    <d v="2024-01-08T00:00:00"/>
    <s v="sanjay_mishra@gmail_com"/>
    <s v=" 6005440277"/>
  </r>
  <r>
    <x v="953"/>
    <s v="Prakash Dubey"/>
    <x v="0"/>
    <s v="Titan Raga"/>
    <x v="26"/>
    <x v="2"/>
    <s v="Accessories"/>
    <n v="29347.846790890268"/>
    <n v="3"/>
    <n v="88043.540372670803"/>
    <n v="5"/>
    <x v="668"/>
    <n v="26875.5"/>
    <n v="12"/>
    <n v="3225.06"/>
    <n v="0"/>
    <n v="30100.560000000001"/>
    <x v="5"/>
    <s v="Express"/>
    <x v="0"/>
    <x v="1"/>
    <s v="Vinay Joshi"/>
    <s v="Central"/>
    <s v="Mysuru"/>
    <s v="Karnataka"/>
    <x v="2"/>
    <s v="713727"/>
    <s v="Summer15"/>
    <n v="4"/>
    <s v="No"/>
    <s v="other"/>
    <s v="WH-05"/>
    <s v="Ekart"/>
    <d v="2024-04-06T00:00:00"/>
    <x v="277"/>
    <d v="2024-04-15T00:00:00"/>
    <s v="prakash_dubey@rediffmail_com"/>
    <s v="8112980310"/>
  </r>
  <r>
    <x v="954"/>
    <s v="Obeysekara Fernando"/>
    <x v="1"/>
    <s v="Hp Laserjet 1020"/>
    <x v="0"/>
    <x v="0"/>
    <s v="Printers"/>
    <n v="12240"/>
    <n v="1"/>
    <n v="12240"/>
    <n v="20"/>
    <x v="669"/>
    <n v="9792"/>
    <n v="18"/>
    <n v="1762.56"/>
    <n v="0"/>
    <n v="11554.56"/>
    <x v="2"/>
    <s v="Express"/>
    <x v="4"/>
    <x v="2"/>
    <s v="Sneha Reddy"/>
    <s v="South"/>
    <s v="Thrissur"/>
    <s v="Kerala"/>
    <x v="2"/>
    <s v="487511"/>
    <s v="Diwali25"/>
    <n v="4"/>
    <s v="Yes"/>
    <s v="other"/>
    <s v="WH-05"/>
    <s v="India Post"/>
    <d v="2023-08-16T00:00:00"/>
    <x v="186"/>
    <d v="2023-08-26T00:00:00"/>
    <s v="obeysekaraf@gmail_com"/>
    <s v="9667622676"/>
  </r>
  <r>
    <x v="955"/>
    <s v="Meena Iyer"/>
    <x v="0"/>
    <s v="Classmate Notebook"/>
    <x v="9"/>
    <x v="3"/>
    <s v="Books"/>
    <n v="110"/>
    <n v="8"/>
    <n v="880"/>
    <n v="0"/>
    <x v="2"/>
    <n v="880"/>
    <n v="5"/>
    <n v="44"/>
    <n v="49"/>
    <n v="924"/>
    <x v="5"/>
    <s v="Same Day"/>
    <x v="0"/>
    <x v="4"/>
    <s v="Suraj Verma"/>
    <s v="East"/>
    <s v="Jamshedpur"/>
    <s v="Jharkhand"/>
    <x v="1"/>
    <s v="345306"/>
    <s v="None"/>
    <n v="4"/>
    <s v="No"/>
    <s v="other"/>
    <s v="WH-06"/>
    <s v="Delhivery"/>
    <d v="2023-10-25T00:00:00"/>
    <x v="228"/>
    <d v="2023-11-11T00:00:00"/>
    <s v="miyer@gmail_com"/>
    <s v="9401504379"/>
  </r>
  <r>
    <x v="956"/>
    <s v="Geetha Devi"/>
    <x v="0"/>
    <s v="Nike Air Max 270"/>
    <x v="21"/>
    <x v="2"/>
    <s v="Footwear"/>
    <n v="10400"/>
    <n v="1"/>
    <n v="10400"/>
    <n v="10"/>
    <x v="670"/>
    <n v="9360"/>
    <n v="12"/>
    <n v="1123.2"/>
    <n v="0"/>
    <n v="10483.200000000001"/>
    <x v="1"/>
    <s v="Same Day"/>
    <x v="5"/>
    <x v="4"/>
    <s v="Ankit Sharma"/>
    <s v="North"/>
    <s v="Bhubaneswar"/>
    <s v="Odisha"/>
    <x v="1"/>
    <s v="343253"/>
    <s v="None"/>
    <n v="4"/>
    <s v="No"/>
    <s v="other"/>
    <s v="WH-03"/>
    <s v="Ekart"/>
    <d v="2024-05-09T00:00:00"/>
    <x v="450"/>
    <d v="2024-05-16T00:00:00"/>
    <s v="devi_geetha@gmail_com"/>
    <s v="7867253081"/>
  </r>
  <r>
    <x v="957"/>
    <s v="Kannappan Ponnusamy"/>
    <x v="0"/>
    <s v="Wildcraft Backpack"/>
    <x v="28"/>
    <x v="2"/>
    <s v="Bags"/>
    <n v="1870"/>
    <n v="2"/>
    <n v="3740"/>
    <n v="20"/>
    <x v="671"/>
    <n v="2992"/>
    <n v="12"/>
    <n v="359.04"/>
    <n v="79"/>
    <n v="3351.04"/>
    <x v="6"/>
    <s v="Same Day"/>
    <x v="1"/>
    <x v="0"/>
    <s v="Ankit Sharma"/>
    <s v="North"/>
    <s v="Gaya"/>
    <s v="Bihar"/>
    <x v="1"/>
    <s v="454046"/>
    <s v="None"/>
    <n v="3"/>
    <s v="No"/>
    <s v="other"/>
    <s v="WH-01"/>
    <s v="Bluedart"/>
    <d v="2023-06-08T00:00:00"/>
    <x v="6"/>
    <d v="2023-06-19T00:00:00"/>
    <s v="kponnusamy@gmail_com"/>
    <s v="7093613014"/>
  </r>
  <r>
    <x v="958"/>
    <s v="Venugopal Krishnan"/>
    <x v="0"/>
    <s v="Peter England Suit"/>
    <x v="37"/>
    <x v="2"/>
    <s v="Clothing"/>
    <n v="9550"/>
    <n v="6"/>
    <n v="57300"/>
    <n v="15"/>
    <x v="672"/>
    <n v="48705"/>
    <n v="12"/>
    <n v="5844.6"/>
    <n v="0"/>
    <n v="54549.599999999999"/>
    <x v="5"/>
    <s v="Standard"/>
    <x v="4"/>
    <x v="0"/>
    <s v="Neha Kulkarni"/>
    <s v="West"/>
    <s v="Cuttack"/>
    <s v="Odisha"/>
    <x v="1"/>
    <s v="594390"/>
    <s v="None"/>
    <n v="4"/>
    <s v="Yes"/>
    <s v="other"/>
    <s v="WH-04"/>
    <s v="Delhivery"/>
    <d v="2023-02-10T00:00:00"/>
    <x v="451"/>
    <d v="2023-02-14T00:00:00"/>
    <s v="venugopal_krishnan@gmail_com"/>
    <s v="8731692759"/>
  </r>
  <r>
    <x v="959"/>
    <s v="Vikram Mehta"/>
    <x v="3"/>
    <s v="Daikin 1.5T Inverter"/>
    <x v="30"/>
    <x v="1"/>
    <s v="Air Conditioners"/>
    <n v="49020"/>
    <n v="1"/>
    <n v="49020"/>
    <n v="15"/>
    <x v="673"/>
    <n v="41667"/>
    <n v="5"/>
    <n v="2083.35"/>
    <n v="0"/>
    <n v="43750.35"/>
    <x v="2"/>
    <s v="Standard"/>
    <x v="2"/>
    <x v="2"/>
    <s v="Vinay Joshi"/>
    <s v="Central"/>
    <s v="Indore"/>
    <s v="Madhya Pradesh"/>
    <x v="3"/>
    <s v="225222"/>
    <s v="Save10"/>
    <n v="5"/>
    <s v="No"/>
    <s v="other"/>
    <s v="WH-05"/>
    <s v="Delhivery"/>
    <d v="2023-03-15T00:00:00"/>
    <x v="210"/>
    <d v="2023-03-22T00:00:00"/>
    <s v="vikram_mehta@gmail_com"/>
    <s v="6905101181"/>
  </r>
  <r>
    <x v="960"/>
    <s v="Jayesh Vora"/>
    <x v="1"/>
    <s v="Canon Eos 200D"/>
    <x v="7"/>
    <x v="0"/>
    <s v="Cameras"/>
    <n v="49980"/>
    <n v="3"/>
    <n v="149940"/>
    <n v="0"/>
    <x v="2"/>
    <n v="149940"/>
    <n v="18"/>
    <n v="26989.200000000001"/>
    <n v="0"/>
    <n v="176929.2"/>
    <x v="6"/>
    <s v="Same Day"/>
    <x v="5"/>
    <x v="0"/>
    <s v="Deepa Menon"/>
    <s v="South"/>
    <s v="Kanpur"/>
    <s v="Uttar Pradesh"/>
    <x v="0"/>
    <m/>
    <s v="None"/>
    <n v="3"/>
    <s v="No"/>
    <s v="other"/>
    <s v="WH-03"/>
    <s v="Delhivery"/>
    <d v="2023-06-03T00:00:00"/>
    <x v="452"/>
    <d v="2023-06-13T00:00:00"/>
    <s v="jayeshv@rediffmail_com"/>
    <s v="9496550242"/>
  </r>
  <r>
    <x v="961"/>
    <s v="Farhan Khan"/>
    <x v="0"/>
    <s v="Bajaj Mixer 750W"/>
    <x v="5"/>
    <x v="1"/>
    <s v="Kitchen"/>
    <n v="2720"/>
    <n v="2"/>
    <n v="5440"/>
    <n v="10"/>
    <x v="674"/>
    <n v="4896"/>
    <n v="5"/>
    <n v="244.8"/>
    <n v="0"/>
    <n v="5140.8"/>
    <x v="2"/>
    <s v="Express"/>
    <x v="0"/>
    <x v="4"/>
    <s v="Suraj Verma"/>
    <s v="East"/>
    <s v="Jaipur"/>
    <s v="Rajasthan"/>
    <x v="0"/>
    <s v="580929"/>
    <s v="Save10"/>
    <n v="4"/>
    <s v="No"/>
    <s v="other"/>
    <s v="WH-07"/>
    <s v="Delhivery"/>
    <d v="2024-01-19T00:00:00"/>
    <x v="453"/>
    <d v="2024-01-26T00:00:00"/>
    <s v="farhan_khan@gmail_com"/>
    <s v="6767448228"/>
  </r>
  <r>
    <x v="962"/>
    <s v="Fathima Begum"/>
    <x v="3"/>
    <s v="Milton Water Purifier"/>
    <x v="22"/>
    <x v="1"/>
    <s v="Kitchen"/>
    <n v="9400"/>
    <n v="4"/>
    <n v="37600"/>
    <n v="5"/>
    <x v="675"/>
    <n v="35720"/>
    <n v="5"/>
    <n v="1786"/>
    <n v="0"/>
    <n v="37506"/>
    <x v="6"/>
    <s v="Same Day"/>
    <x v="2"/>
    <x v="3"/>
    <s v="Neha Kulkarni"/>
    <s v="West"/>
    <s v="Jamshedpur"/>
    <s v="Jharkhand"/>
    <x v="1"/>
    <s v="772255"/>
    <s v="Diwali25"/>
    <n v="4"/>
    <s v="No"/>
    <s v="other"/>
    <s v="WH-08"/>
    <s v="Amazon Logistics"/>
    <d v="2023-03-13T00:00:00"/>
    <x v="363"/>
    <d v="2023-03-21T00:00:00"/>
    <s v="fathima_begum@gmail_com"/>
    <s v="81534278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002938-EA2B-4A5D-A5A9-D31F7832895D}" name="KPIs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3" firstHeaderRow="0" firstDataRow="1" firstDataCol="0"/>
  <pivotFields count="41">
    <pivotField dataField="1" showAll="0">
      <items count="964">
        <item x="0"/>
        <item x="8"/>
        <item x="2"/>
        <item x="5"/>
        <item x="21"/>
        <item x="26"/>
        <item x="31"/>
        <item x="11"/>
        <item x="16"/>
        <item x="40"/>
        <item x="7"/>
        <item x="24"/>
        <item x="18"/>
        <item x="25"/>
        <item x="55"/>
        <item x="6"/>
        <item x="12"/>
        <item x="69"/>
        <item x="51"/>
        <item x="15"/>
        <item x="4"/>
        <item x="61"/>
        <item x="57"/>
        <item x="88"/>
        <item x="67"/>
        <item x="76"/>
        <item x="28"/>
        <item x="49"/>
        <item x="92"/>
        <item x="77"/>
        <item x="27"/>
        <item x="43"/>
        <item x="105"/>
        <item x="3"/>
        <item x="22"/>
        <item x="45"/>
        <item x="81"/>
        <item x="23"/>
        <item x="62"/>
        <item x="65"/>
        <item x="66"/>
        <item x="32"/>
        <item x="30"/>
        <item x="33"/>
        <item x="91"/>
        <item x="44"/>
        <item x="78"/>
        <item x="137"/>
        <item x="42"/>
        <item x="98"/>
        <item x="82"/>
        <item x="38"/>
        <item x="118"/>
        <item x="35"/>
        <item x="56"/>
        <item x="41"/>
        <item x="34"/>
        <item x="20"/>
        <item x="99"/>
        <item x="73"/>
        <item x="10"/>
        <item x="90"/>
        <item x="47"/>
        <item x="37"/>
        <item x="14"/>
        <item x="84"/>
        <item x="93"/>
        <item x="133"/>
        <item x="9"/>
        <item x="19"/>
        <item x="140"/>
        <item x="17"/>
        <item x="120"/>
        <item x="119"/>
        <item x="83"/>
        <item x="86"/>
        <item x="59"/>
        <item x="134"/>
        <item x="52"/>
        <item x="53"/>
        <item x="13"/>
        <item x="1"/>
        <item x="89"/>
        <item x="154"/>
        <item x="48"/>
        <item x="172"/>
        <item x="39"/>
        <item x="148"/>
        <item x="72"/>
        <item x="87"/>
        <item x="174"/>
        <item x="136"/>
        <item x="29"/>
        <item x="186"/>
        <item x="130"/>
        <item x="103"/>
        <item x="106"/>
        <item x="80"/>
        <item x="112"/>
        <item x="71"/>
        <item x="122"/>
        <item x="132"/>
        <item x="58"/>
        <item x="96"/>
        <item x="36"/>
        <item x="50"/>
        <item x="215"/>
        <item x="223"/>
        <item x="46"/>
        <item x="145"/>
        <item x="187"/>
        <item x="85"/>
        <item x="220"/>
        <item x="138"/>
        <item x="117"/>
        <item x="63"/>
        <item x="70"/>
        <item x="152"/>
        <item x="149"/>
        <item x="97"/>
        <item x="64"/>
        <item x="146"/>
        <item x="54"/>
        <item x="60"/>
        <item x="110"/>
        <item x="68"/>
        <item x="143"/>
        <item x="101"/>
        <item x="205"/>
        <item x="155"/>
        <item x="114"/>
        <item x="74"/>
        <item x="128"/>
        <item x="203"/>
        <item x="239"/>
        <item x="139"/>
        <item x="102"/>
        <item x="111"/>
        <item x="95"/>
        <item x="171"/>
        <item x="253"/>
        <item x="160"/>
        <item x="75"/>
        <item x="162"/>
        <item x="141"/>
        <item x="79"/>
        <item x="164"/>
        <item x="94"/>
        <item x="190"/>
        <item x="184"/>
        <item x="107"/>
        <item x="178"/>
        <item x="275"/>
        <item x="177"/>
        <item x="116"/>
        <item x="192"/>
        <item x="109"/>
        <item x="278"/>
        <item x="100"/>
        <item x="113"/>
        <item x="179"/>
        <item x="168"/>
        <item x="200"/>
        <item x="108"/>
        <item x="198"/>
        <item x="180"/>
        <item x="127"/>
        <item x="161"/>
        <item x="173"/>
        <item x="214"/>
        <item x="104"/>
        <item x="211"/>
        <item x="125"/>
        <item x="196"/>
        <item x="153"/>
        <item x="131"/>
        <item x="209"/>
        <item x="158"/>
        <item x="181"/>
        <item x="135"/>
        <item x="147"/>
        <item x="123"/>
        <item x="258"/>
        <item x="115"/>
        <item x="216"/>
        <item x="218"/>
        <item x="121"/>
        <item x="142"/>
        <item x="126"/>
        <item x="124"/>
        <item x="150"/>
        <item x="156"/>
        <item x="297"/>
        <item x="129"/>
        <item x="185"/>
        <item x="212"/>
        <item x="163"/>
        <item x="219"/>
        <item x="159"/>
        <item x="319"/>
        <item x="170"/>
        <item x="298"/>
        <item x="144"/>
        <item x="269"/>
        <item x="266"/>
        <item x="233"/>
        <item x="151"/>
        <item x="188"/>
        <item x="225"/>
        <item x="231"/>
        <item x="263"/>
        <item x="182"/>
        <item x="252"/>
        <item x="166"/>
        <item x="202"/>
        <item x="165"/>
        <item x="157"/>
        <item x="245"/>
        <item x="249"/>
        <item x="315"/>
        <item x="194"/>
        <item x="237"/>
        <item x="276"/>
        <item x="236"/>
        <item x="208"/>
        <item x="289"/>
        <item x="339"/>
        <item x="169"/>
        <item x="175"/>
        <item x="167"/>
        <item x="238"/>
        <item x="195"/>
        <item x="304"/>
        <item x="176"/>
        <item x="336"/>
        <item x="230"/>
        <item x="197"/>
        <item x="345"/>
        <item x="189"/>
        <item x="240"/>
        <item x="206"/>
        <item x="228"/>
        <item x="259"/>
        <item x="229"/>
        <item x="324"/>
        <item x="325"/>
        <item x="183"/>
        <item x="199"/>
        <item x="224"/>
        <item x="284"/>
        <item x="286"/>
        <item x="242"/>
        <item x="354"/>
        <item x="213"/>
        <item x="283"/>
        <item x="243"/>
        <item x="191"/>
        <item x="280"/>
        <item x="193"/>
        <item x="204"/>
        <item x="247"/>
        <item x="274"/>
        <item x="207"/>
        <item x="290"/>
        <item x="251"/>
        <item x="201"/>
        <item x="287"/>
        <item x="222"/>
        <item x="279"/>
        <item x="313"/>
        <item x="217"/>
        <item x="260"/>
        <item x="226"/>
        <item x="254"/>
        <item x="210"/>
        <item x="250"/>
        <item x="248"/>
        <item x="405"/>
        <item x="256"/>
        <item x="268"/>
        <item x="221"/>
        <item x="291"/>
        <item x="227"/>
        <item x="349"/>
        <item x="342"/>
        <item x="232"/>
        <item x="293"/>
        <item x="267"/>
        <item x="272"/>
        <item x="257"/>
        <item x="234"/>
        <item x="314"/>
        <item x="398"/>
        <item x="277"/>
        <item x="235"/>
        <item x="322"/>
        <item x="404"/>
        <item x="246"/>
        <item x="282"/>
        <item x="241"/>
        <item x="407"/>
        <item x="372"/>
        <item x="302"/>
        <item x="255"/>
        <item x="371"/>
        <item x="244"/>
        <item x="285"/>
        <item x="382"/>
        <item x="353"/>
        <item x="265"/>
        <item x="261"/>
        <item x="340"/>
        <item x="271"/>
        <item x="312"/>
        <item x="301"/>
        <item x="262"/>
        <item x="358"/>
        <item x="270"/>
        <item x="292"/>
        <item x="317"/>
        <item x="323"/>
        <item x="361"/>
        <item x="437"/>
        <item x="350"/>
        <item x="310"/>
        <item x="273"/>
        <item x="264"/>
        <item x="299"/>
        <item x="296"/>
        <item x="333"/>
        <item x="352"/>
        <item x="331"/>
        <item x="337"/>
        <item x="344"/>
        <item x="434"/>
        <item x="415"/>
        <item x="329"/>
        <item x="306"/>
        <item x="300"/>
        <item x="281"/>
        <item x="328"/>
        <item x="303"/>
        <item x="318"/>
        <item x="294"/>
        <item x="288"/>
        <item x="446"/>
        <item x="332"/>
        <item x="413"/>
        <item x="335"/>
        <item x="387"/>
        <item x="356"/>
        <item x="416"/>
        <item x="338"/>
        <item x="309"/>
        <item x="308"/>
        <item x="316"/>
        <item x="295"/>
        <item x="348"/>
        <item x="307"/>
        <item x="380"/>
        <item x="423"/>
        <item x="320"/>
        <item x="473"/>
        <item x="311"/>
        <item x="384"/>
        <item x="364"/>
        <item x="305"/>
        <item x="327"/>
        <item x="433"/>
        <item x="346"/>
        <item x="441"/>
        <item x="321"/>
        <item x="355"/>
        <item x="359"/>
        <item x="422"/>
        <item x="403"/>
        <item x="499"/>
        <item x="406"/>
        <item x="347"/>
        <item x="390"/>
        <item x="430"/>
        <item x="462"/>
        <item x="463"/>
        <item x="326"/>
        <item x="500"/>
        <item x="392"/>
        <item x="365"/>
        <item x="351"/>
        <item x="409"/>
        <item x="341"/>
        <item x="389"/>
        <item x="330"/>
        <item x="357"/>
        <item x="334"/>
        <item x="362"/>
        <item x="343"/>
        <item x="448"/>
        <item x="453"/>
        <item x="428"/>
        <item x="396"/>
        <item x="450"/>
        <item x="421"/>
        <item x="363"/>
        <item x="381"/>
        <item x="379"/>
        <item x="511"/>
        <item x="378"/>
        <item x="360"/>
        <item x="400"/>
        <item x="373"/>
        <item x="397"/>
        <item x="385"/>
        <item x="472"/>
        <item x="370"/>
        <item x="366"/>
        <item x="399"/>
        <item x="468"/>
        <item x="394"/>
        <item x="464"/>
        <item x="367"/>
        <item x="480"/>
        <item x="388"/>
        <item x="391"/>
        <item x="375"/>
        <item x="386"/>
        <item x="368"/>
        <item x="496"/>
        <item x="383"/>
        <item x="440"/>
        <item x="524"/>
        <item x="393"/>
        <item x="374"/>
        <item x="369"/>
        <item x="377"/>
        <item x="395"/>
        <item x="459"/>
        <item x="420"/>
        <item x="451"/>
        <item x="533"/>
        <item x="443"/>
        <item x="417"/>
        <item x="376"/>
        <item x="560"/>
        <item x="411"/>
        <item x="470"/>
        <item x="431"/>
        <item x="456"/>
        <item x="449"/>
        <item x="401"/>
        <item x="537"/>
        <item x="452"/>
        <item x="554"/>
        <item x="402"/>
        <item x="514"/>
        <item x="435"/>
        <item x="548"/>
        <item x="424"/>
        <item x="427"/>
        <item x="408"/>
        <item x="516"/>
        <item x="526"/>
        <item x="483"/>
        <item x="414"/>
        <item x="492"/>
        <item x="490"/>
        <item x="418"/>
        <item x="436"/>
        <item x="429"/>
        <item x="442"/>
        <item x="510"/>
        <item x="544"/>
        <item x="432"/>
        <item x="412"/>
        <item x="457"/>
        <item x="410"/>
        <item x="419"/>
        <item x="447"/>
        <item x="475"/>
        <item x="438"/>
        <item x="484"/>
        <item x="425"/>
        <item x="460"/>
        <item x="517"/>
        <item x="426"/>
        <item x="489"/>
        <item x="439"/>
        <item x="474"/>
        <item x="485"/>
        <item x="565"/>
        <item x="579"/>
        <item x="444"/>
        <item x="562"/>
        <item x="461"/>
        <item x="465"/>
        <item x="528"/>
        <item x="507"/>
        <item x="541"/>
        <item x="471"/>
        <item x="493"/>
        <item x="521"/>
        <item x="569"/>
        <item x="445"/>
        <item x="540"/>
        <item x="627"/>
        <item x="467"/>
        <item x="477"/>
        <item x="469"/>
        <item x="454"/>
        <item x="502"/>
        <item x="458"/>
        <item x="546"/>
        <item x="466"/>
        <item x="486"/>
        <item x="513"/>
        <item x="455"/>
        <item x="476"/>
        <item x="559"/>
        <item x="610"/>
        <item x="501"/>
        <item x="522"/>
        <item x="558"/>
        <item x="497"/>
        <item x="478"/>
        <item x="557"/>
        <item x="482"/>
        <item x="504"/>
        <item x="607"/>
        <item x="550"/>
        <item x="535"/>
        <item x="498"/>
        <item x="527"/>
        <item x="479"/>
        <item x="534"/>
        <item x="568"/>
        <item x="593"/>
        <item x="518"/>
        <item x="505"/>
        <item x="487"/>
        <item x="621"/>
        <item x="561"/>
        <item x="551"/>
        <item x="481"/>
        <item x="590"/>
        <item x="488"/>
        <item x="598"/>
        <item x="611"/>
        <item x="491"/>
        <item x="508"/>
        <item x="531"/>
        <item x="549"/>
        <item x="577"/>
        <item x="494"/>
        <item x="556"/>
        <item x="592"/>
        <item x="495"/>
        <item x="583"/>
        <item x="586"/>
        <item x="515"/>
        <item x="503"/>
        <item x="506"/>
        <item x="532"/>
        <item x="597"/>
        <item x="529"/>
        <item x="608"/>
        <item x="520"/>
        <item x="509"/>
        <item x="536"/>
        <item x="519"/>
        <item x="585"/>
        <item x="512"/>
        <item x="571"/>
        <item x="523"/>
        <item x="646"/>
        <item x="525"/>
        <item x="636"/>
        <item x="589"/>
        <item x="567"/>
        <item x="566"/>
        <item x="622"/>
        <item x="594"/>
        <item x="614"/>
        <item x="563"/>
        <item x="580"/>
        <item x="606"/>
        <item x="539"/>
        <item x="555"/>
        <item x="543"/>
        <item x="679"/>
        <item x="530"/>
        <item x="553"/>
        <item x="547"/>
        <item x="641"/>
        <item x="684"/>
        <item x="538"/>
        <item x="542"/>
        <item x="552"/>
        <item x="578"/>
        <item x="545"/>
        <item x="630"/>
        <item x="588"/>
        <item x="581"/>
        <item x="628"/>
        <item x="591"/>
        <item x="574"/>
        <item x="631"/>
        <item x="662"/>
        <item x="601"/>
        <item x="600"/>
        <item x="572"/>
        <item x="685"/>
        <item x="638"/>
        <item x="595"/>
        <item x="575"/>
        <item x="674"/>
        <item x="582"/>
        <item x="619"/>
        <item x="640"/>
        <item x="644"/>
        <item x="719"/>
        <item x="576"/>
        <item x="629"/>
        <item x="587"/>
        <item x="564"/>
        <item x="584"/>
        <item x="651"/>
        <item x="609"/>
        <item x="694"/>
        <item x="570"/>
        <item x="692"/>
        <item x="649"/>
        <item x="615"/>
        <item x="655"/>
        <item x="658"/>
        <item x="603"/>
        <item x="762"/>
        <item x="573"/>
        <item x="602"/>
        <item x="730"/>
        <item x="733"/>
        <item x="718"/>
        <item x="724"/>
        <item x="637"/>
        <item x="652"/>
        <item x="613"/>
        <item x="617"/>
        <item x="626"/>
        <item x="605"/>
        <item x="616"/>
        <item x="599"/>
        <item x="596"/>
        <item x="663"/>
        <item x="687"/>
        <item x="705"/>
        <item x="618"/>
        <item x="703"/>
        <item x="754"/>
        <item x="620"/>
        <item x="670"/>
        <item x="634"/>
        <item x="604"/>
        <item x="725"/>
        <item x="657"/>
        <item x="612"/>
        <item x="653"/>
        <item x="642"/>
        <item x="720"/>
        <item x="680"/>
        <item x="650"/>
        <item x="632"/>
        <item x="624"/>
        <item x="643"/>
        <item x="701"/>
        <item x="623"/>
        <item x="796"/>
        <item x="671"/>
        <item x="697"/>
        <item x="648"/>
        <item x="625"/>
        <item x="665"/>
        <item x="690"/>
        <item x="668"/>
        <item x="633"/>
        <item x="681"/>
        <item x="635"/>
        <item x="744"/>
        <item x="765"/>
        <item x="749"/>
        <item x="659"/>
        <item x="698"/>
        <item x="639"/>
        <item x="647"/>
        <item x="664"/>
        <item x="656"/>
        <item x="825"/>
        <item x="654"/>
        <item x="666"/>
        <item x="699"/>
        <item x="732"/>
        <item x="645"/>
        <item x="779"/>
        <item x="710"/>
        <item x="672"/>
        <item x="683"/>
        <item x="713"/>
        <item x="803"/>
        <item x="702"/>
        <item x="693"/>
        <item x="661"/>
        <item x="678"/>
        <item x="726"/>
        <item x="675"/>
        <item x="682"/>
        <item x="737"/>
        <item x="689"/>
        <item x="743"/>
        <item x="805"/>
        <item x="660"/>
        <item x="667"/>
        <item x="812"/>
        <item x="669"/>
        <item x="790"/>
        <item x="686"/>
        <item x="728"/>
        <item x="706"/>
        <item x="676"/>
        <item x="708"/>
        <item x="712"/>
        <item x="673"/>
        <item x="757"/>
        <item x="819"/>
        <item x="752"/>
        <item x="691"/>
        <item x="704"/>
        <item x="677"/>
        <item x="836"/>
        <item x="770"/>
        <item x="707"/>
        <item x="767"/>
        <item x="709"/>
        <item x="696"/>
        <item x="768"/>
        <item x="731"/>
        <item x="695"/>
        <item x="688"/>
        <item x="715"/>
        <item x="700"/>
        <item x="795"/>
        <item x="734"/>
        <item x="745"/>
        <item x="714"/>
        <item x="741"/>
        <item x="771"/>
        <item x="711"/>
        <item x="824"/>
        <item x="751"/>
        <item x="723"/>
        <item x="860"/>
        <item x="716"/>
        <item x="781"/>
        <item x="880"/>
        <item x="786"/>
        <item x="722"/>
        <item x="775"/>
        <item x="729"/>
        <item x="763"/>
        <item x="822"/>
        <item x="721"/>
        <item x="755"/>
        <item x="847"/>
        <item x="746"/>
        <item x="769"/>
        <item x="760"/>
        <item x="748"/>
        <item x="717"/>
        <item x="739"/>
        <item x="727"/>
        <item x="738"/>
        <item x="829"/>
        <item x="793"/>
        <item x="750"/>
        <item x="866"/>
        <item x="773"/>
        <item x="867"/>
        <item x="797"/>
        <item x="758"/>
        <item x="736"/>
        <item x="742"/>
        <item x="735"/>
        <item x="800"/>
        <item x="808"/>
        <item x="804"/>
        <item x="833"/>
        <item x="811"/>
        <item x="791"/>
        <item x="794"/>
        <item x="740"/>
        <item x="830"/>
        <item x="826"/>
        <item x="766"/>
        <item x="747"/>
        <item x="799"/>
        <item x="772"/>
        <item x="759"/>
        <item x="921"/>
        <item x="761"/>
        <item x="831"/>
        <item x="756"/>
        <item x="810"/>
        <item x="776"/>
        <item x="753"/>
        <item x="845"/>
        <item x="821"/>
        <item x="857"/>
        <item x="784"/>
        <item x="844"/>
        <item x="837"/>
        <item x="777"/>
        <item x="848"/>
        <item x="897"/>
        <item x="764"/>
        <item x="801"/>
        <item x="774"/>
        <item x="817"/>
        <item x="855"/>
        <item x="839"/>
        <item x="881"/>
        <item x="843"/>
        <item x="780"/>
        <item x="788"/>
        <item x="782"/>
        <item x="778"/>
        <item x="906"/>
        <item x="802"/>
        <item x="783"/>
        <item x="862"/>
        <item x="787"/>
        <item x="846"/>
        <item x="852"/>
        <item x="813"/>
        <item x="895"/>
        <item x="785"/>
        <item x="792"/>
        <item x="835"/>
        <item x="916"/>
        <item x="840"/>
        <item x="789"/>
        <item x="815"/>
        <item x="863"/>
        <item x="798"/>
        <item x="899"/>
        <item x="859"/>
        <item x="854"/>
        <item x="816"/>
        <item x="930"/>
        <item x="814"/>
        <item x="834"/>
        <item x="838"/>
        <item x="807"/>
        <item x="893"/>
        <item x="896"/>
        <item x="894"/>
        <item x="841"/>
        <item x="806"/>
        <item x="809"/>
        <item x="873"/>
        <item x="872"/>
        <item x="820"/>
        <item x="898"/>
        <item x="871"/>
        <item x="818"/>
        <item x="913"/>
        <item x="827"/>
        <item x="936"/>
        <item x="823"/>
        <item x="832"/>
        <item x="828"/>
        <item x="856"/>
        <item x="884"/>
        <item x="901"/>
        <item x="849"/>
        <item x="865"/>
        <item x="888"/>
        <item x="882"/>
        <item x="914"/>
        <item x="850"/>
        <item x="853"/>
        <item x="917"/>
        <item x="939"/>
        <item x="864"/>
        <item x="842"/>
        <item x="874"/>
        <item x="892"/>
        <item x="861"/>
        <item x="869"/>
        <item x="851"/>
        <item x="875"/>
        <item x="909"/>
        <item x="868"/>
        <item x="879"/>
        <item x="912"/>
        <item x="858"/>
        <item x="922"/>
        <item x="950"/>
        <item x="905"/>
        <item x="940"/>
        <item x="886"/>
        <item x="891"/>
        <item x="945"/>
        <item x="934"/>
        <item x="878"/>
        <item x="925"/>
        <item x="924"/>
        <item x="955"/>
        <item x="876"/>
        <item x="907"/>
        <item x="877"/>
        <item x="938"/>
        <item x="870"/>
        <item x="887"/>
        <item x="932"/>
        <item x="885"/>
        <item x="911"/>
        <item x="946"/>
        <item x="943"/>
        <item x="923"/>
        <item x="915"/>
        <item x="904"/>
        <item x="948"/>
        <item x="890"/>
        <item x="883"/>
        <item x="918"/>
        <item x="889"/>
        <item x="910"/>
        <item x="944"/>
        <item x="933"/>
        <item x="903"/>
        <item x="935"/>
        <item x="928"/>
        <item x="941"/>
        <item x="900"/>
        <item x="902"/>
        <item x="920"/>
        <item x="919"/>
        <item x="908"/>
        <item x="937"/>
        <item x="947"/>
        <item x="951"/>
        <item x="942"/>
        <item x="953"/>
        <item x="931"/>
        <item x="929"/>
        <item x="926"/>
        <item x="927"/>
        <item x="961"/>
        <item x="954"/>
        <item x="959"/>
        <item x="957"/>
        <item x="949"/>
        <item x="962"/>
        <item x="958"/>
        <item x="952"/>
        <item x="956"/>
        <item x="960"/>
        <item t="default"/>
      </items>
    </pivotField>
    <pivotField showAll="0"/>
    <pivotField showAll="0">
      <items count="5">
        <item x="3"/>
        <item x="0"/>
        <item x="2"/>
        <item x="1"/>
        <item t="default"/>
      </items>
    </pivotField>
    <pivotField showAll="0"/>
    <pivotField showAll="0"/>
    <pivotField showAll="0"/>
    <pivotField showAll="0"/>
    <pivotField showAll="0"/>
    <pivotField dataField="1" showAll="0"/>
    <pivotField dataField="1" showAll="0"/>
    <pivotField showAll="0"/>
    <pivotField dataField="1" showAll="0" sumSubtotal="1">
      <items count="677">
        <item x="2"/>
        <item x="389"/>
        <item x="219"/>
        <item x="597"/>
        <item x="570"/>
        <item x="555"/>
        <item x="302"/>
        <item x="104"/>
        <item x="251"/>
        <item x="464"/>
        <item x="394"/>
        <item x="157"/>
        <item x="146"/>
        <item x="8"/>
        <item x="205"/>
        <item x="614"/>
        <item x="144"/>
        <item x="280"/>
        <item x="581"/>
        <item x="92"/>
        <item x="186"/>
        <item x="279"/>
        <item x="591"/>
        <item x="267"/>
        <item x="264"/>
        <item x="546"/>
        <item x="618"/>
        <item x="442"/>
        <item x="224"/>
        <item x="453"/>
        <item x="149"/>
        <item x="45"/>
        <item x="579"/>
        <item x="390"/>
        <item x="665"/>
        <item x="54"/>
        <item x="628"/>
        <item x="161"/>
        <item x="310"/>
        <item x="79"/>
        <item x="572"/>
        <item x="127"/>
        <item x="495"/>
        <item x="260"/>
        <item x="362"/>
        <item x="49"/>
        <item x="142"/>
        <item x="125"/>
        <item x="291"/>
        <item x="556"/>
        <item x="494"/>
        <item x="525"/>
        <item x="608"/>
        <item x="189"/>
        <item x="181"/>
        <item x="355"/>
        <item x="299"/>
        <item x="292"/>
        <item x="228"/>
        <item x="197"/>
        <item x="221"/>
        <item x="297"/>
        <item x="653"/>
        <item x="174"/>
        <item x="569"/>
        <item x="65"/>
        <item x="662"/>
        <item x="426"/>
        <item x="120"/>
        <item x="409"/>
        <item x="575"/>
        <item x="631"/>
        <item x="282"/>
        <item x="334"/>
        <item x="71"/>
        <item x="243"/>
        <item x="554"/>
        <item x="187"/>
        <item x="87"/>
        <item x="220"/>
        <item x="305"/>
        <item x="412"/>
        <item x="313"/>
        <item x="294"/>
        <item x="320"/>
        <item x="271"/>
        <item x="106"/>
        <item x="35"/>
        <item x="372"/>
        <item x="385"/>
        <item x="167"/>
        <item x="250"/>
        <item x="462"/>
        <item x="110"/>
        <item x="44"/>
        <item x="460"/>
        <item x="102"/>
        <item x="649"/>
        <item x="354"/>
        <item x="396"/>
        <item x="24"/>
        <item x="620"/>
        <item x="623"/>
        <item x="535"/>
        <item x="528"/>
        <item x="98"/>
        <item x="137"/>
        <item x="627"/>
        <item x="656"/>
        <item x="46"/>
        <item x="490"/>
        <item x="663"/>
        <item x="446"/>
        <item x="547"/>
        <item x="604"/>
        <item x="13"/>
        <item x="171"/>
        <item x="557"/>
        <item x="625"/>
        <item x="287"/>
        <item x="643"/>
        <item x="300"/>
        <item x="180"/>
        <item x="155"/>
        <item x="401"/>
        <item x="429"/>
        <item x="440"/>
        <item x="6"/>
        <item x="504"/>
        <item x="184"/>
        <item x="23"/>
        <item x="196"/>
        <item x="222"/>
        <item x="382"/>
        <item x="580"/>
        <item x="231"/>
        <item x="371"/>
        <item x="674"/>
        <item x="550"/>
        <item x="336"/>
        <item x="616"/>
        <item x="229"/>
        <item x="622"/>
        <item x="361"/>
        <item x="403"/>
        <item x="124"/>
        <item x="73"/>
        <item x="558"/>
        <item x="472"/>
        <item x="134"/>
        <item x="420"/>
        <item x="179"/>
        <item x="395"/>
        <item x="489"/>
        <item x="188"/>
        <item x="172"/>
        <item x="37"/>
        <item x="136"/>
        <item x="671"/>
        <item x="245"/>
        <item x="592"/>
        <item x="406"/>
        <item x="266"/>
        <item x="540"/>
        <item x="434"/>
        <item x="630"/>
        <item x="414"/>
        <item x="422"/>
        <item x="542"/>
        <item x="516"/>
        <item x="626"/>
        <item x="574"/>
        <item x="418"/>
        <item x="416"/>
        <item x="545"/>
        <item x="194"/>
        <item x="198"/>
        <item x="55"/>
        <item x="430"/>
        <item x="203"/>
        <item x="373"/>
        <item x="633"/>
        <item x="147"/>
        <item x="425"/>
        <item x="32"/>
        <item x="274"/>
        <item x="480"/>
        <item x="277"/>
        <item x="352"/>
        <item x="648"/>
        <item x="670"/>
        <item x="240"/>
        <item x="452"/>
        <item x="568"/>
        <item x="586"/>
        <item x="182"/>
        <item x="450"/>
        <item x="246"/>
        <item x="636"/>
        <item x="112"/>
        <item x="91"/>
        <item x="244"/>
        <item x="544"/>
        <item x="316"/>
        <item x="437"/>
        <item x="10"/>
        <item x="526"/>
        <item x="51"/>
        <item x="538"/>
        <item x="21"/>
        <item x="211"/>
        <item x="309"/>
        <item x="234"/>
        <item x="209"/>
        <item x="60"/>
        <item x="510"/>
        <item x="615"/>
        <item x="107"/>
        <item x="342"/>
        <item x="63"/>
        <item x="283"/>
        <item x="133"/>
        <item x="632"/>
        <item x="358"/>
        <item x="668"/>
        <item x="374"/>
        <item x="226"/>
        <item x="466"/>
        <item x="610"/>
        <item x="378"/>
        <item x="96"/>
        <item x="551"/>
        <item x="369"/>
        <item x="455"/>
        <item x="139"/>
        <item x="522"/>
        <item x="652"/>
        <item x="93"/>
        <item x="603"/>
        <item x="225"/>
        <item x="192"/>
        <item x="449"/>
        <item x="413"/>
        <item x="473"/>
        <item x="419"/>
        <item x="9"/>
        <item x="208"/>
        <item x="350"/>
        <item x="135"/>
        <item x="119"/>
        <item x="411"/>
        <item x="33"/>
        <item x="399"/>
        <item x="15"/>
        <item x="675"/>
        <item x="254"/>
        <item x="12"/>
        <item x="346"/>
        <item x="483"/>
        <item x="500"/>
        <item x="318"/>
        <item x="269"/>
        <item x="639"/>
        <item x="353"/>
        <item x="381"/>
        <item x="397"/>
        <item x="18"/>
        <item x="111"/>
        <item x="327"/>
        <item x="118"/>
        <item x="505"/>
        <item x="584"/>
        <item x="624"/>
        <item x="587"/>
        <item x="159"/>
        <item x="36"/>
        <item x="518"/>
        <item x="471"/>
        <item x="105"/>
        <item x="478"/>
        <item x="607"/>
        <item x="261"/>
        <item x="669"/>
        <item x="170"/>
        <item x="306"/>
        <item x="564"/>
        <item x="323"/>
        <item x="484"/>
        <item x="14"/>
        <item x="173"/>
        <item x="481"/>
        <item x="126"/>
        <item x="410"/>
        <item x="27"/>
        <item x="660"/>
        <item x="415"/>
        <item x="619"/>
        <item x="380"/>
        <item x="600"/>
        <item x="637"/>
        <item x="461"/>
        <item x="304"/>
        <item x="215"/>
        <item x="611"/>
        <item x="458"/>
        <item x="360"/>
        <item x="424"/>
        <item x="89"/>
        <item x="77"/>
        <item x="81"/>
        <item x="248"/>
        <item x="312"/>
        <item x="70"/>
        <item x="517"/>
        <item x="61"/>
        <item x="278"/>
        <item x="66"/>
        <item x="435"/>
        <item x="533"/>
        <item x="160"/>
        <item x="441"/>
        <item x="121"/>
        <item x="488"/>
        <item x="487"/>
        <item x="129"/>
        <item x="585"/>
        <item x="459"/>
        <item x="39"/>
        <item x="29"/>
        <item x="113"/>
        <item x="199"/>
        <item x="20"/>
        <item x="232"/>
        <item x="213"/>
        <item x="131"/>
        <item x="56"/>
        <item x="644"/>
        <item x="497"/>
        <item x="163"/>
        <item x="138"/>
        <item x="301"/>
        <item x="255"/>
        <item x="436"/>
        <item x="0"/>
        <item x="272"/>
        <item x="519"/>
        <item x="164"/>
        <item x="333"/>
        <item x="634"/>
        <item x="85"/>
        <item x="321"/>
        <item x="22"/>
        <item x="445"/>
        <item x="17"/>
        <item x="531"/>
        <item x="262"/>
        <item x="140"/>
        <item x="238"/>
        <item x="345"/>
        <item x="463"/>
        <item x="42"/>
        <item x="658"/>
        <item x="645"/>
        <item x="470"/>
        <item x="549"/>
        <item x="448"/>
        <item x="347"/>
        <item x="537"/>
        <item x="388"/>
        <item x="95"/>
        <item x="337"/>
        <item x="169"/>
        <item x="265"/>
        <item x="223"/>
        <item x="329"/>
        <item x="423"/>
        <item x="567"/>
        <item x="16"/>
        <item x="233"/>
        <item x="539"/>
        <item x="200"/>
        <item x="88"/>
        <item x="383"/>
        <item x="257"/>
        <item x="576"/>
        <item x="514"/>
        <item x="28"/>
        <item x="476"/>
        <item x="259"/>
        <item x="296"/>
        <item x="122"/>
        <item x="151"/>
        <item x="315"/>
        <item x="520"/>
        <item x="541"/>
        <item x="398"/>
        <item x="359"/>
        <item x="26"/>
        <item x="447"/>
        <item x="207"/>
        <item x="379"/>
        <item x="640"/>
        <item x="216"/>
        <item x="491"/>
        <item x="206"/>
        <item x="638"/>
        <item x="130"/>
        <item x="176"/>
        <item x="349"/>
        <item x="651"/>
        <item x="101"/>
        <item x="642"/>
        <item x="331"/>
        <item x="166"/>
        <item x="150"/>
        <item x="659"/>
        <item x="485"/>
        <item x="341"/>
        <item x="185"/>
        <item x="482"/>
        <item x="515"/>
        <item x="598"/>
        <item x="212"/>
        <item x="560"/>
        <item x="465"/>
        <item x="325"/>
        <item x="218"/>
        <item x="432"/>
        <item x="673"/>
        <item x="193"/>
        <item x="357"/>
        <item x="417"/>
        <item x="48"/>
        <item x="108"/>
        <item x="30"/>
        <item x="375"/>
        <item x="444"/>
        <item x="529"/>
        <item x="7"/>
        <item x="521"/>
        <item x="666"/>
        <item x="543"/>
        <item x="103"/>
        <item x="230"/>
        <item x="40"/>
        <item x="351"/>
        <item x="672"/>
        <item x="641"/>
        <item x="303"/>
        <item x="588"/>
        <item x="191"/>
        <item x="289"/>
        <item x="285"/>
        <item x="69"/>
        <item x="565"/>
        <item x="311"/>
        <item x="344"/>
        <item x="154"/>
        <item x="276"/>
        <item x="210"/>
        <item x="143"/>
        <item x="148"/>
        <item x="536"/>
        <item x="68"/>
        <item x="109"/>
        <item x="236"/>
        <item x="177"/>
        <item x="324"/>
        <item x="116"/>
        <item x="202"/>
        <item x="74"/>
        <item x="270"/>
        <item x="290"/>
        <item x="530"/>
        <item x="532"/>
        <item x="253"/>
        <item x="650"/>
        <item x="307"/>
        <item x="317"/>
        <item x="67"/>
        <item x="454"/>
        <item x="421"/>
        <item x="370"/>
        <item x="153"/>
        <item x="237"/>
        <item x="621"/>
        <item x="348"/>
        <item x="80"/>
        <item x="162"/>
        <item x="84"/>
        <item x="275"/>
        <item x="227"/>
        <item x="268"/>
        <item x="527"/>
        <item x="552"/>
        <item x="606"/>
        <item x="513"/>
        <item x="595"/>
        <item x="524"/>
        <item x="53"/>
        <item x="661"/>
        <item x="469"/>
        <item x="314"/>
        <item x="573"/>
        <item x="492"/>
        <item x="288"/>
        <item x="566"/>
        <item x="384"/>
        <item x="635"/>
        <item x="400"/>
        <item x="43"/>
        <item x="322"/>
        <item x="152"/>
        <item x="507"/>
        <item x="405"/>
        <item x="498"/>
        <item x="165"/>
        <item x="90"/>
        <item x="511"/>
        <item x="654"/>
        <item x="563"/>
        <item x="609"/>
        <item x="178"/>
        <item x="83"/>
        <item x="330"/>
        <item x="286"/>
        <item x="195"/>
        <item x="509"/>
        <item x="655"/>
        <item x="503"/>
        <item x="376"/>
        <item x="402"/>
        <item x="241"/>
        <item x="201"/>
        <item x="175"/>
        <item x="508"/>
        <item x="82"/>
        <item x="499"/>
        <item x="667"/>
        <item x="431"/>
        <item x="593"/>
        <item x="578"/>
        <item x="168"/>
        <item x="467"/>
        <item x="343"/>
        <item x="602"/>
        <item x="281"/>
        <item x="1"/>
        <item x="50"/>
        <item x="451"/>
        <item x="52"/>
        <item x="477"/>
        <item x="559"/>
        <item x="19"/>
        <item x="47"/>
        <item x="117"/>
        <item x="367"/>
        <item x="97"/>
        <item x="59"/>
        <item x="141"/>
        <item x="443"/>
        <item x="319"/>
        <item x="664"/>
        <item x="38"/>
        <item x="3"/>
        <item x="456"/>
        <item x="217"/>
        <item x="293"/>
        <item x="391"/>
        <item x="468"/>
        <item x="100"/>
        <item x="76"/>
        <item x="617"/>
        <item x="612"/>
        <item x="501"/>
        <item x="332"/>
        <item x="523"/>
        <item x="308"/>
        <item x="114"/>
        <item x="86"/>
        <item x="364"/>
        <item x="408"/>
        <item x="75"/>
        <item x="338"/>
        <item x="474"/>
        <item x="5"/>
        <item x="247"/>
        <item x="589"/>
        <item x="377"/>
        <item x="256"/>
        <item x="263"/>
        <item x="404"/>
        <item x="368"/>
        <item x="363"/>
        <item x="284"/>
        <item x="295"/>
        <item x="590"/>
        <item x="493"/>
        <item x="190"/>
        <item x="605"/>
        <item x="502"/>
        <item x="571"/>
        <item x="386"/>
        <item x="439"/>
        <item x="582"/>
        <item x="553"/>
        <item x="326"/>
        <item x="72"/>
        <item x="78"/>
        <item x="548"/>
        <item x="11"/>
        <item x="356"/>
        <item x="235"/>
        <item x="486"/>
        <item x="156"/>
        <item x="41"/>
        <item x="158"/>
        <item x="31"/>
        <item x="392"/>
        <item x="242"/>
        <item x="506"/>
        <item x="58"/>
        <item x="57"/>
        <item x="204"/>
        <item x="249"/>
        <item x="123"/>
        <item x="64"/>
        <item x="387"/>
        <item x="328"/>
        <item x="433"/>
        <item x="534"/>
        <item x="25"/>
        <item x="438"/>
        <item x="94"/>
        <item x="298"/>
        <item x="183"/>
        <item x="496"/>
        <item x="613"/>
        <item x="596"/>
        <item x="427"/>
        <item x="657"/>
        <item x="646"/>
        <item x="601"/>
        <item x="273"/>
        <item x="561"/>
        <item x="239"/>
        <item x="479"/>
        <item x="4"/>
        <item x="365"/>
        <item x="475"/>
        <item x="366"/>
        <item x="340"/>
        <item x="128"/>
        <item x="99"/>
        <item x="428"/>
        <item x="62"/>
        <item x="34"/>
        <item x="457"/>
        <item x="252"/>
        <item x="512"/>
        <item x="339"/>
        <item x="335"/>
        <item x="214"/>
        <item x="599"/>
        <item x="577"/>
        <item x="115"/>
        <item x="594"/>
        <item x="629"/>
        <item x="393"/>
        <item x="258"/>
        <item x="132"/>
        <item x="562"/>
        <item x="407"/>
        <item x="583"/>
        <item x="647"/>
        <item x="145"/>
        <item t="sum"/>
      </items>
    </pivotField>
    <pivotField showAll="0"/>
    <pivotField showAll="0"/>
    <pivotField showAll="0"/>
    <pivotField showAll="0"/>
    <pivotField dataField="1" showAll="0"/>
    <pivotField showAll="0"/>
    <pivotField showAll="0"/>
    <pivotField showAll="0">
      <items count="7">
        <item x="5"/>
        <item x="0"/>
        <item x="3"/>
        <item x="2"/>
        <item x="4"/>
        <item x="1"/>
        <item t="default"/>
      </items>
    </pivotField>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pivotField showAll="0"/>
    <pivotField showAll="0"/>
    <pivotField showAll="0"/>
    <pivotField numFmtId="14" showAll="0"/>
    <pivotField numFmtId="14" showAll="0">
      <items count="455">
        <item x="348"/>
        <item x="116"/>
        <item x="85"/>
        <item x="357"/>
        <item x="195"/>
        <item x="115"/>
        <item x="283"/>
        <item x="69"/>
        <item x="289"/>
        <item x="219"/>
        <item x="187"/>
        <item x="405"/>
        <item x="14"/>
        <item x="240"/>
        <item x="427"/>
        <item x="158"/>
        <item x="386"/>
        <item x="92"/>
        <item x="155"/>
        <item x="401"/>
        <item x="349"/>
        <item x="9"/>
        <item x="361"/>
        <item x="443"/>
        <item x="193"/>
        <item x="243"/>
        <item x="65"/>
        <item x="54"/>
        <item x="127"/>
        <item x="15"/>
        <item x="445"/>
        <item x="358"/>
        <item x="42"/>
        <item x="59"/>
        <item x="451"/>
        <item x="252"/>
        <item x="198"/>
        <item x="318"/>
        <item x="94"/>
        <item x="382"/>
        <item x="153"/>
        <item x="182"/>
        <item x="420"/>
        <item x="96"/>
        <item x="100"/>
        <item x="422"/>
        <item x="72"/>
        <item x="24"/>
        <item x="237"/>
        <item x="103"/>
        <item x="191"/>
        <item x="131"/>
        <item x="421"/>
        <item x="293"/>
        <item x="305"/>
        <item x="220"/>
        <item x="433"/>
        <item x="269"/>
        <item x="199"/>
        <item x="204"/>
        <item x="79"/>
        <item x="89"/>
        <item x="108"/>
        <item x="5"/>
        <item x="67"/>
        <item x="363"/>
        <item x="210"/>
        <item x="33"/>
        <item x="309"/>
        <item x="203"/>
        <item x="29"/>
        <item x="298"/>
        <item x="141"/>
        <item x="25"/>
        <item x="374"/>
        <item x="102"/>
        <item x="125"/>
        <item x="189"/>
        <item x="354"/>
        <item x="227"/>
        <item x="112"/>
        <item x="26"/>
        <item x="261"/>
        <item x="27"/>
        <item x="194"/>
        <item x="119"/>
        <item x="188"/>
        <item x="428"/>
        <item x="196"/>
        <item x="341"/>
        <item x="343"/>
        <item x="1"/>
        <item x="142"/>
        <item x="225"/>
        <item x="30"/>
        <item x="304"/>
        <item x="408"/>
        <item x="297"/>
        <item x="120"/>
        <item x="242"/>
        <item x="60"/>
        <item x="366"/>
        <item x="234"/>
        <item x="246"/>
        <item x="333"/>
        <item x="238"/>
        <item x="391"/>
        <item x="12"/>
        <item x="244"/>
        <item x="68"/>
        <item x="446"/>
        <item x="393"/>
        <item x="215"/>
        <item x="399"/>
        <item x="302"/>
        <item x="38"/>
        <item x="329"/>
        <item x="256"/>
        <item x="39"/>
        <item x="403"/>
        <item x="20"/>
        <item x="201"/>
        <item x="0"/>
        <item x="444"/>
        <item x="44"/>
        <item x="413"/>
        <item x="80"/>
        <item x="107"/>
        <item x="148"/>
        <item x="404"/>
        <item x="436"/>
        <item x="452"/>
        <item x="139"/>
        <item x="17"/>
        <item x="6"/>
        <item x="254"/>
        <item x="104"/>
        <item x="272"/>
        <item x="143"/>
        <item x="217"/>
        <item x="241"/>
        <item x="274"/>
        <item x="61"/>
        <item x="230"/>
        <item x="53"/>
        <item x="294"/>
        <item x="117"/>
        <item x="409"/>
        <item x="265"/>
        <item x="390"/>
        <item x="334"/>
        <item x="144"/>
        <item x="299"/>
        <item x="328"/>
        <item x="78"/>
        <item x="31"/>
        <item x="46"/>
        <item x="387"/>
        <item x="62"/>
        <item x="149"/>
        <item x="66"/>
        <item x="174"/>
        <item x="82"/>
        <item x="322"/>
        <item x="326"/>
        <item x="447"/>
        <item x="160"/>
        <item x="81"/>
        <item x="8"/>
        <item x="292"/>
        <item x="426"/>
        <item x="214"/>
        <item x="74"/>
        <item x="173"/>
        <item x="290"/>
        <item x="22"/>
        <item x="109"/>
        <item x="257"/>
        <item x="200"/>
        <item x="320"/>
        <item x="99"/>
        <item x="340"/>
        <item x="128"/>
        <item x="113"/>
        <item x="245"/>
        <item x="376"/>
        <item x="87"/>
        <item x="424"/>
        <item x="40"/>
        <item x="111"/>
        <item x="57"/>
        <item x="325"/>
        <item x="271"/>
        <item x="324"/>
        <item x="209"/>
        <item x="186"/>
        <item x="206"/>
        <item x="344"/>
        <item x="222"/>
        <item x="295"/>
        <item x="221"/>
        <item x="185"/>
        <item x="307"/>
        <item x="197"/>
        <item x="121"/>
        <item x="132"/>
        <item x="136"/>
        <item x="239"/>
        <item x="218"/>
        <item x="342"/>
        <item x="13"/>
        <item x="105"/>
        <item x="168"/>
        <item x="231"/>
        <item x="247"/>
        <item x="400"/>
        <item x="211"/>
        <item x="110"/>
        <item x="152"/>
        <item x="75"/>
        <item x="84"/>
        <item x="379"/>
        <item x="440"/>
        <item x="63"/>
        <item x="336"/>
        <item x="330"/>
        <item x="202"/>
        <item x="106"/>
        <item x="441"/>
        <item x="178"/>
        <item x="437"/>
        <item x="93"/>
        <item x="338"/>
        <item x="394"/>
        <item x="208"/>
        <item x="171"/>
        <item x="291"/>
        <item x="268"/>
        <item x="45"/>
        <item x="267"/>
        <item x="311"/>
        <item x="253"/>
        <item x="339"/>
        <item x="180"/>
        <item x="398"/>
        <item x="10"/>
        <item x="417"/>
        <item x="55"/>
        <item x="50"/>
        <item x="312"/>
        <item x="448"/>
        <item x="34"/>
        <item x="435"/>
        <item x="228"/>
        <item x="249"/>
        <item x="91"/>
        <item x="255"/>
        <item x="64"/>
        <item x="410"/>
        <item x="223"/>
        <item x="71"/>
        <item x="157"/>
        <item x="170"/>
        <item x="190"/>
        <item x="229"/>
        <item x="140"/>
        <item x="175"/>
        <item x="124"/>
        <item x="332"/>
        <item x="278"/>
        <item x="98"/>
        <item x="275"/>
        <item x="308"/>
        <item x="166"/>
        <item x="321"/>
        <item x="378"/>
        <item x="439"/>
        <item x="21"/>
        <item x="425"/>
        <item x="380"/>
        <item x="345"/>
        <item x="313"/>
        <item x="151"/>
        <item x="165"/>
        <item x="270"/>
        <item x="286"/>
        <item x="7"/>
        <item x="192"/>
        <item x="323"/>
        <item x="145"/>
        <item x="351"/>
        <item x="355"/>
        <item x="317"/>
        <item x="156"/>
        <item x="273"/>
        <item x="352"/>
        <item x="114"/>
        <item x="41"/>
        <item x="368"/>
        <item x="407"/>
        <item x="183"/>
        <item x="169"/>
        <item x="331"/>
        <item x="319"/>
        <item x="392"/>
        <item x="159"/>
        <item x="58"/>
        <item x="129"/>
        <item x="207"/>
        <item x="381"/>
        <item x="431"/>
        <item x="365"/>
        <item x="383"/>
        <item x="288"/>
        <item x="453"/>
        <item x="147"/>
        <item x="350"/>
        <item x="389"/>
        <item x="262"/>
        <item x="95"/>
        <item x="11"/>
        <item x="134"/>
        <item x="205"/>
        <item x="280"/>
        <item x="19"/>
        <item x="146"/>
        <item x="212"/>
        <item x="32"/>
        <item x="303"/>
        <item x="28"/>
        <item x="101"/>
        <item x="164"/>
        <item x="123"/>
        <item x="375"/>
        <item x="76"/>
        <item x="314"/>
        <item x="300"/>
        <item x="385"/>
        <item x="370"/>
        <item x="282"/>
        <item x="266"/>
        <item x="432"/>
        <item x="353"/>
        <item x="346"/>
        <item x="251"/>
        <item x="213"/>
        <item x="51"/>
        <item x="122"/>
        <item x="372"/>
        <item x="337"/>
        <item x="162"/>
        <item x="18"/>
        <item x="276"/>
        <item x="371"/>
        <item x="73"/>
        <item x="364"/>
        <item x="3"/>
        <item x="263"/>
        <item x="2"/>
        <item x="412"/>
        <item x="52"/>
        <item x="118"/>
        <item x="70"/>
        <item x="250"/>
        <item x="258"/>
        <item x="327"/>
        <item x="310"/>
        <item x="90"/>
        <item x="167"/>
        <item x="77"/>
        <item x="137"/>
        <item x="56"/>
        <item x="406"/>
        <item x="86"/>
        <item x="23"/>
        <item x="224"/>
        <item x="419"/>
        <item x="4"/>
        <item x="362"/>
        <item x="360"/>
        <item x="395"/>
        <item x="416"/>
        <item x="48"/>
        <item x="277"/>
        <item x="138"/>
        <item x="35"/>
        <item x="356"/>
        <item x="287"/>
        <item x="49"/>
        <item x="161"/>
        <item x="172"/>
        <item x="179"/>
        <item x="233"/>
        <item x="301"/>
        <item x="126"/>
        <item x="88"/>
        <item x="216"/>
        <item x="367"/>
        <item x="284"/>
        <item x="397"/>
        <item x="359"/>
        <item x="248"/>
        <item x="429"/>
        <item x="226"/>
        <item x="176"/>
        <item x="47"/>
        <item x="450"/>
        <item x="130"/>
        <item x="163"/>
        <item x="434"/>
        <item x="396"/>
        <item x="184"/>
        <item x="16"/>
        <item x="154"/>
        <item x="418"/>
        <item x="438"/>
        <item x="264"/>
        <item x="411"/>
        <item x="415"/>
        <item x="97"/>
        <item x="296"/>
        <item x="347"/>
        <item x="279"/>
        <item x="442"/>
        <item x="236"/>
        <item x="388"/>
        <item x="315"/>
        <item x="373"/>
        <item x="150"/>
        <item x="133"/>
        <item x="449"/>
        <item x="36"/>
        <item x="335"/>
        <item x="259"/>
        <item x="37"/>
        <item x="181"/>
        <item x="423"/>
        <item x="285"/>
        <item x="369"/>
        <item x="402"/>
        <item x="235"/>
        <item x="316"/>
        <item x="177"/>
        <item x="43"/>
        <item x="306"/>
        <item x="281"/>
        <item x="232"/>
        <item x="377"/>
        <item x="135"/>
        <item x="260"/>
        <item x="83"/>
        <item x="414"/>
        <item x="430"/>
        <item x="384"/>
        <item t="default"/>
      </items>
    </pivotField>
    <pivotField numFmtId="14" showAll="0"/>
    <pivotField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5">
    <i>
      <x/>
    </i>
    <i i="1">
      <x v="1"/>
    </i>
    <i i="2">
      <x v="2"/>
    </i>
    <i i="3">
      <x v="3"/>
    </i>
    <i i="4">
      <x v="4"/>
    </i>
  </colItems>
  <dataFields count="5">
    <dataField name="Total Sales" fld="9" baseField="0" baseItem="1"/>
    <dataField name="Sum of Discount_Amt" fld="11" baseField="0" baseItem="0"/>
    <dataField name="Original Sales" fld="16" baseField="0" baseItem="1"/>
    <dataField name="Count of Order_ID" fld="0" subtotal="count" baseField="0" baseItem="0"/>
    <dataField name="Sum of Quantity" fld="8"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C3E92C-1EBC-4F78-9BF4-4CD4357E5EE2}" name="Year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1">
    <pivotField showAll="0"/>
    <pivotField showAll="0"/>
    <pivotField showAll="0">
      <items count="5">
        <item x="3"/>
        <item x="0"/>
        <item x="2"/>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5"/>
        <item x="0"/>
        <item x="3"/>
        <item x="2"/>
        <item x="4"/>
        <item x="1"/>
        <item t="default"/>
      </items>
    </pivotField>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pivotField showAll="0"/>
    <pivotField showAll="0"/>
    <pivotField showAll="0"/>
    <pivotField numFmtId="14" showAll="0"/>
    <pivotField numFmtId="14" showAll="0">
      <items count="455">
        <item x="348"/>
        <item x="116"/>
        <item x="85"/>
        <item x="357"/>
        <item x="195"/>
        <item x="115"/>
        <item x="283"/>
        <item x="69"/>
        <item x="289"/>
        <item x="219"/>
        <item x="187"/>
        <item x="405"/>
        <item x="14"/>
        <item x="240"/>
        <item x="427"/>
        <item x="158"/>
        <item x="386"/>
        <item x="92"/>
        <item x="155"/>
        <item x="401"/>
        <item x="349"/>
        <item x="9"/>
        <item x="361"/>
        <item x="443"/>
        <item x="193"/>
        <item x="243"/>
        <item x="65"/>
        <item x="54"/>
        <item x="127"/>
        <item x="15"/>
        <item x="445"/>
        <item x="358"/>
        <item x="42"/>
        <item x="59"/>
        <item x="451"/>
        <item x="252"/>
        <item x="198"/>
        <item x="318"/>
        <item x="94"/>
        <item x="382"/>
        <item x="153"/>
        <item x="182"/>
        <item x="420"/>
        <item x="96"/>
        <item x="100"/>
        <item x="422"/>
        <item x="72"/>
        <item x="24"/>
        <item x="237"/>
        <item x="103"/>
        <item x="191"/>
        <item x="131"/>
        <item x="421"/>
        <item x="293"/>
        <item x="305"/>
        <item x="220"/>
        <item x="433"/>
        <item x="269"/>
        <item x="199"/>
        <item x="204"/>
        <item x="79"/>
        <item x="89"/>
        <item x="108"/>
        <item x="5"/>
        <item x="67"/>
        <item x="363"/>
        <item x="210"/>
        <item x="33"/>
        <item x="309"/>
        <item x="203"/>
        <item x="29"/>
        <item x="298"/>
        <item x="141"/>
        <item x="25"/>
        <item x="374"/>
        <item x="102"/>
        <item x="125"/>
        <item x="189"/>
        <item x="354"/>
        <item x="227"/>
        <item x="112"/>
        <item x="26"/>
        <item x="261"/>
        <item x="27"/>
        <item x="194"/>
        <item x="119"/>
        <item x="188"/>
        <item x="428"/>
        <item x="196"/>
        <item x="341"/>
        <item x="343"/>
        <item x="1"/>
        <item x="142"/>
        <item x="225"/>
        <item x="30"/>
        <item x="304"/>
        <item x="408"/>
        <item x="297"/>
        <item x="120"/>
        <item x="242"/>
        <item x="60"/>
        <item x="366"/>
        <item x="234"/>
        <item x="246"/>
        <item x="333"/>
        <item x="238"/>
        <item x="391"/>
        <item x="12"/>
        <item x="244"/>
        <item x="68"/>
        <item x="446"/>
        <item x="393"/>
        <item x="215"/>
        <item x="399"/>
        <item x="302"/>
        <item x="38"/>
        <item x="329"/>
        <item x="256"/>
        <item x="39"/>
        <item x="403"/>
        <item x="20"/>
        <item x="201"/>
        <item x="0"/>
        <item x="444"/>
        <item x="44"/>
        <item x="413"/>
        <item x="80"/>
        <item x="107"/>
        <item x="148"/>
        <item x="404"/>
        <item x="436"/>
        <item x="452"/>
        <item x="139"/>
        <item x="17"/>
        <item x="6"/>
        <item x="254"/>
        <item x="104"/>
        <item x="272"/>
        <item x="143"/>
        <item x="217"/>
        <item x="241"/>
        <item x="274"/>
        <item x="61"/>
        <item x="230"/>
        <item x="53"/>
        <item x="294"/>
        <item x="117"/>
        <item x="409"/>
        <item x="265"/>
        <item x="390"/>
        <item x="334"/>
        <item x="144"/>
        <item x="299"/>
        <item x="328"/>
        <item x="78"/>
        <item x="31"/>
        <item x="46"/>
        <item x="387"/>
        <item x="62"/>
        <item x="149"/>
        <item x="66"/>
        <item x="174"/>
        <item x="82"/>
        <item x="322"/>
        <item x="326"/>
        <item x="447"/>
        <item x="160"/>
        <item x="81"/>
        <item x="8"/>
        <item x="292"/>
        <item x="426"/>
        <item x="214"/>
        <item x="74"/>
        <item x="173"/>
        <item x="290"/>
        <item x="22"/>
        <item x="109"/>
        <item x="257"/>
        <item x="200"/>
        <item x="320"/>
        <item x="99"/>
        <item x="340"/>
        <item x="128"/>
        <item x="113"/>
        <item x="245"/>
        <item x="376"/>
        <item x="87"/>
        <item x="424"/>
        <item x="40"/>
        <item x="111"/>
        <item x="57"/>
        <item x="325"/>
        <item x="271"/>
        <item x="324"/>
        <item x="209"/>
        <item x="186"/>
        <item x="206"/>
        <item x="344"/>
        <item x="222"/>
        <item x="295"/>
        <item x="221"/>
        <item x="185"/>
        <item x="307"/>
        <item x="197"/>
        <item x="121"/>
        <item x="132"/>
        <item x="136"/>
        <item x="239"/>
        <item x="218"/>
        <item x="342"/>
        <item x="13"/>
        <item x="105"/>
        <item x="168"/>
        <item x="231"/>
        <item x="247"/>
        <item x="400"/>
        <item x="211"/>
        <item x="110"/>
        <item x="152"/>
        <item x="75"/>
        <item x="84"/>
        <item x="379"/>
        <item x="440"/>
        <item x="63"/>
        <item x="336"/>
        <item x="330"/>
        <item x="202"/>
        <item x="106"/>
        <item x="441"/>
        <item x="178"/>
        <item x="437"/>
        <item x="93"/>
        <item x="338"/>
        <item x="394"/>
        <item x="208"/>
        <item x="171"/>
        <item x="291"/>
        <item x="268"/>
        <item x="45"/>
        <item x="267"/>
        <item x="311"/>
        <item x="253"/>
        <item x="339"/>
        <item x="180"/>
        <item x="398"/>
        <item x="10"/>
        <item x="417"/>
        <item x="55"/>
        <item x="50"/>
        <item x="312"/>
        <item x="448"/>
        <item x="34"/>
        <item x="435"/>
        <item x="228"/>
        <item x="249"/>
        <item x="91"/>
        <item x="255"/>
        <item x="64"/>
        <item x="410"/>
        <item x="223"/>
        <item x="71"/>
        <item x="157"/>
        <item x="170"/>
        <item x="190"/>
        <item x="229"/>
        <item x="140"/>
        <item x="175"/>
        <item x="124"/>
        <item x="332"/>
        <item x="278"/>
        <item x="98"/>
        <item x="275"/>
        <item x="308"/>
        <item x="166"/>
        <item x="321"/>
        <item x="378"/>
        <item x="439"/>
        <item x="21"/>
        <item x="425"/>
        <item x="380"/>
        <item x="345"/>
        <item x="313"/>
        <item x="151"/>
        <item x="165"/>
        <item x="270"/>
        <item x="286"/>
        <item x="7"/>
        <item x="192"/>
        <item x="323"/>
        <item x="145"/>
        <item x="351"/>
        <item x="355"/>
        <item x="317"/>
        <item x="156"/>
        <item x="273"/>
        <item x="352"/>
        <item x="114"/>
        <item x="41"/>
        <item x="368"/>
        <item x="407"/>
        <item x="183"/>
        <item x="169"/>
        <item x="331"/>
        <item x="319"/>
        <item x="392"/>
        <item x="159"/>
        <item x="58"/>
        <item x="129"/>
        <item x="207"/>
        <item x="381"/>
        <item x="431"/>
        <item x="365"/>
        <item x="383"/>
        <item x="288"/>
        <item x="453"/>
        <item x="147"/>
        <item x="350"/>
        <item x="389"/>
        <item x="262"/>
        <item x="95"/>
        <item x="11"/>
        <item x="134"/>
        <item x="205"/>
        <item x="280"/>
        <item x="19"/>
        <item x="146"/>
        <item x="212"/>
        <item x="32"/>
        <item x="303"/>
        <item x="28"/>
        <item x="101"/>
        <item x="164"/>
        <item x="123"/>
        <item x="375"/>
        <item x="76"/>
        <item x="314"/>
        <item x="300"/>
        <item x="385"/>
        <item x="370"/>
        <item x="282"/>
        <item x="266"/>
        <item x="432"/>
        <item x="353"/>
        <item x="346"/>
        <item x="251"/>
        <item x="213"/>
        <item x="51"/>
        <item x="122"/>
        <item x="372"/>
        <item x="337"/>
        <item x="162"/>
        <item x="18"/>
        <item x="276"/>
        <item x="371"/>
        <item x="73"/>
        <item x="364"/>
        <item x="3"/>
        <item x="263"/>
        <item x="2"/>
        <item x="412"/>
        <item x="52"/>
        <item x="118"/>
        <item x="70"/>
        <item x="250"/>
        <item x="258"/>
        <item x="327"/>
        <item x="310"/>
        <item x="90"/>
        <item x="167"/>
        <item x="77"/>
        <item x="137"/>
        <item x="56"/>
        <item x="406"/>
        <item x="86"/>
        <item x="23"/>
        <item x="224"/>
        <item x="419"/>
        <item x="4"/>
        <item x="362"/>
        <item x="360"/>
        <item x="395"/>
        <item x="416"/>
        <item x="48"/>
        <item x="277"/>
        <item x="138"/>
        <item x="35"/>
        <item x="356"/>
        <item x="287"/>
        <item x="49"/>
        <item x="161"/>
        <item x="172"/>
        <item x="179"/>
        <item x="233"/>
        <item x="301"/>
        <item x="126"/>
        <item x="88"/>
        <item x="216"/>
        <item x="367"/>
        <item x="284"/>
        <item x="397"/>
        <item x="359"/>
        <item x="248"/>
        <item x="429"/>
        <item x="226"/>
        <item x="176"/>
        <item x="47"/>
        <item x="450"/>
        <item x="130"/>
        <item x="163"/>
        <item x="434"/>
        <item x="396"/>
        <item x="184"/>
        <item x="16"/>
        <item x="154"/>
        <item x="418"/>
        <item x="438"/>
        <item x="264"/>
        <item x="411"/>
        <item x="415"/>
        <item x="97"/>
        <item x="296"/>
        <item x="347"/>
        <item x="279"/>
        <item x="442"/>
        <item x="236"/>
        <item x="388"/>
        <item x="315"/>
        <item x="373"/>
        <item x="150"/>
        <item x="133"/>
        <item x="449"/>
        <item x="36"/>
        <item x="335"/>
        <item x="259"/>
        <item x="37"/>
        <item x="181"/>
        <item x="423"/>
        <item x="285"/>
        <item x="369"/>
        <item x="402"/>
        <item x="235"/>
        <item x="316"/>
        <item x="177"/>
        <item x="43"/>
        <item x="306"/>
        <item x="281"/>
        <item x="232"/>
        <item x="377"/>
        <item x="135"/>
        <item x="260"/>
        <item x="83"/>
        <item x="414"/>
        <item x="430"/>
        <item x="384"/>
        <item t="default"/>
      </items>
    </pivotField>
    <pivotField numFmtId="1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40"/>
  </rowFields>
  <rowItems count="3">
    <i>
      <x v="1"/>
    </i>
    <i>
      <x v="2"/>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089AF7-6B4A-473D-B0AE-F9A41C7412F2}" name="Month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3:E16" firstHeaderRow="1" firstDataRow="1" firstDataCol="1"/>
  <pivotFields count="41">
    <pivotField showAll="0"/>
    <pivotField showAll="0"/>
    <pivotField showAll="0">
      <items count="5">
        <item x="3"/>
        <item x="0"/>
        <item x="2"/>
        <item x="1"/>
        <item t="default"/>
      </items>
    </pivotField>
    <pivotField showAll="0"/>
    <pivotField showAll="0"/>
    <pivotField showAll="0">
      <items count="7">
        <item x="1"/>
        <item x="0"/>
        <item x="2"/>
        <item x="4"/>
        <item x="5"/>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5"/>
        <item x="0"/>
        <item x="3"/>
        <item x="2"/>
        <item x="4"/>
        <item x="1"/>
        <item t="default"/>
      </items>
    </pivotField>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pivotField showAll="0"/>
    <pivotField showAll="0"/>
    <pivotField showAll="0"/>
    <pivotField numFmtId="14" showAll="0"/>
    <pivotField numFmtId="14" showAll="0">
      <items count="455">
        <item x="348"/>
        <item x="116"/>
        <item x="85"/>
        <item x="357"/>
        <item x="195"/>
        <item x="115"/>
        <item x="283"/>
        <item x="69"/>
        <item x="289"/>
        <item x="219"/>
        <item x="187"/>
        <item x="405"/>
        <item x="14"/>
        <item x="240"/>
        <item x="427"/>
        <item x="158"/>
        <item x="386"/>
        <item x="92"/>
        <item x="155"/>
        <item x="401"/>
        <item x="349"/>
        <item x="9"/>
        <item x="361"/>
        <item x="443"/>
        <item x="193"/>
        <item x="243"/>
        <item x="65"/>
        <item x="54"/>
        <item x="127"/>
        <item x="15"/>
        <item x="445"/>
        <item x="358"/>
        <item x="42"/>
        <item x="59"/>
        <item x="451"/>
        <item x="252"/>
        <item x="198"/>
        <item x="318"/>
        <item x="94"/>
        <item x="382"/>
        <item x="153"/>
        <item x="182"/>
        <item x="420"/>
        <item x="96"/>
        <item x="100"/>
        <item x="422"/>
        <item x="72"/>
        <item x="24"/>
        <item x="237"/>
        <item x="103"/>
        <item x="191"/>
        <item x="131"/>
        <item x="421"/>
        <item x="293"/>
        <item x="305"/>
        <item x="220"/>
        <item x="433"/>
        <item x="269"/>
        <item x="199"/>
        <item x="204"/>
        <item x="79"/>
        <item x="89"/>
        <item x="108"/>
        <item x="5"/>
        <item x="67"/>
        <item x="363"/>
        <item x="210"/>
        <item x="33"/>
        <item x="309"/>
        <item x="203"/>
        <item x="29"/>
        <item x="298"/>
        <item x="141"/>
        <item x="25"/>
        <item x="374"/>
        <item x="102"/>
        <item x="125"/>
        <item x="189"/>
        <item x="354"/>
        <item x="227"/>
        <item x="112"/>
        <item x="26"/>
        <item x="261"/>
        <item x="27"/>
        <item x="194"/>
        <item x="119"/>
        <item x="188"/>
        <item x="428"/>
        <item x="196"/>
        <item x="341"/>
        <item x="343"/>
        <item x="1"/>
        <item x="142"/>
        <item x="225"/>
        <item x="30"/>
        <item x="304"/>
        <item x="408"/>
        <item x="297"/>
        <item x="120"/>
        <item x="242"/>
        <item x="60"/>
        <item x="366"/>
        <item x="234"/>
        <item x="246"/>
        <item x="333"/>
        <item x="238"/>
        <item x="391"/>
        <item x="12"/>
        <item x="244"/>
        <item x="68"/>
        <item x="446"/>
        <item x="393"/>
        <item x="215"/>
        <item x="399"/>
        <item x="302"/>
        <item x="38"/>
        <item x="329"/>
        <item x="256"/>
        <item x="39"/>
        <item x="403"/>
        <item x="20"/>
        <item x="201"/>
        <item x="0"/>
        <item x="444"/>
        <item x="44"/>
        <item x="413"/>
        <item x="80"/>
        <item x="107"/>
        <item x="148"/>
        <item x="404"/>
        <item x="436"/>
        <item x="452"/>
        <item x="139"/>
        <item x="17"/>
        <item x="6"/>
        <item x="254"/>
        <item x="104"/>
        <item x="272"/>
        <item x="143"/>
        <item x="217"/>
        <item x="241"/>
        <item x="274"/>
        <item x="61"/>
        <item x="230"/>
        <item x="53"/>
        <item x="294"/>
        <item x="117"/>
        <item x="409"/>
        <item x="265"/>
        <item x="390"/>
        <item x="334"/>
        <item x="144"/>
        <item x="299"/>
        <item x="328"/>
        <item x="78"/>
        <item x="31"/>
        <item x="46"/>
        <item x="387"/>
        <item x="62"/>
        <item x="149"/>
        <item x="66"/>
        <item x="174"/>
        <item x="82"/>
        <item x="322"/>
        <item x="326"/>
        <item x="447"/>
        <item x="160"/>
        <item x="81"/>
        <item x="8"/>
        <item x="292"/>
        <item x="426"/>
        <item x="214"/>
        <item x="74"/>
        <item x="173"/>
        <item x="290"/>
        <item x="22"/>
        <item x="109"/>
        <item x="257"/>
        <item x="200"/>
        <item x="320"/>
        <item x="99"/>
        <item x="340"/>
        <item x="128"/>
        <item x="113"/>
        <item x="245"/>
        <item x="376"/>
        <item x="87"/>
        <item x="424"/>
        <item x="40"/>
        <item x="111"/>
        <item x="57"/>
        <item x="325"/>
        <item x="271"/>
        <item x="324"/>
        <item x="209"/>
        <item x="186"/>
        <item x="206"/>
        <item x="344"/>
        <item x="222"/>
        <item x="295"/>
        <item x="221"/>
        <item x="185"/>
        <item x="307"/>
        <item x="197"/>
        <item x="121"/>
        <item x="132"/>
        <item x="136"/>
        <item x="239"/>
        <item x="218"/>
        <item x="342"/>
        <item x="13"/>
        <item x="105"/>
        <item x="168"/>
        <item x="231"/>
        <item x="247"/>
        <item x="400"/>
        <item x="211"/>
        <item x="110"/>
        <item x="152"/>
        <item x="75"/>
        <item x="84"/>
        <item x="379"/>
        <item x="440"/>
        <item x="63"/>
        <item x="336"/>
        <item x="330"/>
        <item x="202"/>
        <item x="106"/>
        <item x="441"/>
        <item x="178"/>
        <item x="437"/>
        <item x="93"/>
        <item x="338"/>
        <item x="394"/>
        <item x="208"/>
        <item x="171"/>
        <item x="291"/>
        <item x="268"/>
        <item x="45"/>
        <item x="267"/>
        <item x="311"/>
        <item x="253"/>
        <item x="339"/>
        <item x="180"/>
        <item x="398"/>
        <item x="10"/>
        <item x="417"/>
        <item x="55"/>
        <item x="50"/>
        <item x="312"/>
        <item x="448"/>
        <item x="34"/>
        <item x="435"/>
        <item x="228"/>
        <item x="249"/>
        <item x="91"/>
        <item x="255"/>
        <item x="64"/>
        <item x="410"/>
        <item x="223"/>
        <item x="71"/>
        <item x="157"/>
        <item x="170"/>
        <item x="190"/>
        <item x="229"/>
        <item x="140"/>
        <item x="175"/>
        <item x="124"/>
        <item x="332"/>
        <item x="278"/>
        <item x="98"/>
        <item x="275"/>
        <item x="308"/>
        <item x="166"/>
        <item x="321"/>
        <item x="378"/>
        <item x="439"/>
        <item x="21"/>
        <item x="425"/>
        <item x="380"/>
        <item x="345"/>
        <item x="313"/>
        <item x="151"/>
        <item x="165"/>
        <item x="270"/>
        <item x="286"/>
        <item x="7"/>
        <item x="192"/>
        <item x="323"/>
        <item x="145"/>
        <item x="351"/>
        <item x="355"/>
        <item x="317"/>
        <item x="156"/>
        <item x="273"/>
        <item x="352"/>
        <item x="114"/>
        <item x="41"/>
        <item x="368"/>
        <item x="407"/>
        <item x="183"/>
        <item x="169"/>
        <item x="331"/>
        <item x="319"/>
        <item x="392"/>
        <item x="159"/>
        <item x="58"/>
        <item x="129"/>
        <item x="207"/>
        <item x="381"/>
        <item x="431"/>
        <item x="365"/>
        <item x="383"/>
        <item x="288"/>
        <item x="453"/>
        <item x="147"/>
        <item x="350"/>
        <item x="389"/>
        <item x="262"/>
        <item x="95"/>
        <item x="11"/>
        <item x="134"/>
        <item x="205"/>
        <item x="280"/>
        <item x="19"/>
        <item x="146"/>
        <item x="212"/>
        <item x="32"/>
        <item x="303"/>
        <item x="28"/>
        <item x="101"/>
        <item x="164"/>
        <item x="123"/>
        <item x="375"/>
        <item x="76"/>
        <item x="314"/>
        <item x="300"/>
        <item x="385"/>
        <item x="370"/>
        <item x="282"/>
        <item x="266"/>
        <item x="432"/>
        <item x="353"/>
        <item x="346"/>
        <item x="251"/>
        <item x="213"/>
        <item x="51"/>
        <item x="122"/>
        <item x="372"/>
        <item x="337"/>
        <item x="162"/>
        <item x="18"/>
        <item x="276"/>
        <item x="371"/>
        <item x="73"/>
        <item x="364"/>
        <item x="3"/>
        <item x="263"/>
        <item x="2"/>
        <item x="412"/>
        <item x="52"/>
        <item x="118"/>
        <item x="70"/>
        <item x="250"/>
        <item x="258"/>
        <item x="327"/>
        <item x="310"/>
        <item x="90"/>
        <item x="167"/>
        <item x="77"/>
        <item x="137"/>
        <item x="56"/>
        <item x="406"/>
        <item x="86"/>
        <item x="23"/>
        <item x="224"/>
        <item x="419"/>
        <item x="4"/>
        <item x="362"/>
        <item x="360"/>
        <item x="395"/>
        <item x="416"/>
        <item x="48"/>
        <item x="277"/>
        <item x="138"/>
        <item x="35"/>
        <item x="356"/>
        <item x="287"/>
        <item x="49"/>
        <item x="161"/>
        <item x="172"/>
        <item x="179"/>
        <item x="233"/>
        <item x="301"/>
        <item x="126"/>
        <item x="88"/>
        <item x="216"/>
        <item x="367"/>
        <item x="284"/>
        <item x="397"/>
        <item x="359"/>
        <item x="248"/>
        <item x="429"/>
        <item x="226"/>
        <item x="176"/>
        <item x="47"/>
        <item x="450"/>
        <item x="130"/>
        <item x="163"/>
        <item x="434"/>
        <item x="396"/>
        <item x="184"/>
        <item x="16"/>
        <item x="154"/>
        <item x="418"/>
        <item x="438"/>
        <item x="264"/>
        <item x="411"/>
        <item x="415"/>
        <item x="97"/>
        <item x="296"/>
        <item x="347"/>
        <item x="279"/>
        <item x="442"/>
        <item x="236"/>
        <item x="388"/>
        <item x="315"/>
        <item x="373"/>
        <item x="150"/>
        <item x="133"/>
        <item x="449"/>
        <item x="36"/>
        <item x="335"/>
        <item x="259"/>
        <item x="37"/>
        <item x="181"/>
        <item x="423"/>
        <item x="285"/>
        <item x="369"/>
        <item x="402"/>
        <item x="235"/>
        <item x="316"/>
        <item x="177"/>
        <item x="43"/>
        <item x="306"/>
        <item x="281"/>
        <item x="232"/>
        <item x="377"/>
        <item x="135"/>
        <item x="260"/>
        <item x="83"/>
        <item x="414"/>
        <item x="430"/>
        <item x="384"/>
        <item t="default"/>
      </items>
    </pivotField>
    <pivotField numFmtId="14"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8"/>
  </rowFields>
  <rowItems count="13">
    <i>
      <x v="1"/>
    </i>
    <i>
      <x v="2"/>
    </i>
    <i>
      <x v="3"/>
    </i>
    <i>
      <x v="4"/>
    </i>
    <i>
      <x v="5"/>
    </i>
    <i>
      <x v="6"/>
    </i>
    <i>
      <x v="7"/>
    </i>
    <i>
      <x v="8"/>
    </i>
    <i>
      <x v="9"/>
    </i>
    <i>
      <x v="10"/>
    </i>
    <i>
      <x v="11"/>
    </i>
    <i>
      <x v="12"/>
    </i>
    <i t="grand">
      <x/>
    </i>
  </rowItems>
  <colItems count="1">
    <i/>
  </colItems>
  <dataFields count="1">
    <dataField name="Sum of Sales"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83DDB3-4A95-4A92-8233-90ADD741C2AC}" name="sales channe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41">
    <pivotField showAll="0"/>
    <pivotField showAll="0"/>
    <pivotField showAll="0">
      <items count="5">
        <item x="3"/>
        <item x="0"/>
        <item x="2"/>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5"/>
        <item x="0"/>
        <item x="3"/>
        <item x="2"/>
        <item x="4"/>
        <item x="1"/>
        <item t="default"/>
      </items>
    </pivotField>
    <pivotField axis="axisRow" showAll="0">
      <items count="6">
        <item x="3"/>
        <item x="1"/>
        <item x="0"/>
        <item x="2"/>
        <item x="4"/>
        <item t="default"/>
      </items>
    </pivotField>
    <pivotField showAll="0"/>
    <pivotField showAll="0"/>
    <pivotField showAll="0"/>
    <pivotField showAll="0"/>
    <pivotField showAll="0">
      <items count="6">
        <item x="3"/>
        <item x="1"/>
        <item x="0"/>
        <item x="2"/>
        <item x="4"/>
        <item t="default"/>
      </items>
    </pivotField>
    <pivotField showAll="0"/>
    <pivotField showAll="0"/>
    <pivotField showAll="0"/>
    <pivotField showAll="0"/>
    <pivotField showAll="0"/>
    <pivotField showAll="0"/>
    <pivotField showAll="0"/>
    <pivotField numFmtId="14" showAll="0"/>
    <pivotField numFmtId="14" showAll="0">
      <items count="455">
        <item x="348"/>
        <item x="116"/>
        <item x="85"/>
        <item x="357"/>
        <item x="195"/>
        <item x="115"/>
        <item x="283"/>
        <item x="69"/>
        <item x="289"/>
        <item x="219"/>
        <item x="187"/>
        <item x="405"/>
        <item x="14"/>
        <item x="240"/>
        <item x="427"/>
        <item x="158"/>
        <item x="386"/>
        <item x="92"/>
        <item x="155"/>
        <item x="401"/>
        <item x="349"/>
        <item x="9"/>
        <item x="361"/>
        <item x="443"/>
        <item x="193"/>
        <item x="243"/>
        <item x="65"/>
        <item x="54"/>
        <item x="127"/>
        <item x="15"/>
        <item x="445"/>
        <item x="358"/>
        <item x="42"/>
        <item x="59"/>
        <item x="451"/>
        <item x="252"/>
        <item x="198"/>
        <item x="318"/>
        <item x="94"/>
        <item x="382"/>
        <item x="153"/>
        <item x="182"/>
        <item x="420"/>
        <item x="96"/>
        <item x="100"/>
        <item x="422"/>
        <item x="72"/>
        <item x="24"/>
        <item x="237"/>
        <item x="103"/>
        <item x="191"/>
        <item x="131"/>
        <item x="421"/>
        <item x="293"/>
        <item x="305"/>
        <item x="220"/>
        <item x="433"/>
        <item x="269"/>
        <item x="199"/>
        <item x="204"/>
        <item x="79"/>
        <item x="89"/>
        <item x="108"/>
        <item x="5"/>
        <item x="67"/>
        <item x="363"/>
        <item x="210"/>
        <item x="33"/>
        <item x="309"/>
        <item x="203"/>
        <item x="29"/>
        <item x="298"/>
        <item x="141"/>
        <item x="25"/>
        <item x="374"/>
        <item x="102"/>
        <item x="125"/>
        <item x="189"/>
        <item x="354"/>
        <item x="227"/>
        <item x="112"/>
        <item x="26"/>
        <item x="261"/>
        <item x="27"/>
        <item x="194"/>
        <item x="119"/>
        <item x="188"/>
        <item x="428"/>
        <item x="196"/>
        <item x="341"/>
        <item x="343"/>
        <item x="1"/>
        <item x="142"/>
        <item x="225"/>
        <item x="30"/>
        <item x="304"/>
        <item x="408"/>
        <item x="297"/>
        <item x="120"/>
        <item x="242"/>
        <item x="60"/>
        <item x="366"/>
        <item x="234"/>
        <item x="246"/>
        <item x="333"/>
        <item x="238"/>
        <item x="391"/>
        <item x="12"/>
        <item x="244"/>
        <item x="68"/>
        <item x="446"/>
        <item x="393"/>
        <item x="215"/>
        <item x="399"/>
        <item x="302"/>
        <item x="38"/>
        <item x="329"/>
        <item x="256"/>
        <item x="39"/>
        <item x="403"/>
        <item x="20"/>
        <item x="201"/>
        <item x="0"/>
        <item x="444"/>
        <item x="44"/>
        <item x="413"/>
        <item x="80"/>
        <item x="107"/>
        <item x="148"/>
        <item x="404"/>
        <item x="436"/>
        <item x="452"/>
        <item x="139"/>
        <item x="17"/>
        <item x="6"/>
        <item x="254"/>
        <item x="104"/>
        <item x="272"/>
        <item x="143"/>
        <item x="217"/>
        <item x="241"/>
        <item x="274"/>
        <item x="61"/>
        <item x="230"/>
        <item x="53"/>
        <item x="294"/>
        <item x="117"/>
        <item x="409"/>
        <item x="265"/>
        <item x="390"/>
        <item x="334"/>
        <item x="144"/>
        <item x="299"/>
        <item x="328"/>
        <item x="78"/>
        <item x="31"/>
        <item x="46"/>
        <item x="387"/>
        <item x="62"/>
        <item x="149"/>
        <item x="66"/>
        <item x="174"/>
        <item x="82"/>
        <item x="322"/>
        <item x="326"/>
        <item x="447"/>
        <item x="160"/>
        <item x="81"/>
        <item x="8"/>
        <item x="292"/>
        <item x="426"/>
        <item x="214"/>
        <item x="74"/>
        <item x="173"/>
        <item x="290"/>
        <item x="22"/>
        <item x="109"/>
        <item x="257"/>
        <item x="200"/>
        <item x="320"/>
        <item x="99"/>
        <item x="340"/>
        <item x="128"/>
        <item x="113"/>
        <item x="245"/>
        <item x="376"/>
        <item x="87"/>
        <item x="424"/>
        <item x="40"/>
        <item x="111"/>
        <item x="57"/>
        <item x="325"/>
        <item x="271"/>
        <item x="324"/>
        <item x="209"/>
        <item x="186"/>
        <item x="206"/>
        <item x="344"/>
        <item x="222"/>
        <item x="295"/>
        <item x="221"/>
        <item x="185"/>
        <item x="307"/>
        <item x="197"/>
        <item x="121"/>
        <item x="132"/>
        <item x="136"/>
        <item x="239"/>
        <item x="218"/>
        <item x="342"/>
        <item x="13"/>
        <item x="105"/>
        <item x="168"/>
        <item x="231"/>
        <item x="247"/>
        <item x="400"/>
        <item x="211"/>
        <item x="110"/>
        <item x="152"/>
        <item x="75"/>
        <item x="84"/>
        <item x="379"/>
        <item x="440"/>
        <item x="63"/>
        <item x="336"/>
        <item x="330"/>
        <item x="202"/>
        <item x="106"/>
        <item x="441"/>
        <item x="178"/>
        <item x="437"/>
        <item x="93"/>
        <item x="338"/>
        <item x="394"/>
        <item x="208"/>
        <item x="171"/>
        <item x="291"/>
        <item x="268"/>
        <item x="45"/>
        <item x="267"/>
        <item x="311"/>
        <item x="253"/>
        <item x="339"/>
        <item x="180"/>
        <item x="398"/>
        <item x="10"/>
        <item x="417"/>
        <item x="55"/>
        <item x="50"/>
        <item x="312"/>
        <item x="448"/>
        <item x="34"/>
        <item x="435"/>
        <item x="228"/>
        <item x="249"/>
        <item x="91"/>
        <item x="255"/>
        <item x="64"/>
        <item x="410"/>
        <item x="223"/>
        <item x="71"/>
        <item x="157"/>
        <item x="170"/>
        <item x="190"/>
        <item x="229"/>
        <item x="140"/>
        <item x="175"/>
        <item x="124"/>
        <item x="332"/>
        <item x="278"/>
        <item x="98"/>
        <item x="275"/>
        <item x="308"/>
        <item x="166"/>
        <item x="321"/>
        <item x="378"/>
        <item x="439"/>
        <item x="21"/>
        <item x="425"/>
        <item x="380"/>
        <item x="345"/>
        <item x="313"/>
        <item x="151"/>
        <item x="165"/>
        <item x="270"/>
        <item x="286"/>
        <item x="7"/>
        <item x="192"/>
        <item x="323"/>
        <item x="145"/>
        <item x="351"/>
        <item x="355"/>
        <item x="317"/>
        <item x="156"/>
        <item x="273"/>
        <item x="352"/>
        <item x="114"/>
        <item x="41"/>
        <item x="368"/>
        <item x="407"/>
        <item x="183"/>
        <item x="169"/>
        <item x="331"/>
        <item x="319"/>
        <item x="392"/>
        <item x="159"/>
        <item x="58"/>
        <item x="129"/>
        <item x="207"/>
        <item x="381"/>
        <item x="431"/>
        <item x="365"/>
        <item x="383"/>
        <item x="288"/>
        <item x="453"/>
        <item x="147"/>
        <item x="350"/>
        <item x="389"/>
        <item x="262"/>
        <item x="95"/>
        <item x="11"/>
        <item x="134"/>
        <item x="205"/>
        <item x="280"/>
        <item x="19"/>
        <item x="146"/>
        <item x="212"/>
        <item x="32"/>
        <item x="303"/>
        <item x="28"/>
        <item x="101"/>
        <item x="164"/>
        <item x="123"/>
        <item x="375"/>
        <item x="76"/>
        <item x="314"/>
        <item x="300"/>
        <item x="385"/>
        <item x="370"/>
        <item x="282"/>
        <item x="266"/>
        <item x="432"/>
        <item x="353"/>
        <item x="346"/>
        <item x="251"/>
        <item x="213"/>
        <item x="51"/>
        <item x="122"/>
        <item x="372"/>
        <item x="337"/>
        <item x="162"/>
        <item x="18"/>
        <item x="276"/>
        <item x="371"/>
        <item x="73"/>
        <item x="364"/>
        <item x="3"/>
        <item x="263"/>
        <item x="2"/>
        <item x="412"/>
        <item x="52"/>
        <item x="118"/>
        <item x="70"/>
        <item x="250"/>
        <item x="258"/>
        <item x="327"/>
        <item x="310"/>
        <item x="90"/>
        <item x="167"/>
        <item x="77"/>
        <item x="137"/>
        <item x="56"/>
        <item x="406"/>
        <item x="86"/>
        <item x="23"/>
        <item x="224"/>
        <item x="419"/>
        <item x="4"/>
        <item x="362"/>
        <item x="360"/>
        <item x="395"/>
        <item x="416"/>
        <item x="48"/>
        <item x="277"/>
        <item x="138"/>
        <item x="35"/>
        <item x="356"/>
        <item x="287"/>
        <item x="49"/>
        <item x="161"/>
        <item x="172"/>
        <item x="179"/>
        <item x="233"/>
        <item x="301"/>
        <item x="126"/>
        <item x="88"/>
        <item x="216"/>
        <item x="367"/>
        <item x="284"/>
        <item x="397"/>
        <item x="359"/>
        <item x="248"/>
        <item x="429"/>
        <item x="226"/>
        <item x="176"/>
        <item x="47"/>
        <item x="450"/>
        <item x="130"/>
        <item x="163"/>
        <item x="434"/>
        <item x="396"/>
        <item x="184"/>
        <item x="16"/>
        <item x="154"/>
        <item x="418"/>
        <item x="438"/>
        <item x="264"/>
        <item x="411"/>
        <item x="415"/>
        <item x="97"/>
        <item x="296"/>
        <item x="347"/>
        <item x="279"/>
        <item x="442"/>
        <item x="236"/>
        <item x="388"/>
        <item x="315"/>
        <item x="373"/>
        <item x="150"/>
        <item x="133"/>
        <item x="449"/>
        <item x="36"/>
        <item x="335"/>
        <item x="259"/>
        <item x="37"/>
        <item x="181"/>
        <item x="423"/>
        <item x="285"/>
        <item x="369"/>
        <item x="402"/>
        <item x="235"/>
        <item x="316"/>
        <item x="177"/>
        <item x="43"/>
        <item x="306"/>
        <item x="281"/>
        <item x="232"/>
        <item x="377"/>
        <item x="135"/>
        <item x="260"/>
        <item x="83"/>
        <item x="414"/>
        <item x="430"/>
        <item x="384"/>
        <item t="default"/>
      </items>
    </pivotField>
    <pivotField numFmtId="14" showAll="0"/>
    <pivotField showAll="0"/>
    <pivotField showAll="0"/>
    <pivotField showAll="0" defaultSubtotal="0"/>
    <pivotField showAll="0" defaultSubtotal="0"/>
    <pivotField showAll="0" defaultSubtotal="0">
      <items count="4">
        <item x="0"/>
        <item x="1"/>
        <item x="2"/>
        <item x="3"/>
      </items>
    </pivotField>
  </pivotFields>
  <rowFields count="1">
    <field x="20"/>
  </rowFields>
  <rowItems count="6">
    <i>
      <x/>
    </i>
    <i>
      <x v="1"/>
    </i>
    <i>
      <x v="2"/>
    </i>
    <i>
      <x v="3"/>
    </i>
    <i>
      <x v="4"/>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A1939F-C5D6-44CF-969F-D3530F89EFF4}" name="Category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10" firstHeaderRow="1" firstDataRow="1" firstDataCol="1"/>
  <pivotFields count="41">
    <pivotField showAll="0"/>
    <pivotField showAll="0"/>
    <pivotField showAll="0">
      <items count="5">
        <item x="3"/>
        <item x="0"/>
        <item x="2"/>
        <item x="1"/>
        <item t="default"/>
      </items>
    </pivotField>
    <pivotField showAll="0"/>
    <pivotField showAll="0"/>
    <pivotField axis="axisRow" showAll="0">
      <items count="7">
        <item x="1"/>
        <item x="0"/>
        <item x="2"/>
        <item x="4"/>
        <item x="5"/>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5"/>
        <item x="0"/>
        <item x="3"/>
        <item x="2"/>
        <item x="4"/>
        <item x="1"/>
        <item t="default"/>
      </items>
    </pivotField>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pivotField showAll="0"/>
    <pivotField showAll="0"/>
    <pivotField showAll="0"/>
    <pivotField numFmtId="14" showAll="0"/>
    <pivotField numFmtId="14" showAll="0">
      <items count="455">
        <item x="348"/>
        <item x="116"/>
        <item x="85"/>
        <item x="357"/>
        <item x="195"/>
        <item x="115"/>
        <item x="283"/>
        <item x="69"/>
        <item x="289"/>
        <item x="219"/>
        <item x="187"/>
        <item x="405"/>
        <item x="14"/>
        <item x="240"/>
        <item x="427"/>
        <item x="158"/>
        <item x="386"/>
        <item x="92"/>
        <item x="155"/>
        <item x="401"/>
        <item x="349"/>
        <item x="9"/>
        <item x="361"/>
        <item x="443"/>
        <item x="193"/>
        <item x="243"/>
        <item x="65"/>
        <item x="54"/>
        <item x="127"/>
        <item x="15"/>
        <item x="445"/>
        <item x="358"/>
        <item x="42"/>
        <item x="59"/>
        <item x="451"/>
        <item x="252"/>
        <item x="198"/>
        <item x="318"/>
        <item x="94"/>
        <item x="382"/>
        <item x="153"/>
        <item x="182"/>
        <item x="420"/>
        <item x="96"/>
        <item x="100"/>
        <item x="422"/>
        <item x="72"/>
        <item x="24"/>
        <item x="237"/>
        <item x="103"/>
        <item x="191"/>
        <item x="131"/>
        <item x="421"/>
        <item x="293"/>
        <item x="305"/>
        <item x="220"/>
        <item x="433"/>
        <item x="269"/>
        <item x="199"/>
        <item x="204"/>
        <item x="79"/>
        <item x="89"/>
        <item x="108"/>
        <item x="5"/>
        <item x="67"/>
        <item x="363"/>
        <item x="210"/>
        <item x="33"/>
        <item x="309"/>
        <item x="203"/>
        <item x="29"/>
        <item x="298"/>
        <item x="141"/>
        <item x="25"/>
        <item x="374"/>
        <item x="102"/>
        <item x="125"/>
        <item x="189"/>
        <item x="354"/>
        <item x="227"/>
        <item x="112"/>
        <item x="26"/>
        <item x="261"/>
        <item x="27"/>
        <item x="194"/>
        <item x="119"/>
        <item x="188"/>
        <item x="428"/>
        <item x="196"/>
        <item x="341"/>
        <item x="343"/>
        <item x="1"/>
        <item x="142"/>
        <item x="225"/>
        <item x="30"/>
        <item x="304"/>
        <item x="408"/>
        <item x="297"/>
        <item x="120"/>
        <item x="242"/>
        <item x="60"/>
        <item x="366"/>
        <item x="234"/>
        <item x="246"/>
        <item x="333"/>
        <item x="238"/>
        <item x="391"/>
        <item x="12"/>
        <item x="244"/>
        <item x="68"/>
        <item x="446"/>
        <item x="393"/>
        <item x="215"/>
        <item x="399"/>
        <item x="302"/>
        <item x="38"/>
        <item x="329"/>
        <item x="256"/>
        <item x="39"/>
        <item x="403"/>
        <item x="20"/>
        <item x="201"/>
        <item x="0"/>
        <item x="444"/>
        <item x="44"/>
        <item x="413"/>
        <item x="80"/>
        <item x="107"/>
        <item x="148"/>
        <item x="404"/>
        <item x="436"/>
        <item x="452"/>
        <item x="139"/>
        <item x="17"/>
        <item x="6"/>
        <item x="254"/>
        <item x="104"/>
        <item x="272"/>
        <item x="143"/>
        <item x="217"/>
        <item x="241"/>
        <item x="274"/>
        <item x="61"/>
        <item x="230"/>
        <item x="53"/>
        <item x="294"/>
        <item x="117"/>
        <item x="409"/>
        <item x="265"/>
        <item x="390"/>
        <item x="334"/>
        <item x="144"/>
        <item x="299"/>
        <item x="328"/>
        <item x="78"/>
        <item x="31"/>
        <item x="46"/>
        <item x="387"/>
        <item x="62"/>
        <item x="149"/>
        <item x="66"/>
        <item x="174"/>
        <item x="82"/>
        <item x="322"/>
        <item x="326"/>
        <item x="447"/>
        <item x="160"/>
        <item x="81"/>
        <item x="8"/>
        <item x="292"/>
        <item x="426"/>
        <item x="214"/>
        <item x="74"/>
        <item x="173"/>
        <item x="290"/>
        <item x="22"/>
        <item x="109"/>
        <item x="257"/>
        <item x="200"/>
        <item x="320"/>
        <item x="99"/>
        <item x="340"/>
        <item x="128"/>
        <item x="113"/>
        <item x="245"/>
        <item x="376"/>
        <item x="87"/>
        <item x="424"/>
        <item x="40"/>
        <item x="111"/>
        <item x="57"/>
        <item x="325"/>
        <item x="271"/>
        <item x="324"/>
        <item x="209"/>
        <item x="186"/>
        <item x="206"/>
        <item x="344"/>
        <item x="222"/>
        <item x="295"/>
        <item x="221"/>
        <item x="185"/>
        <item x="307"/>
        <item x="197"/>
        <item x="121"/>
        <item x="132"/>
        <item x="136"/>
        <item x="239"/>
        <item x="218"/>
        <item x="342"/>
        <item x="13"/>
        <item x="105"/>
        <item x="168"/>
        <item x="231"/>
        <item x="247"/>
        <item x="400"/>
        <item x="211"/>
        <item x="110"/>
        <item x="152"/>
        <item x="75"/>
        <item x="84"/>
        <item x="379"/>
        <item x="440"/>
        <item x="63"/>
        <item x="336"/>
        <item x="330"/>
        <item x="202"/>
        <item x="106"/>
        <item x="441"/>
        <item x="178"/>
        <item x="437"/>
        <item x="93"/>
        <item x="338"/>
        <item x="394"/>
        <item x="208"/>
        <item x="171"/>
        <item x="291"/>
        <item x="268"/>
        <item x="45"/>
        <item x="267"/>
        <item x="311"/>
        <item x="253"/>
        <item x="339"/>
        <item x="180"/>
        <item x="398"/>
        <item x="10"/>
        <item x="417"/>
        <item x="55"/>
        <item x="50"/>
        <item x="312"/>
        <item x="448"/>
        <item x="34"/>
        <item x="435"/>
        <item x="228"/>
        <item x="249"/>
        <item x="91"/>
        <item x="255"/>
        <item x="64"/>
        <item x="410"/>
        <item x="223"/>
        <item x="71"/>
        <item x="157"/>
        <item x="170"/>
        <item x="190"/>
        <item x="229"/>
        <item x="140"/>
        <item x="175"/>
        <item x="124"/>
        <item x="332"/>
        <item x="278"/>
        <item x="98"/>
        <item x="275"/>
        <item x="308"/>
        <item x="166"/>
        <item x="321"/>
        <item x="378"/>
        <item x="439"/>
        <item x="21"/>
        <item x="425"/>
        <item x="380"/>
        <item x="345"/>
        <item x="313"/>
        <item x="151"/>
        <item x="165"/>
        <item x="270"/>
        <item x="286"/>
        <item x="7"/>
        <item x="192"/>
        <item x="323"/>
        <item x="145"/>
        <item x="351"/>
        <item x="355"/>
        <item x="317"/>
        <item x="156"/>
        <item x="273"/>
        <item x="352"/>
        <item x="114"/>
        <item x="41"/>
        <item x="368"/>
        <item x="407"/>
        <item x="183"/>
        <item x="169"/>
        <item x="331"/>
        <item x="319"/>
        <item x="392"/>
        <item x="159"/>
        <item x="58"/>
        <item x="129"/>
        <item x="207"/>
        <item x="381"/>
        <item x="431"/>
        <item x="365"/>
        <item x="383"/>
        <item x="288"/>
        <item x="453"/>
        <item x="147"/>
        <item x="350"/>
        <item x="389"/>
        <item x="262"/>
        <item x="95"/>
        <item x="11"/>
        <item x="134"/>
        <item x="205"/>
        <item x="280"/>
        <item x="19"/>
        <item x="146"/>
        <item x="212"/>
        <item x="32"/>
        <item x="303"/>
        <item x="28"/>
        <item x="101"/>
        <item x="164"/>
        <item x="123"/>
        <item x="375"/>
        <item x="76"/>
        <item x="314"/>
        <item x="300"/>
        <item x="385"/>
        <item x="370"/>
        <item x="282"/>
        <item x="266"/>
        <item x="432"/>
        <item x="353"/>
        <item x="346"/>
        <item x="251"/>
        <item x="213"/>
        <item x="51"/>
        <item x="122"/>
        <item x="372"/>
        <item x="337"/>
        <item x="162"/>
        <item x="18"/>
        <item x="276"/>
        <item x="371"/>
        <item x="73"/>
        <item x="364"/>
        <item x="3"/>
        <item x="263"/>
        <item x="2"/>
        <item x="412"/>
        <item x="52"/>
        <item x="118"/>
        <item x="70"/>
        <item x="250"/>
        <item x="258"/>
        <item x="327"/>
        <item x="310"/>
        <item x="90"/>
        <item x="167"/>
        <item x="77"/>
        <item x="137"/>
        <item x="56"/>
        <item x="406"/>
        <item x="86"/>
        <item x="23"/>
        <item x="224"/>
        <item x="419"/>
        <item x="4"/>
        <item x="362"/>
        <item x="360"/>
        <item x="395"/>
        <item x="416"/>
        <item x="48"/>
        <item x="277"/>
        <item x="138"/>
        <item x="35"/>
        <item x="356"/>
        <item x="287"/>
        <item x="49"/>
        <item x="161"/>
        <item x="172"/>
        <item x="179"/>
        <item x="233"/>
        <item x="301"/>
        <item x="126"/>
        <item x="88"/>
        <item x="216"/>
        <item x="367"/>
        <item x="284"/>
        <item x="397"/>
        <item x="359"/>
        <item x="248"/>
        <item x="429"/>
        <item x="226"/>
        <item x="176"/>
        <item x="47"/>
        <item x="450"/>
        <item x="130"/>
        <item x="163"/>
        <item x="434"/>
        <item x="396"/>
        <item x="184"/>
        <item x="16"/>
        <item x="154"/>
        <item x="418"/>
        <item x="438"/>
        <item x="264"/>
        <item x="411"/>
        <item x="415"/>
        <item x="97"/>
        <item x="296"/>
        <item x="347"/>
        <item x="279"/>
        <item x="442"/>
        <item x="236"/>
        <item x="388"/>
        <item x="315"/>
        <item x="373"/>
        <item x="150"/>
        <item x="133"/>
        <item x="449"/>
        <item x="36"/>
        <item x="335"/>
        <item x="259"/>
        <item x="37"/>
        <item x="181"/>
        <item x="423"/>
        <item x="285"/>
        <item x="369"/>
        <item x="402"/>
        <item x="235"/>
        <item x="316"/>
        <item x="177"/>
        <item x="43"/>
        <item x="306"/>
        <item x="281"/>
        <item x="232"/>
        <item x="377"/>
        <item x="135"/>
        <item x="260"/>
        <item x="83"/>
        <item x="414"/>
        <item x="430"/>
        <item x="384"/>
        <item t="default"/>
      </items>
    </pivotField>
    <pivotField numFmtId="14"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7">
    <i>
      <x/>
    </i>
    <i>
      <x v="1"/>
    </i>
    <i>
      <x v="2"/>
    </i>
    <i>
      <x v="3"/>
    </i>
    <i>
      <x v="4"/>
    </i>
    <i>
      <x v="5"/>
    </i>
    <i t="grand">
      <x/>
    </i>
  </rowItems>
  <colItems count="1">
    <i/>
  </colItems>
  <dataFields count="1">
    <dataField name="Sum of Sales" fld="9"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 chart="3" format="12">
      <pivotArea type="data" outline="0" fieldPosition="0">
        <references count="2">
          <reference field="4294967294" count="1" selected="0">
            <x v="0"/>
          </reference>
          <reference field="5" count="1" selected="0">
            <x v="3"/>
          </reference>
        </references>
      </pivotArea>
    </chartFormat>
    <chartFormat chart="3" format="13">
      <pivotArea type="data" outline="0" fieldPosition="0">
        <references count="2">
          <reference field="4294967294" count="1" selected="0">
            <x v="0"/>
          </reference>
          <reference field="5" count="1" selected="0">
            <x v="4"/>
          </reference>
        </references>
      </pivotArea>
    </chartFormat>
    <chartFormat chart="3"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C91045-BB9C-465C-A3EC-21729762E8DA}" name="Sales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41">
    <pivotField showAll="0"/>
    <pivotField showAll="0"/>
    <pivotField showAll="0">
      <items count="5">
        <item x="3"/>
        <item x="0"/>
        <item x="2"/>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5"/>
        <item x="0"/>
        <item x="3"/>
        <item x="2"/>
        <item x="4"/>
        <item x="1"/>
        <item t="default"/>
      </items>
    </pivotField>
    <pivotField axis="axisRow" showAll="0">
      <items count="6">
        <item x="3"/>
        <item x="1"/>
        <item x="0"/>
        <item x="2"/>
        <item x="4"/>
        <item t="default"/>
      </items>
    </pivotField>
    <pivotField showAll="0"/>
    <pivotField showAll="0"/>
    <pivotField showAll="0"/>
    <pivotField showAll="0"/>
    <pivotField showAll="0">
      <items count="6">
        <item x="3"/>
        <item x="1"/>
        <item x="0"/>
        <item x="2"/>
        <item x="4"/>
        <item t="default"/>
      </items>
    </pivotField>
    <pivotField showAll="0"/>
    <pivotField showAll="0"/>
    <pivotField showAll="0"/>
    <pivotField showAll="0"/>
    <pivotField showAll="0"/>
    <pivotField showAll="0"/>
    <pivotField showAll="0"/>
    <pivotField numFmtId="14" showAll="0"/>
    <pivotField numFmtId="14" showAll="0">
      <items count="455">
        <item x="348"/>
        <item x="116"/>
        <item x="85"/>
        <item x="357"/>
        <item x="195"/>
        <item x="115"/>
        <item x="283"/>
        <item x="69"/>
        <item x="289"/>
        <item x="219"/>
        <item x="187"/>
        <item x="405"/>
        <item x="14"/>
        <item x="240"/>
        <item x="427"/>
        <item x="158"/>
        <item x="386"/>
        <item x="92"/>
        <item x="155"/>
        <item x="401"/>
        <item x="349"/>
        <item x="9"/>
        <item x="361"/>
        <item x="443"/>
        <item x="193"/>
        <item x="243"/>
        <item x="65"/>
        <item x="54"/>
        <item x="127"/>
        <item x="15"/>
        <item x="445"/>
        <item x="358"/>
        <item x="42"/>
        <item x="59"/>
        <item x="451"/>
        <item x="252"/>
        <item x="198"/>
        <item x="318"/>
        <item x="94"/>
        <item x="382"/>
        <item x="153"/>
        <item x="182"/>
        <item x="420"/>
        <item x="96"/>
        <item x="100"/>
        <item x="422"/>
        <item x="72"/>
        <item x="24"/>
        <item x="237"/>
        <item x="103"/>
        <item x="191"/>
        <item x="131"/>
        <item x="421"/>
        <item x="293"/>
        <item x="305"/>
        <item x="220"/>
        <item x="433"/>
        <item x="269"/>
        <item x="199"/>
        <item x="204"/>
        <item x="79"/>
        <item x="89"/>
        <item x="108"/>
        <item x="5"/>
        <item x="67"/>
        <item x="363"/>
        <item x="210"/>
        <item x="33"/>
        <item x="309"/>
        <item x="203"/>
        <item x="29"/>
        <item x="298"/>
        <item x="141"/>
        <item x="25"/>
        <item x="374"/>
        <item x="102"/>
        <item x="125"/>
        <item x="189"/>
        <item x="354"/>
        <item x="227"/>
        <item x="112"/>
        <item x="26"/>
        <item x="261"/>
        <item x="27"/>
        <item x="194"/>
        <item x="119"/>
        <item x="188"/>
        <item x="428"/>
        <item x="196"/>
        <item x="341"/>
        <item x="343"/>
        <item x="1"/>
        <item x="142"/>
        <item x="225"/>
        <item x="30"/>
        <item x="304"/>
        <item x="408"/>
        <item x="297"/>
        <item x="120"/>
        <item x="242"/>
        <item x="60"/>
        <item x="366"/>
        <item x="234"/>
        <item x="246"/>
        <item x="333"/>
        <item x="238"/>
        <item x="391"/>
        <item x="12"/>
        <item x="244"/>
        <item x="68"/>
        <item x="446"/>
        <item x="393"/>
        <item x="215"/>
        <item x="399"/>
        <item x="302"/>
        <item x="38"/>
        <item x="329"/>
        <item x="256"/>
        <item x="39"/>
        <item x="403"/>
        <item x="20"/>
        <item x="201"/>
        <item x="0"/>
        <item x="444"/>
        <item x="44"/>
        <item x="413"/>
        <item x="80"/>
        <item x="107"/>
        <item x="148"/>
        <item x="404"/>
        <item x="436"/>
        <item x="452"/>
        <item x="139"/>
        <item x="17"/>
        <item x="6"/>
        <item x="254"/>
        <item x="104"/>
        <item x="272"/>
        <item x="143"/>
        <item x="217"/>
        <item x="241"/>
        <item x="274"/>
        <item x="61"/>
        <item x="230"/>
        <item x="53"/>
        <item x="294"/>
        <item x="117"/>
        <item x="409"/>
        <item x="265"/>
        <item x="390"/>
        <item x="334"/>
        <item x="144"/>
        <item x="299"/>
        <item x="328"/>
        <item x="78"/>
        <item x="31"/>
        <item x="46"/>
        <item x="387"/>
        <item x="62"/>
        <item x="149"/>
        <item x="66"/>
        <item x="174"/>
        <item x="82"/>
        <item x="322"/>
        <item x="326"/>
        <item x="447"/>
        <item x="160"/>
        <item x="81"/>
        <item x="8"/>
        <item x="292"/>
        <item x="426"/>
        <item x="214"/>
        <item x="74"/>
        <item x="173"/>
        <item x="290"/>
        <item x="22"/>
        <item x="109"/>
        <item x="257"/>
        <item x="200"/>
        <item x="320"/>
        <item x="99"/>
        <item x="340"/>
        <item x="128"/>
        <item x="113"/>
        <item x="245"/>
        <item x="376"/>
        <item x="87"/>
        <item x="424"/>
        <item x="40"/>
        <item x="111"/>
        <item x="57"/>
        <item x="325"/>
        <item x="271"/>
        <item x="324"/>
        <item x="209"/>
        <item x="186"/>
        <item x="206"/>
        <item x="344"/>
        <item x="222"/>
        <item x="295"/>
        <item x="221"/>
        <item x="185"/>
        <item x="307"/>
        <item x="197"/>
        <item x="121"/>
        <item x="132"/>
        <item x="136"/>
        <item x="239"/>
        <item x="218"/>
        <item x="342"/>
        <item x="13"/>
        <item x="105"/>
        <item x="168"/>
        <item x="231"/>
        <item x="247"/>
        <item x="400"/>
        <item x="211"/>
        <item x="110"/>
        <item x="152"/>
        <item x="75"/>
        <item x="84"/>
        <item x="379"/>
        <item x="440"/>
        <item x="63"/>
        <item x="336"/>
        <item x="330"/>
        <item x="202"/>
        <item x="106"/>
        <item x="441"/>
        <item x="178"/>
        <item x="437"/>
        <item x="93"/>
        <item x="338"/>
        <item x="394"/>
        <item x="208"/>
        <item x="171"/>
        <item x="291"/>
        <item x="268"/>
        <item x="45"/>
        <item x="267"/>
        <item x="311"/>
        <item x="253"/>
        <item x="339"/>
        <item x="180"/>
        <item x="398"/>
        <item x="10"/>
        <item x="417"/>
        <item x="55"/>
        <item x="50"/>
        <item x="312"/>
        <item x="448"/>
        <item x="34"/>
        <item x="435"/>
        <item x="228"/>
        <item x="249"/>
        <item x="91"/>
        <item x="255"/>
        <item x="64"/>
        <item x="410"/>
        <item x="223"/>
        <item x="71"/>
        <item x="157"/>
        <item x="170"/>
        <item x="190"/>
        <item x="229"/>
        <item x="140"/>
        <item x="175"/>
        <item x="124"/>
        <item x="332"/>
        <item x="278"/>
        <item x="98"/>
        <item x="275"/>
        <item x="308"/>
        <item x="166"/>
        <item x="321"/>
        <item x="378"/>
        <item x="439"/>
        <item x="21"/>
        <item x="425"/>
        <item x="380"/>
        <item x="345"/>
        <item x="313"/>
        <item x="151"/>
        <item x="165"/>
        <item x="270"/>
        <item x="286"/>
        <item x="7"/>
        <item x="192"/>
        <item x="323"/>
        <item x="145"/>
        <item x="351"/>
        <item x="355"/>
        <item x="317"/>
        <item x="156"/>
        <item x="273"/>
        <item x="352"/>
        <item x="114"/>
        <item x="41"/>
        <item x="368"/>
        <item x="407"/>
        <item x="183"/>
        <item x="169"/>
        <item x="331"/>
        <item x="319"/>
        <item x="392"/>
        <item x="159"/>
        <item x="58"/>
        <item x="129"/>
        <item x="207"/>
        <item x="381"/>
        <item x="431"/>
        <item x="365"/>
        <item x="383"/>
        <item x="288"/>
        <item x="453"/>
        <item x="147"/>
        <item x="350"/>
        <item x="389"/>
        <item x="262"/>
        <item x="95"/>
        <item x="11"/>
        <item x="134"/>
        <item x="205"/>
        <item x="280"/>
        <item x="19"/>
        <item x="146"/>
        <item x="212"/>
        <item x="32"/>
        <item x="303"/>
        <item x="28"/>
        <item x="101"/>
        <item x="164"/>
        <item x="123"/>
        <item x="375"/>
        <item x="76"/>
        <item x="314"/>
        <item x="300"/>
        <item x="385"/>
        <item x="370"/>
        <item x="282"/>
        <item x="266"/>
        <item x="432"/>
        <item x="353"/>
        <item x="346"/>
        <item x="251"/>
        <item x="213"/>
        <item x="51"/>
        <item x="122"/>
        <item x="372"/>
        <item x="337"/>
        <item x="162"/>
        <item x="18"/>
        <item x="276"/>
        <item x="371"/>
        <item x="73"/>
        <item x="364"/>
        <item x="3"/>
        <item x="263"/>
        <item x="2"/>
        <item x="412"/>
        <item x="52"/>
        <item x="118"/>
        <item x="70"/>
        <item x="250"/>
        <item x="258"/>
        <item x="327"/>
        <item x="310"/>
        <item x="90"/>
        <item x="167"/>
        <item x="77"/>
        <item x="137"/>
        <item x="56"/>
        <item x="406"/>
        <item x="86"/>
        <item x="23"/>
        <item x="224"/>
        <item x="419"/>
        <item x="4"/>
        <item x="362"/>
        <item x="360"/>
        <item x="395"/>
        <item x="416"/>
        <item x="48"/>
        <item x="277"/>
        <item x="138"/>
        <item x="35"/>
        <item x="356"/>
        <item x="287"/>
        <item x="49"/>
        <item x="161"/>
        <item x="172"/>
        <item x="179"/>
        <item x="233"/>
        <item x="301"/>
        <item x="126"/>
        <item x="88"/>
        <item x="216"/>
        <item x="367"/>
        <item x="284"/>
        <item x="397"/>
        <item x="359"/>
        <item x="248"/>
        <item x="429"/>
        <item x="226"/>
        <item x="176"/>
        <item x="47"/>
        <item x="450"/>
        <item x="130"/>
        <item x="163"/>
        <item x="434"/>
        <item x="396"/>
        <item x="184"/>
        <item x="16"/>
        <item x="154"/>
        <item x="418"/>
        <item x="438"/>
        <item x="264"/>
        <item x="411"/>
        <item x="415"/>
        <item x="97"/>
        <item x="296"/>
        <item x="347"/>
        <item x="279"/>
        <item x="442"/>
        <item x="236"/>
        <item x="388"/>
        <item x="315"/>
        <item x="373"/>
        <item x="150"/>
        <item x="133"/>
        <item x="449"/>
        <item x="36"/>
        <item x="335"/>
        <item x="259"/>
        <item x="37"/>
        <item x="181"/>
        <item x="423"/>
        <item x="285"/>
        <item x="369"/>
        <item x="402"/>
        <item x="235"/>
        <item x="316"/>
        <item x="177"/>
        <item x="43"/>
        <item x="306"/>
        <item x="281"/>
        <item x="232"/>
        <item x="377"/>
        <item x="135"/>
        <item x="260"/>
        <item x="83"/>
        <item x="414"/>
        <item x="430"/>
        <item x="384"/>
        <item t="default"/>
      </items>
    </pivotField>
    <pivotField numFmtId="14" showAll="0"/>
    <pivotField showAll="0"/>
    <pivotField showAll="0"/>
    <pivotField showAll="0" defaultSubtotal="0"/>
    <pivotField showAll="0" defaultSubtotal="0"/>
    <pivotField showAll="0" defaultSubtotal="0">
      <items count="4">
        <item x="0"/>
        <item x="1"/>
        <item x="2"/>
        <item x="3"/>
      </items>
    </pivotField>
  </pivotFields>
  <rowFields count="1">
    <field x="20"/>
  </rowFields>
  <rowItems count="6">
    <i>
      <x/>
    </i>
    <i>
      <x v="1"/>
    </i>
    <i>
      <x v="2"/>
    </i>
    <i>
      <x v="3"/>
    </i>
    <i>
      <x v="4"/>
    </i>
    <i t="grand">
      <x/>
    </i>
  </rowItems>
  <colItems count="1">
    <i/>
  </colItems>
  <dataFields count="1">
    <dataField name="Sum of Sales" fld="9" baseField="0" baseItem="0"/>
  </dataFields>
  <chartFormats count="6">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20" count="1" selected="0">
            <x v="0"/>
          </reference>
        </references>
      </pivotArea>
    </chartFormat>
    <chartFormat chart="5" format="19">
      <pivotArea type="data" outline="0" fieldPosition="0">
        <references count="2">
          <reference field="4294967294" count="1" selected="0">
            <x v="0"/>
          </reference>
          <reference field="20" count="1" selected="0">
            <x v="1"/>
          </reference>
        </references>
      </pivotArea>
    </chartFormat>
    <chartFormat chart="5" format="20">
      <pivotArea type="data" outline="0" fieldPosition="0">
        <references count="2">
          <reference field="4294967294" count="1" selected="0">
            <x v="0"/>
          </reference>
          <reference field="20" count="1" selected="0">
            <x v="2"/>
          </reference>
        </references>
      </pivotArea>
    </chartFormat>
    <chartFormat chart="5" format="21">
      <pivotArea type="data" outline="0" fieldPosition="0">
        <references count="2">
          <reference field="4294967294" count="1" selected="0">
            <x v="0"/>
          </reference>
          <reference field="20" count="1" selected="0">
            <x v="3"/>
          </reference>
        </references>
      </pivotArea>
    </chartFormat>
    <chartFormat chart="5" format="22">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150B9D-6ADC-491D-BC5A-EE16FD307844}" name="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41">
    <pivotField showAll="0"/>
    <pivotField dataField="1"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6"/>
        <item x="2"/>
        <item x="0"/>
        <item x="1"/>
        <item x="5"/>
        <item x="3"/>
        <item x="4"/>
        <item t="default"/>
      </items>
    </pivotField>
    <pivotField showAll="0"/>
    <pivotField showAll="0">
      <items count="7">
        <item x="5"/>
        <item x="0"/>
        <item x="3"/>
        <item x="2"/>
        <item x="4"/>
        <item x="1"/>
        <item t="default"/>
      </items>
    </pivotField>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pivotField showAll="0"/>
    <pivotField showAll="0"/>
    <pivotField showAll="0"/>
    <pivotField numFmtId="14" showAll="0"/>
    <pivotField numFmtId="14" showAll="0">
      <items count="455">
        <item x="348"/>
        <item x="116"/>
        <item x="85"/>
        <item x="357"/>
        <item x="195"/>
        <item x="115"/>
        <item x="283"/>
        <item x="69"/>
        <item x="289"/>
        <item x="219"/>
        <item x="187"/>
        <item x="405"/>
        <item x="14"/>
        <item x="240"/>
        <item x="427"/>
        <item x="158"/>
        <item x="386"/>
        <item x="92"/>
        <item x="155"/>
        <item x="401"/>
        <item x="349"/>
        <item x="9"/>
        <item x="361"/>
        <item x="443"/>
        <item x="193"/>
        <item x="243"/>
        <item x="65"/>
        <item x="54"/>
        <item x="127"/>
        <item x="15"/>
        <item x="445"/>
        <item x="358"/>
        <item x="42"/>
        <item x="59"/>
        <item x="451"/>
        <item x="252"/>
        <item x="198"/>
        <item x="318"/>
        <item x="94"/>
        <item x="382"/>
        <item x="153"/>
        <item x="182"/>
        <item x="420"/>
        <item x="96"/>
        <item x="100"/>
        <item x="422"/>
        <item x="72"/>
        <item x="24"/>
        <item x="237"/>
        <item x="103"/>
        <item x="191"/>
        <item x="131"/>
        <item x="421"/>
        <item x="293"/>
        <item x="305"/>
        <item x="220"/>
        <item x="433"/>
        <item x="269"/>
        <item x="199"/>
        <item x="204"/>
        <item x="79"/>
        <item x="89"/>
        <item x="108"/>
        <item x="5"/>
        <item x="67"/>
        <item x="363"/>
        <item x="210"/>
        <item x="33"/>
        <item x="309"/>
        <item x="203"/>
        <item x="29"/>
        <item x="298"/>
        <item x="141"/>
        <item x="25"/>
        <item x="374"/>
        <item x="102"/>
        <item x="125"/>
        <item x="189"/>
        <item x="354"/>
        <item x="227"/>
        <item x="112"/>
        <item x="26"/>
        <item x="261"/>
        <item x="27"/>
        <item x="194"/>
        <item x="119"/>
        <item x="188"/>
        <item x="428"/>
        <item x="196"/>
        <item x="341"/>
        <item x="343"/>
        <item x="1"/>
        <item x="142"/>
        <item x="225"/>
        <item x="30"/>
        <item x="304"/>
        <item x="408"/>
        <item x="297"/>
        <item x="120"/>
        <item x="242"/>
        <item x="60"/>
        <item x="366"/>
        <item x="234"/>
        <item x="246"/>
        <item x="333"/>
        <item x="238"/>
        <item x="391"/>
        <item x="12"/>
        <item x="244"/>
        <item x="68"/>
        <item x="446"/>
        <item x="393"/>
        <item x="215"/>
        <item x="399"/>
        <item x="302"/>
        <item x="38"/>
        <item x="329"/>
        <item x="256"/>
        <item x="39"/>
        <item x="403"/>
        <item x="20"/>
        <item x="201"/>
        <item x="0"/>
        <item x="444"/>
        <item x="44"/>
        <item x="413"/>
        <item x="80"/>
        <item x="107"/>
        <item x="148"/>
        <item x="404"/>
        <item x="436"/>
        <item x="452"/>
        <item x="139"/>
        <item x="17"/>
        <item x="6"/>
        <item x="254"/>
        <item x="104"/>
        <item x="272"/>
        <item x="143"/>
        <item x="217"/>
        <item x="241"/>
        <item x="274"/>
        <item x="61"/>
        <item x="230"/>
        <item x="53"/>
        <item x="294"/>
        <item x="117"/>
        <item x="409"/>
        <item x="265"/>
        <item x="390"/>
        <item x="334"/>
        <item x="144"/>
        <item x="299"/>
        <item x="328"/>
        <item x="78"/>
        <item x="31"/>
        <item x="46"/>
        <item x="387"/>
        <item x="62"/>
        <item x="149"/>
        <item x="66"/>
        <item x="174"/>
        <item x="82"/>
        <item x="322"/>
        <item x="326"/>
        <item x="447"/>
        <item x="160"/>
        <item x="81"/>
        <item x="8"/>
        <item x="292"/>
        <item x="426"/>
        <item x="214"/>
        <item x="74"/>
        <item x="173"/>
        <item x="290"/>
        <item x="22"/>
        <item x="109"/>
        <item x="257"/>
        <item x="200"/>
        <item x="320"/>
        <item x="99"/>
        <item x="340"/>
        <item x="128"/>
        <item x="113"/>
        <item x="245"/>
        <item x="376"/>
        <item x="87"/>
        <item x="424"/>
        <item x="40"/>
        <item x="111"/>
        <item x="57"/>
        <item x="325"/>
        <item x="271"/>
        <item x="324"/>
        <item x="209"/>
        <item x="186"/>
        <item x="206"/>
        <item x="344"/>
        <item x="222"/>
        <item x="295"/>
        <item x="221"/>
        <item x="185"/>
        <item x="307"/>
        <item x="197"/>
        <item x="121"/>
        <item x="132"/>
        <item x="136"/>
        <item x="239"/>
        <item x="218"/>
        <item x="342"/>
        <item x="13"/>
        <item x="105"/>
        <item x="168"/>
        <item x="231"/>
        <item x="247"/>
        <item x="400"/>
        <item x="211"/>
        <item x="110"/>
        <item x="152"/>
        <item x="75"/>
        <item x="84"/>
        <item x="379"/>
        <item x="440"/>
        <item x="63"/>
        <item x="336"/>
        <item x="330"/>
        <item x="202"/>
        <item x="106"/>
        <item x="441"/>
        <item x="178"/>
        <item x="437"/>
        <item x="93"/>
        <item x="338"/>
        <item x="394"/>
        <item x="208"/>
        <item x="171"/>
        <item x="291"/>
        <item x="268"/>
        <item x="45"/>
        <item x="267"/>
        <item x="311"/>
        <item x="253"/>
        <item x="339"/>
        <item x="180"/>
        <item x="398"/>
        <item x="10"/>
        <item x="417"/>
        <item x="55"/>
        <item x="50"/>
        <item x="312"/>
        <item x="448"/>
        <item x="34"/>
        <item x="435"/>
        <item x="228"/>
        <item x="249"/>
        <item x="91"/>
        <item x="255"/>
        <item x="64"/>
        <item x="410"/>
        <item x="223"/>
        <item x="71"/>
        <item x="157"/>
        <item x="170"/>
        <item x="190"/>
        <item x="229"/>
        <item x="140"/>
        <item x="175"/>
        <item x="124"/>
        <item x="332"/>
        <item x="278"/>
        <item x="98"/>
        <item x="275"/>
        <item x="308"/>
        <item x="166"/>
        <item x="321"/>
        <item x="378"/>
        <item x="439"/>
        <item x="21"/>
        <item x="425"/>
        <item x="380"/>
        <item x="345"/>
        <item x="313"/>
        <item x="151"/>
        <item x="165"/>
        <item x="270"/>
        <item x="286"/>
        <item x="7"/>
        <item x="192"/>
        <item x="323"/>
        <item x="145"/>
        <item x="351"/>
        <item x="355"/>
        <item x="317"/>
        <item x="156"/>
        <item x="273"/>
        <item x="352"/>
        <item x="114"/>
        <item x="41"/>
        <item x="368"/>
        <item x="407"/>
        <item x="183"/>
        <item x="169"/>
        <item x="331"/>
        <item x="319"/>
        <item x="392"/>
        <item x="159"/>
        <item x="58"/>
        <item x="129"/>
        <item x="207"/>
        <item x="381"/>
        <item x="431"/>
        <item x="365"/>
        <item x="383"/>
        <item x="288"/>
        <item x="453"/>
        <item x="147"/>
        <item x="350"/>
        <item x="389"/>
        <item x="262"/>
        <item x="95"/>
        <item x="11"/>
        <item x="134"/>
        <item x="205"/>
        <item x="280"/>
        <item x="19"/>
        <item x="146"/>
        <item x="212"/>
        <item x="32"/>
        <item x="303"/>
        <item x="28"/>
        <item x="101"/>
        <item x="164"/>
        <item x="123"/>
        <item x="375"/>
        <item x="76"/>
        <item x="314"/>
        <item x="300"/>
        <item x="385"/>
        <item x="370"/>
        <item x="282"/>
        <item x="266"/>
        <item x="432"/>
        <item x="353"/>
        <item x="346"/>
        <item x="251"/>
        <item x="213"/>
        <item x="51"/>
        <item x="122"/>
        <item x="372"/>
        <item x="337"/>
        <item x="162"/>
        <item x="18"/>
        <item x="276"/>
        <item x="371"/>
        <item x="73"/>
        <item x="364"/>
        <item x="3"/>
        <item x="263"/>
        <item x="2"/>
        <item x="412"/>
        <item x="52"/>
        <item x="118"/>
        <item x="70"/>
        <item x="250"/>
        <item x="258"/>
        <item x="327"/>
        <item x="310"/>
        <item x="90"/>
        <item x="167"/>
        <item x="77"/>
        <item x="137"/>
        <item x="56"/>
        <item x="406"/>
        <item x="86"/>
        <item x="23"/>
        <item x="224"/>
        <item x="419"/>
        <item x="4"/>
        <item x="362"/>
        <item x="360"/>
        <item x="395"/>
        <item x="416"/>
        <item x="48"/>
        <item x="277"/>
        <item x="138"/>
        <item x="35"/>
        <item x="356"/>
        <item x="287"/>
        <item x="49"/>
        <item x="161"/>
        <item x="172"/>
        <item x="179"/>
        <item x="233"/>
        <item x="301"/>
        <item x="126"/>
        <item x="88"/>
        <item x="216"/>
        <item x="367"/>
        <item x="284"/>
        <item x="397"/>
        <item x="359"/>
        <item x="248"/>
        <item x="429"/>
        <item x="226"/>
        <item x="176"/>
        <item x="47"/>
        <item x="450"/>
        <item x="130"/>
        <item x="163"/>
        <item x="434"/>
        <item x="396"/>
        <item x="184"/>
        <item x="16"/>
        <item x="154"/>
        <item x="418"/>
        <item x="438"/>
        <item x="264"/>
        <item x="411"/>
        <item x="415"/>
        <item x="97"/>
        <item x="296"/>
        <item x="347"/>
        <item x="279"/>
        <item x="442"/>
        <item x="236"/>
        <item x="388"/>
        <item x="315"/>
        <item x="373"/>
        <item x="150"/>
        <item x="133"/>
        <item x="449"/>
        <item x="36"/>
        <item x="335"/>
        <item x="259"/>
        <item x="37"/>
        <item x="181"/>
        <item x="423"/>
        <item x="285"/>
        <item x="369"/>
        <item x="402"/>
        <item x="235"/>
        <item x="316"/>
        <item x="177"/>
        <item x="43"/>
        <item x="306"/>
        <item x="281"/>
        <item x="232"/>
        <item x="377"/>
        <item x="135"/>
        <item x="260"/>
        <item x="83"/>
        <item x="414"/>
        <item x="430"/>
        <item x="384"/>
        <item t="default"/>
      </items>
    </pivotField>
    <pivotField numFmtId="14" showAll="0"/>
    <pivotField showAll="0"/>
    <pivotField showAll="0"/>
    <pivotField showAll="0" defaultSubtotal="0"/>
    <pivotField showAll="0" defaultSubtotal="0"/>
    <pivotField showAll="0" defaultSubtotal="0">
      <items count="4">
        <item x="0"/>
        <item x="1"/>
        <item x="2"/>
        <item x="3"/>
      </items>
    </pivotField>
  </pivotFields>
  <rowFields count="1">
    <field x="17"/>
  </rowFields>
  <rowItems count="8">
    <i>
      <x/>
    </i>
    <i>
      <x v="1"/>
    </i>
    <i>
      <x v="2"/>
    </i>
    <i>
      <x v="3"/>
    </i>
    <i>
      <x v="4"/>
    </i>
    <i>
      <x v="5"/>
    </i>
    <i>
      <x v="6"/>
    </i>
    <i t="grand">
      <x/>
    </i>
  </rowItems>
  <colItems count="1">
    <i/>
  </colItems>
  <dataFields count="1">
    <dataField name="Count of Customer_Name" fld="1"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59E863-B2C4-4A3F-8FD0-991DC31B0601}" name="Br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9" firstHeaderRow="1" firstDataRow="1" firstDataCol="1"/>
  <pivotFields count="41">
    <pivotField showAll="0"/>
    <pivotField showAll="0"/>
    <pivotField showAll="0">
      <items count="5">
        <item x="3"/>
        <item x="0"/>
        <item x="2"/>
        <item x="1"/>
        <item t="default"/>
      </items>
    </pivotField>
    <pivotField showAll="0"/>
    <pivotField axis="axisRow" showAll="0" measureFilter="1">
      <items count="44">
        <item x="18"/>
        <item x="38"/>
        <item x="13"/>
        <item x="5"/>
        <item x="8"/>
        <item x="34"/>
        <item x="7"/>
        <item x="16"/>
        <item x="9"/>
        <item x="30"/>
        <item x="23"/>
        <item x="24"/>
        <item x="39"/>
        <item x="6"/>
        <item x="14"/>
        <item x="0"/>
        <item x="27"/>
        <item x="15"/>
        <item x="12"/>
        <item x="4"/>
        <item x="10"/>
        <item x="33"/>
        <item x="41"/>
        <item x="22"/>
        <item x="40"/>
        <item x="21"/>
        <item x="3"/>
        <item x="11"/>
        <item x="32"/>
        <item x="36"/>
        <item x="20"/>
        <item x="37"/>
        <item x="29"/>
        <item x="31"/>
        <item x="25"/>
        <item x="2"/>
        <item x="1"/>
        <item x="17"/>
        <item x="26"/>
        <item x="42"/>
        <item x="19"/>
        <item x="35"/>
        <item x="28"/>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5"/>
        <item x="0"/>
        <item x="3"/>
        <item x="2"/>
        <item x="4"/>
        <item x="1"/>
        <item t="default"/>
      </items>
    </pivotField>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pivotField showAll="0"/>
    <pivotField showAll="0"/>
    <pivotField showAll="0"/>
    <pivotField numFmtId="14" showAll="0"/>
    <pivotField numFmtId="14" showAll="0">
      <items count="455">
        <item x="348"/>
        <item x="116"/>
        <item x="85"/>
        <item x="357"/>
        <item x="195"/>
        <item x="115"/>
        <item x="283"/>
        <item x="69"/>
        <item x="289"/>
        <item x="219"/>
        <item x="187"/>
        <item x="405"/>
        <item x="14"/>
        <item x="240"/>
        <item x="427"/>
        <item x="158"/>
        <item x="386"/>
        <item x="92"/>
        <item x="155"/>
        <item x="401"/>
        <item x="349"/>
        <item x="9"/>
        <item x="361"/>
        <item x="443"/>
        <item x="193"/>
        <item x="243"/>
        <item x="65"/>
        <item x="54"/>
        <item x="127"/>
        <item x="15"/>
        <item x="445"/>
        <item x="358"/>
        <item x="42"/>
        <item x="59"/>
        <item x="451"/>
        <item x="252"/>
        <item x="198"/>
        <item x="318"/>
        <item x="94"/>
        <item x="382"/>
        <item x="153"/>
        <item x="182"/>
        <item x="420"/>
        <item x="96"/>
        <item x="100"/>
        <item x="422"/>
        <item x="72"/>
        <item x="24"/>
        <item x="237"/>
        <item x="103"/>
        <item x="191"/>
        <item x="131"/>
        <item x="421"/>
        <item x="293"/>
        <item x="305"/>
        <item x="220"/>
        <item x="433"/>
        <item x="269"/>
        <item x="199"/>
        <item x="204"/>
        <item x="79"/>
        <item x="89"/>
        <item x="108"/>
        <item x="5"/>
        <item x="67"/>
        <item x="363"/>
        <item x="210"/>
        <item x="33"/>
        <item x="309"/>
        <item x="203"/>
        <item x="29"/>
        <item x="298"/>
        <item x="141"/>
        <item x="25"/>
        <item x="374"/>
        <item x="102"/>
        <item x="125"/>
        <item x="189"/>
        <item x="354"/>
        <item x="227"/>
        <item x="112"/>
        <item x="26"/>
        <item x="261"/>
        <item x="27"/>
        <item x="194"/>
        <item x="119"/>
        <item x="188"/>
        <item x="428"/>
        <item x="196"/>
        <item x="341"/>
        <item x="343"/>
        <item x="1"/>
        <item x="142"/>
        <item x="225"/>
        <item x="30"/>
        <item x="304"/>
        <item x="408"/>
        <item x="297"/>
        <item x="120"/>
        <item x="242"/>
        <item x="60"/>
        <item x="366"/>
        <item x="234"/>
        <item x="246"/>
        <item x="333"/>
        <item x="238"/>
        <item x="391"/>
        <item x="12"/>
        <item x="244"/>
        <item x="68"/>
        <item x="446"/>
        <item x="393"/>
        <item x="215"/>
        <item x="399"/>
        <item x="302"/>
        <item x="38"/>
        <item x="329"/>
        <item x="256"/>
        <item x="39"/>
        <item x="403"/>
        <item x="20"/>
        <item x="201"/>
        <item x="0"/>
        <item x="444"/>
        <item x="44"/>
        <item x="413"/>
        <item x="80"/>
        <item x="107"/>
        <item x="148"/>
        <item x="404"/>
        <item x="436"/>
        <item x="452"/>
        <item x="139"/>
        <item x="17"/>
        <item x="6"/>
        <item x="254"/>
        <item x="104"/>
        <item x="272"/>
        <item x="143"/>
        <item x="217"/>
        <item x="241"/>
        <item x="274"/>
        <item x="61"/>
        <item x="230"/>
        <item x="53"/>
        <item x="294"/>
        <item x="117"/>
        <item x="409"/>
        <item x="265"/>
        <item x="390"/>
        <item x="334"/>
        <item x="144"/>
        <item x="299"/>
        <item x="328"/>
        <item x="78"/>
        <item x="31"/>
        <item x="46"/>
        <item x="387"/>
        <item x="62"/>
        <item x="149"/>
        <item x="66"/>
        <item x="174"/>
        <item x="82"/>
        <item x="322"/>
        <item x="326"/>
        <item x="447"/>
        <item x="160"/>
        <item x="81"/>
        <item x="8"/>
        <item x="292"/>
        <item x="426"/>
        <item x="214"/>
        <item x="74"/>
        <item x="173"/>
        <item x="290"/>
        <item x="22"/>
        <item x="109"/>
        <item x="257"/>
        <item x="200"/>
        <item x="320"/>
        <item x="99"/>
        <item x="340"/>
        <item x="128"/>
        <item x="113"/>
        <item x="245"/>
        <item x="376"/>
        <item x="87"/>
        <item x="424"/>
        <item x="40"/>
        <item x="111"/>
        <item x="57"/>
        <item x="325"/>
        <item x="271"/>
        <item x="324"/>
        <item x="209"/>
        <item x="186"/>
        <item x="206"/>
        <item x="344"/>
        <item x="222"/>
        <item x="295"/>
        <item x="221"/>
        <item x="185"/>
        <item x="307"/>
        <item x="197"/>
        <item x="121"/>
        <item x="132"/>
        <item x="136"/>
        <item x="239"/>
        <item x="218"/>
        <item x="342"/>
        <item x="13"/>
        <item x="105"/>
        <item x="168"/>
        <item x="231"/>
        <item x="247"/>
        <item x="400"/>
        <item x="211"/>
        <item x="110"/>
        <item x="152"/>
        <item x="75"/>
        <item x="84"/>
        <item x="379"/>
        <item x="440"/>
        <item x="63"/>
        <item x="336"/>
        <item x="330"/>
        <item x="202"/>
        <item x="106"/>
        <item x="441"/>
        <item x="178"/>
        <item x="437"/>
        <item x="93"/>
        <item x="338"/>
        <item x="394"/>
        <item x="208"/>
        <item x="171"/>
        <item x="291"/>
        <item x="268"/>
        <item x="45"/>
        <item x="267"/>
        <item x="311"/>
        <item x="253"/>
        <item x="339"/>
        <item x="180"/>
        <item x="398"/>
        <item x="10"/>
        <item x="417"/>
        <item x="55"/>
        <item x="50"/>
        <item x="312"/>
        <item x="448"/>
        <item x="34"/>
        <item x="435"/>
        <item x="228"/>
        <item x="249"/>
        <item x="91"/>
        <item x="255"/>
        <item x="64"/>
        <item x="410"/>
        <item x="223"/>
        <item x="71"/>
        <item x="157"/>
        <item x="170"/>
        <item x="190"/>
        <item x="229"/>
        <item x="140"/>
        <item x="175"/>
        <item x="124"/>
        <item x="332"/>
        <item x="278"/>
        <item x="98"/>
        <item x="275"/>
        <item x="308"/>
        <item x="166"/>
        <item x="321"/>
        <item x="378"/>
        <item x="439"/>
        <item x="21"/>
        <item x="425"/>
        <item x="380"/>
        <item x="345"/>
        <item x="313"/>
        <item x="151"/>
        <item x="165"/>
        <item x="270"/>
        <item x="286"/>
        <item x="7"/>
        <item x="192"/>
        <item x="323"/>
        <item x="145"/>
        <item x="351"/>
        <item x="355"/>
        <item x="317"/>
        <item x="156"/>
        <item x="273"/>
        <item x="352"/>
        <item x="114"/>
        <item x="41"/>
        <item x="368"/>
        <item x="407"/>
        <item x="183"/>
        <item x="169"/>
        <item x="331"/>
        <item x="319"/>
        <item x="392"/>
        <item x="159"/>
        <item x="58"/>
        <item x="129"/>
        <item x="207"/>
        <item x="381"/>
        <item x="431"/>
        <item x="365"/>
        <item x="383"/>
        <item x="288"/>
        <item x="453"/>
        <item x="147"/>
        <item x="350"/>
        <item x="389"/>
        <item x="262"/>
        <item x="95"/>
        <item x="11"/>
        <item x="134"/>
        <item x="205"/>
        <item x="280"/>
        <item x="19"/>
        <item x="146"/>
        <item x="212"/>
        <item x="32"/>
        <item x="303"/>
        <item x="28"/>
        <item x="101"/>
        <item x="164"/>
        <item x="123"/>
        <item x="375"/>
        <item x="76"/>
        <item x="314"/>
        <item x="300"/>
        <item x="385"/>
        <item x="370"/>
        <item x="282"/>
        <item x="266"/>
        <item x="432"/>
        <item x="353"/>
        <item x="346"/>
        <item x="251"/>
        <item x="213"/>
        <item x="51"/>
        <item x="122"/>
        <item x="372"/>
        <item x="337"/>
        <item x="162"/>
        <item x="18"/>
        <item x="276"/>
        <item x="371"/>
        <item x="73"/>
        <item x="364"/>
        <item x="3"/>
        <item x="263"/>
        <item x="2"/>
        <item x="412"/>
        <item x="52"/>
        <item x="118"/>
        <item x="70"/>
        <item x="250"/>
        <item x="258"/>
        <item x="327"/>
        <item x="310"/>
        <item x="90"/>
        <item x="167"/>
        <item x="77"/>
        <item x="137"/>
        <item x="56"/>
        <item x="406"/>
        <item x="86"/>
        <item x="23"/>
        <item x="224"/>
        <item x="419"/>
        <item x="4"/>
        <item x="362"/>
        <item x="360"/>
        <item x="395"/>
        <item x="416"/>
        <item x="48"/>
        <item x="277"/>
        <item x="138"/>
        <item x="35"/>
        <item x="356"/>
        <item x="287"/>
        <item x="49"/>
        <item x="161"/>
        <item x="172"/>
        <item x="179"/>
        <item x="233"/>
        <item x="301"/>
        <item x="126"/>
        <item x="88"/>
        <item x="216"/>
        <item x="367"/>
        <item x="284"/>
        <item x="397"/>
        <item x="359"/>
        <item x="248"/>
        <item x="429"/>
        <item x="226"/>
        <item x="176"/>
        <item x="47"/>
        <item x="450"/>
        <item x="130"/>
        <item x="163"/>
        <item x="434"/>
        <item x="396"/>
        <item x="184"/>
        <item x="16"/>
        <item x="154"/>
        <item x="418"/>
        <item x="438"/>
        <item x="264"/>
        <item x="411"/>
        <item x="415"/>
        <item x="97"/>
        <item x="296"/>
        <item x="347"/>
        <item x="279"/>
        <item x="442"/>
        <item x="236"/>
        <item x="388"/>
        <item x="315"/>
        <item x="373"/>
        <item x="150"/>
        <item x="133"/>
        <item x="449"/>
        <item x="36"/>
        <item x="335"/>
        <item x="259"/>
        <item x="37"/>
        <item x="181"/>
        <item x="423"/>
        <item x="285"/>
        <item x="369"/>
        <item x="402"/>
        <item x="235"/>
        <item x="316"/>
        <item x="177"/>
        <item x="43"/>
        <item x="306"/>
        <item x="281"/>
        <item x="232"/>
        <item x="377"/>
        <item x="135"/>
        <item x="260"/>
        <item x="83"/>
        <item x="414"/>
        <item x="430"/>
        <item x="384"/>
        <item t="default"/>
      </items>
    </pivotField>
    <pivotField numFmtId="14"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6">
    <i>
      <x v="2"/>
    </i>
    <i>
      <x v="10"/>
    </i>
    <i>
      <x v="21"/>
    </i>
    <i>
      <x v="35"/>
    </i>
    <i>
      <x v="36"/>
    </i>
    <i t="grand">
      <x/>
    </i>
  </rowItems>
  <colItems count="1">
    <i/>
  </colItems>
  <dataFields count="1">
    <dataField name="Sum of Sales" fld="9" baseField="0" baseItem="0"/>
  </dataFields>
  <formats count="2">
    <format dxfId="23">
      <pivotArea collapsedLevelsAreSubtotals="1" fieldPosition="0">
        <references count="1">
          <reference field="4" count="5">
            <x v="2"/>
            <x v="10"/>
            <x v="21"/>
            <x v="35"/>
            <x v="36"/>
          </reference>
        </references>
      </pivotArea>
    </format>
    <format dxfId="2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16F9D5-9C39-439F-AEA8-1D3786D72946}" name="region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9" firstHeaderRow="0" firstDataRow="1" firstDataCol="1"/>
  <pivotFields count="41">
    <pivotField showAll="0"/>
    <pivotField showAll="0"/>
    <pivotField showAll="0">
      <items count="5">
        <item x="3"/>
        <item x="0"/>
        <item x="2"/>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items count="7">
        <item x="5"/>
        <item x="0"/>
        <item x="3"/>
        <item x="2"/>
        <item x="4"/>
        <item x="1"/>
        <item t="default"/>
      </items>
    </pivotField>
    <pivotField showAll="0"/>
    <pivotField showAll="0"/>
    <pivotField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showAll="0"/>
    <pivotField numFmtId="14" showAll="0"/>
    <pivotField numFmtId="14" showAll="0">
      <items count="455">
        <item x="348"/>
        <item x="116"/>
        <item x="85"/>
        <item x="357"/>
        <item x="195"/>
        <item x="115"/>
        <item x="283"/>
        <item x="69"/>
        <item x="289"/>
        <item x="219"/>
        <item x="187"/>
        <item x="405"/>
        <item x="14"/>
        <item x="240"/>
        <item x="427"/>
        <item x="158"/>
        <item x="386"/>
        <item x="92"/>
        <item x="155"/>
        <item x="401"/>
        <item x="349"/>
        <item x="9"/>
        <item x="361"/>
        <item x="443"/>
        <item x="193"/>
        <item x="243"/>
        <item x="65"/>
        <item x="54"/>
        <item x="127"/>
        <item x="15"/>
        <item x="445"/>
        <item x="358"/>
        <item x="42"/>
        <item x="59"/>
        <item x="451"/>
        <item x="252"/>
        <item x="198"/>
        <item x="318"/>
        <item x="94"/>
        <item x="382"/>
        <item x="153"/>
        <item x="182"/>
        <item x="420"/>
        <item x="96"/>
        <item x="100"/>
        <item x="422"/>
        <item x="72"/>
        <item x="24"/>
        <item x="237"/>
        <item x="103"/>
        <item x="191"/>
        <item x="131"/>
        <item x="421"/>
        <item x="293"/>
        <item x="305"/>
        <item x="220"/>
        <item x="433"/>
        <item x="269"/>
        <item x="199"/>
        <item x="204"/>
        <item x="79"/>
        <item x="89"/>
        <item x="108"/>
        <item x="5"/>
        <item x="67"/>
        <item x="363"/>
        <item x="210"/>
        <item x="33"/>
        <item x="309"/>
        <item x="203"/>
        <item x="29"/>
        <item x="298"/>
        <item x="141"/>
        <item x="25"/>
        <item x="374"/>
        <item x="102"/>
        <item x="125"/>
        <item x="189"/>
        <item x="354"/>
        <item x="227"/>
        <item x="112"/>
        <item x="26"/>
        <item x="261"/>
        <item x="27"/>
        <item x="194"/>
        <item x="119"/>
        <item x="188"/>
        <item x="428"/>
        <item x="196"/>
        <item x="341"/>
        <item x="343"/>
        <item x="1"/>
        <item x="142"/>
        <item x="225"/>
        <item x="30"/>
        <item x="304"/>
        <item x="408"/>
        <item x="297"/>
        <item x="120"/>
        <item x="242"/>
        <item x="60"/>
        <item x="366"/>
        <item x="234"/>
        <item x="246"/>
        <item x="333"/>
        <item x="238"/>
        <item x="391"/>
        <item x="12"/>
        <item x="244"/>
        <item x="68"/>
        <item x="446"/>
        <item x="393"/>
        <item x="215"/>
        <item x="399"/>
        <item x="302"/>
        <item x="38"/>
        <item x="329"/>
        <item x="256"/>
        <item x="39"/>
        <item x="403"/>
        <item x="20"/>
        <item x="201"/>
        <item x="0"/>
        <item x="444"/>
        <item x="44"/>
        <item x="413"/>
        <item x="80"/>
        <item x="107"/>
        <item x="148"/>
        <item x="404"/>
        <item x="436"/>
        <item x="452"/>
        <item x="139"/>
        <item x="17"/>
        <item x="6"/>
        <item x="254"/>
        <item x="104"/>
        <item x="272"/>
        <item x="143"/>
        <item x="217"/>
        <item x="241"/>
        <item x="274"/>
        <item x="61"/>
        <item x="230"/>
        <item x="53"/>
        <item x="294"/>
        <item x="117"/>
        <item x="409"/>
        <item x="265"/>
        <item x="390"/>
        <item x="334"/>
        <item x="144"/>
        <item x="299"/>
        <item x="328"/>
        <item x="78"/>
        <item x="31"/>
        <item x="46"/>
        <item x="387"/>
        <item x="62"/>
        <item x="149"/>
        <item x="66"/>
        <item x="174"/>
        <item x="82"/>
        <item x="322"/>
        <item x="326"/>
        <item x="447"/>
        <item x="160"/>
        <item x="81"/>
        <item x="8"/>
        <item x="292"/>
        <item x="426"/>
        <item x="214"/>
        <item x="74"/>
        <item x="173"/>
        <item x="290"/>
        <item x="22"/>
        <item x="109"/>
        <item x="257"/>
        <item x="200"/>
        <item x="320"/>
        <item x="99"/>
        <item x="340"/>
        <item x="128"/>
        <item x="113"/>
        <item x="245"/>
        <item x="376"/>
        <item x="87"/>
        <item x="424"/>
        <item x="40"/>
        <item x="111"/>
        <item x="57"/>
        <item x="325"/>
        <item x="271"/>
        <item x="324"/>
        <item x="209"/>
        <item x="186"/>
        <item x="206"/>
        <item x="344"/>
        <item x="222"/>
        <item x="295"/>
        <item x="221"/>
        <item x="185"/>
        <item x="307"/>
        <item x="197"/>
        <item x="121"/>
        <item x="132"/>
        <item x="136"/>
        <item x="239"/>
        <item x="218"/>
        <item x="342"/>
        <item x="13"/>
        <item x="105"/>
        <item x="168"/>
        <item x="231"/>
        <item x="247"/>
        <item x="400"/>
        <item x="211"/>
        <item x="110"/>
        <item x="152"/>
        <item x="75"/>
        <item x="84"/>
        <item x="379"/>
        <item x="440"/>
        <item x="63"/>
        <item x="336"/>
        <item x="330"/>
        <item x="202"/>
        <item x="106"/>
        <item x="441"/>
        <item x="178"/>
        <item x="437"/>
        <item x="93"/>
        <item x="338"/>
        <item x="394"/>
        <item x="208"/>
        <item x="171"/>
        <item x="291"/>
        <item x="268"/>
        <item x="45"/>
        <item x="267"/>
        <item x="311"/>
        <item x="253"/>
        <item x="339"/>
        <item x="180"/>
        <item x="398"/>
        <item x="10"/>
        <item x="417"/>
        <item x="55"/>
        <item x="50"/>
        <item x="312"/>
        <item x="448"/>
        <item x="34"/>
        <item x="435"/>
        <item x="228"/>
        <item x="249"/>
        <item x="91"/>
        <item x="255"/>
        <item x="64"/>
        <item x="410"/>
        <item x="223"/>
        <item x="71"/>
        <item x="157"/>
        <item x="170"/>
        <item x="190"/>
        <item x="229"/>
        <item x="140"/>
        <item x="175"/>
        <item x="124"/>
        <item x="332"/>
        <item x="278"/>
        <item x="98"/>
        <item x="275"/>
        <item x="308"/>
        <item x="166"/>
        <item x="321"/>
        <item x="378"/>
        <item x="439"/>
        <item x="21"/>
        <item x="425"/>
        <item x="380"/>
        <item x="345"/>
        <item x="313"/>
        <item x="151"/>
        <item x="165"/>
        <item x="270"/>
        <item x="286"/>
        <item x="7"/>
        <item x="192"/>
        <item x="323"/>
        <item x="145"/>
        <item x="351"/>
        <item x="355"/>
        <item x="317"/>
        <item x="156"/>
        <item x="273"/>
        <item x="352"/>
        <item x="114"/>
        <item x="41"/>
        <item x="368"/>
        <item x="407"/>
        <item x="183"/>
        <item x="169"/>
        <item x="331"/>
        <item x="319"/>
        <item x="392"/>
        <item x="159"/>
        <item x="58"/>
        <item x="129"/>
        <item x="207"/>
        <item x="381"/>
        <item x="431"/>
        <item x="365"/>
        <item x="383"/>
        <item x="288"/>
        <item x="453"/>
        <item x="147"/>
        <item x="350"/>
        <item x="389"/>
        <item x="262"/>
        <item x="95"/>
        <item x="11"/>
        <item x="134"/>
        <item x="205"/>
        <item x="280"/>
        <item x="19"/>
        <item x="146"/>
        <item x="212"/>
        <item x="32"/>
        <item x="303"/>
        <item x="28"/>
        <item x="101"/>
        <item x="164"/>
        <item x="123"/>
        <item x="375"/>
        <item x="76"/>
        <item x="314"/>
        <item x="300"/>
        <item x="385"/>
        <item x="370"/>
        <item x="282"/>
        <item x="266"/>
        <item x="432"/>
        <item x="353"/>
        <item x="346"/>
        <item x="251"/>
        <item x="213"/>
        <item x="51"/>
        <item x="122"/>
        <item x="372"/>
        <item x="337"/>
        <item x="162"/>
        <item x="18"/>
        <item x="276"/>
        <item x="371"/>
        <item x="73"/>
        <item x="364"/>
        <item x="3"/>
        <item x="263"/>
        <item x="2"/>
        <item x="412"/>
        <item x="52"/>
        <item x="118"/>
        <item x="70"/>
        <item x="250"/>
        <item x="258"/>
        <item x="327"/>
        <item x="310"/>
        <item x="90"/>
        <item x="167"/>
        <item x="77"/>
        <item x="137"/>
        <item x="56"/>
        <item x="406"/>
        <item x="86"/>
        <item x="23"/>
        <item x="224"/>
        <item x="419"/>
        <item x="4"/>
        <item x="362"/>
        <item x="360"/>
        <item x="395"/>
        <item x="416"/>
        <item x="48"/>
        <item x="277"/>
        <item x="138"/>
        <item x="35"/>
        <item x="356"/>
        <item x="287"/>
        <item x="49"/>
        <item x="161"/>
        <item x="172"/>
        <item x="179"/>
        <item x="233"/>
        <item x="301"/>
        <item x="126"/>
        <item x="88"/>
        <item x="216"/>
        <item x="367"/>
        <item x="284"/>
        <item x="397"/>
        <item x="359"/>
        <item x="248"/>
        <item x="429"/>
        <item x="226"/>
        <item x="176"/>
        <item x="47"/>
        <item x="450"/>
        <item x="130"/>
        <item x="163"/>
        <item x="434"/>
        <item x="396"/>
        <item x="184"/>
        <item x="16"/>
        <item x="154"/>
        <item x="418"/>
        <item x="438"/>
        <item x="264"/>
        <item x="411"/>
        <item x="415"/>
        <item x="97"/>
        <item x="296"/>
        <item x="347"/>
        <item x="279"/>
        <item x="442"/>
        <item x="236"/>
        <item x="388"/>
        <item x="315"/>
        <item x="373"/>
        <item x="150"/>
        <item x="133"/>
        <item x="449"/>
        <item x="36"/>
        <item x="335"/>
        <item x="259"/>
        <item x="37"/>
        <item x="181"/>
        <item x="423"/>
        <item x="285"/>
        <item x="369"/>
        <item x="402"/>
        <item x="235"/>
        <item x="316"/>
        <item x="177"/>
        <item x="43"/>
        <item x="306"/>
        <item x="281"/>
        <item x="232"/>
        <item x="377"/>
        <item x="135"/>
        <item x="260"/>
        <item x="83"/>
        <item x="414"/>
        <item x="430"/>
        <item x="384"/>
        <item t="default"/>
      </items>
    </pivotField>
    <pivotField numFmtId="14" showAll="0"/>
    <pivotField showAll="0"/>
    <pivotField showAll="0"/>
    <pivotField showAll="0" defaultSubtotal="0"/>
    <pivotField showAll="0" defaultSubtotal="0"/>
    <pivotField showAll="0" defaultSubtotal="0">
      <items count="4">
        <item x="0"/>
        <item x="1"/>
        <item sd="0" x="2"/>
        <item x="3"/>
      </items>
    </pivotField>
  </pivotFields>
  <rowFields count="1">
    <field x="25"/>
  </rowFields>
  <rowItems count="6">
    <i>
      <x/>
    </i>
    <i>
      <x v="1"/>
    </i>
    <i>
      <x v="2"/>
    </i>
    <i>
      <x v="3"/>
    </i>
    <i>
      <x v="4"/>
    </i>
    <i t="grand">
      <x/>
    </i>
  </rowItems>
  <colFields count="1">
    <field x="-2"/>
  </colFields>
  <colItems count="2">
    <i>
      <x/>
    </i>
    <i i="1">
      <x v="1"/>
    </i>
  </colItems>
  <dataFields count="2">
    <dataField name="Sum of new total amt" fld="16" baseField="0" baseItem="0"/>
    <dataField name="Sum of Sales" fld="9"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86E5692-C33C-4AC7-ADDD-69D0B8229868}" autoFormatId="16" applyNumberFormats="0" applyBorderFormats="0" applyFontFormats="0" applyPatternFormats="0" applyAlignmentFormats="0" applyWidthHeightFormats="0">
  <queryTableRefresh nextId="52">
    <queryTableFields count="38">
      <queryTableField id="1" name="Order_ID" tableColumnId="1"/>
      <queryTableField id="5" name="Customer_Name" tableColumnId="5"/>
      <queryTableField id="8" name="Customer_Segment" tableColumnId="8"/>
      <queryTableField id="9" name="Product_Name" tableColumnId="9"/>
      <queryTableField id="10" name="Brand" tableColumnId="10"/>
      <queryTableField id="11" name="Category" tableColumnId="11"/>
      <queryTableField id="12" name="Sub_Category" tableColumnId="12"/>
      <queryTableField id="13" name="Unit_Price" tableColumnId="13"/>
      <queryTableField id="45" dataBound="0" tableColumnId="2"/>
      <queryTableField id="14" name="Quantity" tableColumnId="14"/>
      <queryTableField id="15" name="Discount_Pct" tableColumnId="15"/>
      <queryTableField id="16" name="Discount_Amt" tableColumnId="16"/>
      <queryTableField id="17" name="Subtotal" tableColumnId="17"/>
      <queryTableField id="18" name="Tax_Pct" tableColumnId="18"/>
      <queryTableField id="19" name="Tax_Amt" tableColumnId="19"/>
      <queryTableField id="20" name="Shipping_Charge" tableColumnId="20"/>
      <queryTableField id="21" name="new total amt" tableColumnId="21"/>
      <queryTableField id="23" name="Payment_Method" tableColumnId="23"/>
      <queryTableField id="24" name="Shipping_Method" tableColumnId="24"/>
      <queryTableField id="25" name="Order_Status" tableColumnId="25"/>
      <queryTableField id="26" name="Sales_Channel" tableColumnId="26"/>
      <queryTableField id="27" name="Sales_Rep" tableColumnId="27"/>
      <queryTableField id="28" name="Sales_Rep_Region" tableColumnId="28"/>
      <queryTableField id="29" name="City" tableColumnId="29"/>
      <queryTableField id="30" name="State" tableColumnId="30"/>
      <queryTableField id="31" name="Region" tableColumnId="31"/>
      <queryTableField id="32" name="Pincode" tableColumnId="32"/>
      <queryTableField id="33" name="Coupon_Code" tableColumnId="33"/>
      <queryTableField id="34" name="Customer_Rating" tableColumnId="34"/>
      <queryTableField id="35" name="Return_Flag" tableColumnId="35"/>
      <queryTableField id="36" name="Return_Reason" tableColumnId="36"/>
      <queryTableField id="37" name="Warehouse_ID" tableColumnId="37"/>
      <queryTableField id="38" name="Delivery_Partner" tableColumnId="38"/>
      <queryTableField id="40" name="Custom" tableColumnId="3"/>
      <queryTableField id="41" name="Custom.1" tableColumnId="4"/>
      <queryTableField id="42" name="Custom.2" tableColumnId="39"/>
      <queryTableField id="43" name="Custom.3" tableColumnId="40"/>
      <queryTableField id="44" name="Custom.4" tableColumnId="41"/>
    </queryTableFields>
    <queryTableDeletedFields count="4">
      <deletedField name="Customer_Email"/>
      <deletedField name="Order_Date - Copy"/>
      <deletedField name="Order_Date - Copy"/>
      <deletedField name="Customer_Email"/>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7D65BF7C-A70E-4E86-8B16-98BCA6C3C40C}" sourceName="Order_Status">
  <pivotTables>
    <pivotTable tabId="7" name="Saleschannel"/>
    <pivotTable tabId="6" name="Category wise sales"/>
    <pivotTable tabId="6" name="sales channel sales"/>
    <pivotTable tabId="5" name="Month wise sales"/>
    <pivotTable tabId="11" name="Payment"/>
    <pivotTable tabId="12" name="Brand"/>
    <pivotTable tabId="12" name="region wise sales"/>
    <pivotTable tabId="5" name="Yearwise sales"/>
    <pivotTable tabId="8" name="KPIs1"/>
  </pivotTables>
  <data>
    <tabular pivotCacheId="1924532201">
      <items count="6">
        <i x="5" s="1"/>
        <i x="0" s="1"/>
        <i x="3"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72B731-7583-4769-B86D-E7691B3CF85B}" sourceName="Region">
  <pivotTables>
    <pivotTable tabId="6" name="Category wise sales"/>
    <pivotTable tabId="6" name="sales channel sales"/>
    <pivotTable tabId="5" name="Month wise sales"/>
    <pivotTable tabId="5" name="Yearwise sales"/>
    <pivotTable tabId="11" name="Payment"/>
    <pivotTable tabId="7" name="Saleschannel"/>
    <pivotTable tabId="12" name="Brand"/>
    <pivotTable tabId="12" name="region wise sales"/>
    <pivotTable tabId="8" name="KPIs1"/>
  </pivotTables>
  <data>
    <tabular pivotCacheId="1924532201">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249C552-56D1-4EAF-B85E-FE0907A5BAF7}" sourceName="Customer_Segment">
  <pivotTables>
    <pivotTable tabId="11" name="Payment"/>
    <pivotTable tabId="6" name="Category wise sales"/>
    <pivotTable tabId="6" name="sales channel sales"/>
    <pivotTable tabId="5" name="Month wise sales"/>
    <pivotTable tabId="5" name="Yearwise sales"/>
    <pivotTable tabId="7" name="Saleschannel"/>
    <pivotTable tabId="12" name="Brand"/>
    <pivotTable tabId="12" name="region wise sales"/>
    <pivotTable tabId="8" name="KPIs1"/>
  </pivotTables>
  <data>
    <tabular pivotCacheId="1924532201">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ping_Date" xr10:uid="{4E9BC420-8749-440E-B22C-B18A97005595}" sourceName="Years (Shipping_Date)">
  <pivotTables>
    <pivotTable tabId="6" name="Category wise sales"/>
    <pivotTable tabId="6" name="sales channel sales"/>
    <pivotTable tabId="5" name="Month wise sales"/>
    <pivotTable tabId="5" name="Yearwise sales"/>
    <pivotTable tabId="11" name="Payment"/>
    <pivotTable tabId="7" name="Saleschannel"/>
    <pivotTable tabId="12" name="Brand"/>
    <pivotTable tabId="12" name="region wise sales"/>
    <pivotTable tabId="8" name="KPIs1"/>
  </pivotTables>
  <data>
    <tabular pivotCacheId="1924532201">
      <items count="4">
        <i x="1" s="1"/>
        <i x="2" s="1"/>
        <i x="0"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0042E69-AFFA-444C-B2E4-793BAB834FBB}" sourceName="Category">
  <pivotTables>
    <pivotTable tabId="5" name="Month wise sales"/>
  </pivotTables>
  <data>
    <tabular pivotCacheId="1924532201">
      <items count="6">
        <i x="1" s="1"/>
        <i x="0" s="1"/>
        <i x="2" s="1"/>
        <i x="4"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5917AAC2-D089-4707-8994-7DACFBCD1417}" cache="Slicer_Order_Status" caption="Order_Status" rowHeight="241300"/>
  <slicer name="Region" xr10:uid="{7FFEB7E7-3D4D-4827-A0AE-CEBF893C1A4A}" cache="Slicer_Region" caption="Region" rowHeight="241300"/>
  <slicer name="Customer_Segment" xr10:uid="{979F4CEB-99C9-4B38-BBC5-87E6B0BC66A1}" cache="Slicer_Customer_Segment" caption="Customer_Segment" rowHeight="241300"/>
  <slicer name="Years (Shipping_Date) 1" xr10:uid="{1E859D5E-EC9A-4208-8CA0-55FA3EEE5DC1}" cache="Slicer_Years__Shipping_Date" caption="Years (Shipping_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10F91CC-F629-474E-9CE3-ADAD9E34D77C}"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8622C7-FC3A-4240-B450-C5D6881B154A}" name="Sales_Transactions_Raw" displayName="Sales_Transactions_Raw" ref="A1:AL1001" tableType="queryTable" totalsRowShown="0">
  <autoFilter ref="A1:AL1001" xr:uid="{F08622C7-FC3A-4240-B450-C5D6881B154A}"/>
  <tableColumns count="38">
    <tableColumn id="1" xr3:uid="{03144E21-1114-4B82-B4BE-5DA5F15E94FE}" uniqueName="1" name="Order_ID" queryTableFieldId="1"/>
    <tableColumn id="5" xr3:uid="{361C81EE-1086-4B85-BBAF-689F9BC45344}" uniqueName="5" name="Customer_Name" queryTableFieldId="5" dataDxfId="21"/>
    <tableColumn id="8" xr3:uid="{0F53E100-64D8-461E-9A47-07F1BB77591C}" uniqueName="8" name="Customer_Segment" queryTableFieldId="8" dataDxfId="20"/>
    <tableColumn id="9" xr3:uid="{0EDD8CD5-49D4-4AF5-8FCA-F50AF34B4A2C}" uniqueName="9" name="Product_Name" queryTableFieldId="9" dataDxfId="19"/>
    <tableColumn id="10" xr3:uid="{1080D7FD-1F84-4A18-A4A9-9B631783317E}" uniqueName="10" name="Brand" queryTableFieldId="10" dataDxfId="18"/>
    <tableColumn id="11" xr3:uid="{18E7FE11-F0A7-4A58-9B7E-CB5383C9882A}" uniqueName="11" name="Category" queryTableFieldId="11" dataDxfId="17"/>
    <tableColumn id="12" xr3:uid="{6D163B5B-8EAB-4E11-93A5-16967C7CDC10}" uniqueName="12" name="Sub_Category" queryTableFieldId="12" dataDxfId="16"/>
    <tableColumn id="13" xr3:uid="{821B88F0-2783-4879-9527-F65E8152CDB0}" uniqueName="13" name="Unit_Price" queryTableFieldId="13"/>
    <tableColumn id="2" xr3:uid="{541E64F2-127D-4D16-B483-F2F225D88027}" uniqueName="2" name="Sales" queryTableFieldId="45" dataDxfId="15">
      <calculatedColumnFormula>Sales_Transactions_Raw[[#This Row],[Unit_Price]]*Sales_Transactions_Raw[[#This Row],[Quantity]]</calculatedColumnFormula>
    </tableColumn>
    <tableColumn id="14" xr3:uid="{31B905E3-FA7A-458C-B9DD-B4E66694510D}" uniqueName="14" name="Quantity" queryTableFieldId="14"/>
    <tableColumn id="15" xr3:uid="{353F0A90-5C14-45F2-A118-9DCE29382D87}" uniqueName="15" name="Discount_Pct" queryTableFieldId="15"/>
    <tableColumn id="16" xr3:uid="{196C7075-FF55-4945-AF50-0412F9C8CB1B}" uniqueName="16" name="Discount_Amt" queryTableFieldId="16"/>
    <tableColumn id="17" xr3:uid="{29EB48E3-AE27-415F-BCEE-B23F8809D299}" uniqueName="17" name="Subtotal" queryTableFieldId="17"/>
    <tableColumn id="18" xr3:uid="{1B16D599-72D2-4670-BD5E-EE07B6060367}" uniqueName="18" name="Tax_Pct" queryTableFieldId="18"/>
    <tableColumn id="19" xr3:uid="{06FDAF31-CAAD-44FB-B5F5-800B9A9C763F}" uniqueName="19" name="Tax_Amt" queryTableFieldId="19"/>
    <tableColumn id="20" xr3:uid="{D509EFF6-474E-4B27-A9E0-5F1CD25E29B7}" uniqueName="20" name="Shipping_Charge" queryTableFieldId="20"/>
    <tableColumn id="21" xr3:uid="{D36CB021-1FD2-496C-91FB-EFD6CE3DE558}" uniqueName="21" name="new total amt" queryTableFieldId="21"/>
    <tableColumn id="23" xr3:uid="{17763370-DFF2-4B80-BA63-B6CF81945D7E}" uniqueName="23" name="Payment_Method" queryTableFieldId="23" dataDxfId="14"/>
    <tableColumn id="24" xr3:uid="{7E4567CD-9486-4A53-AE9F-C6021E0D740B}" uniqueName="24" name="Shipping_Method" queryTableFieldId="24" dataDxfId="13"/>
    <tableColumn id="25" xr3:uid="{C848B9E2-944F-4598-9FCD-8410A204C059}" uniqueName="25" name="Order_Status" queryTableFieldId="25" dataDxfId="12"/>
    <tableColumn id="26" xr3:uid="{17D8336B-2795-46E3-BB67-0AAF7D18253E}" uniqueName="26" name="Sales_Channel" queryTableFieldId="26" dataDxfId="11"/>
    <tableColumn id="27" xr3:uid="{3DE40DC5-4B7E-4AFE-86FD-5AF95D65F454}" uniqueName="27" name="Sales_Rep" queryTableFieldId="27" dataDxfId="10"/>
    <tableColumn id="28" xr3:uid="{1E8D26E2-C48C-4B3C-9117-47E137D8EEDE}" uniqueName="28" name="Sales_Rep_Region" queryTableFieldId="28" dataDxfId="9"/>
    <tableColumn id="29" xr3:uid="{C2BC8CBC-5793-4E0C-8C72-9E175ACE41A5}" uniqueName="29" name="City" queryTableFieldId="29" dataDxfId="8"/>
    <tableColumn id="30" xr3:uid="{F7F95CFF-FB34-4910-8E9F-F299E3E74DAB}" uniqueName="30" name="State" queryTableFieldId="30" dataDxfId="7"/>
    <tableColumn id="31" xr3:uid="{27CE3A10-BADA-423C-A964-4F54BC3B4F3A}" uniqueName="31" name="Region" queryTableFieldId="31" dataDxfId="6"/>
    <tableColumn id="32" xr3:uid="{7D4F2DD2-38B4-4639-84B3-AFA14D633339}" uniqueName="32" name="Pincode" queryTableFieldId="32"/>
    <tableColumn id="33" xr3:uid="{9395AF01-FE5E-45DF-AC15-5719A34E54AC}" uniqueName="33" name="Coupon_Code" queryTableFieldId="33" dataDxfId="5"/>
    <tableColumn id="34" xr3:uid="{A5FE8854-C060-44F0-A5D9-752FD95CE29A}" uniqueName="34" name="Customer_Rating" queryTableFieldId="34"/>
    <tableColumn id="35" xr3:uid="{4B876D6D-16AD-4D80-B556-DC32641BCDDD}" uniqueName="35" name="Return_Flag" queryTableFieldId="35"/>
    <tableColumn id="36" xr3:uid="{744E6739-0E62-4827-955C-57AA10D783C7}" uniqueName="36" name="Return_Reason" queryTableFieldId="36" dataDxfId="4"/>
    <tableColumn id="37" xr3:uid="{BACC4EE1-B8A3-40B0-8EF4-BC58410E0668}" uniqueName="37" name="Warehouse_ID" queryTableFieldId="37"/>
    <tableColumn id="38" xr3:uid="{96EF0CB5-1E22-4C68-9DC0-FEEF69CB39A1}" uniqueName="38" name="Delivery_Partner" queryTableFieldId="38" dataDxfId="3"/>
    <tableColumn id="3" xr3:uid="{57F8A98F-6BE8-4BC2-AF75-64AE8A7EEFC9}" uniqueName="3" name="Order Date" queryTableFieldId="40" dataDxfId="2"/>
    <tableColumn id="4" xr3:uid="{DF09EB3D-DA6E-4B95-B4DD-543019AB6EE4}" uniqueName="4" name="Shipping Date" queryTableFieldId="41" dataDxfId="1"/>
    <tableColumn id="39" xr3:uid="{950A69C9-DDCC-4386-85EE-48B73641C999}" uniqueName="39" name="Delivery Date" queryTableFieldId="42" dataDxfId="0"/>
    <tableColumn id="40" xr3:uid="{7A2F56B5-70FC-457C-86BB-9B076AE8BE4F}" uniqueName="40" name="Email" queryTableFieldId="43"/>
    <tableColumn id="41" xr3:uid="{8A70DB6D-2DDD-4E2D-9020-53FA61FD4F59}" uniqueName="41" name="Mobile no" queryTableFieldId="4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CDA9C-0BC3-4B19-B73B-28416E2EA874}">
  <sheetPr>
    <tabColor rgb="FFC00000"/>
  </sheetPr>
  <dimension ref="A1"/>
  <sheetViews>
    <sheetView showGridLines="0" showRowColHeaders="0" tabSelected="1" zoomScale="82" zoomScaleNormal="82" workbookViewId="0">
      <selection activeCell="W5" sqref="W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E48E6-FF0C-4424-8BDF-3311EBD42137}">
  <sheetPr>
    <tabColor theme="1" tint="0.14999847407452621"/>
  </sheetPr>
  <dimension ref="D1:J16"/>
  <sheetViews>
    <sheetView workbookViewId="0">
      <selection activeCell="M11" sqref="M11"/>
    </sheetView>
  </sheetViews>
  <sheetFormatPr defaultRowHeight="14.5" x14ac:dyDescent="0.35"/>
  <cols>
    <col min="1" max="1" width="23.81640625" customWidth="1"/>
    <col min="10" max="10" width="4.453125" customWidth="1"/>
  </cols>
  <sheetData>
    <row r="1" spans="4:10" ht="18.5" x14ac:dyDescent="0.45">
      <c r="E1" s="7" t="s">
        <v>3769</v>
      </c>
      <c r="F1" s="6"/>
      <c r="G1" s="6"/>
      <c r="H1" s="6"/>
      <c r="I1" s="6"/>
      <c r="J1" s="6"/>
    </row>
    <row r="3" spans="4:10" ht="15.5" x14ac:dyDescent="0.35">
      <c r="D3" s="8" t="s">
        <v>3770</v>
      </c>
      <c r="E3" s="8"/>
    </row>
    <row r="4" spans="4:10" x14ac:dyDescent="0.35">
      <c r="D4" t="s">
        <v>3780</v>
      </c>
    </row>
    <row r="5" spans="4:10" ht="15.5" x14ac:dyDescent="0.35">
      <c r="D5" s="8" t="s">
        <v>3771</v>
      </c>
    </row>
    <row r="6" spans="4:10" x14ac:dyDescent="0.35">
      <c r="D6" t="s">
        <v>3781</v>
      </c>
    </row>
    <row r="7" spans="4:10" ht="15.5" x14ac:dyDescent="0.35">
      <c r="D7" s="8" t="s">
        <v>3772</v>
      </c>
    </row>
    <row r="8" spans="4:10" x14ac:dyDescent="0.35">
      <c r="D8" t="s">
        <v>3782</v>
      </c>
    </row>
    <row r="9" spans="4:10" ht="15.5" x14ac:dyDescent="0.35">
      <c r="D9" s="8" t="s">
        <v>3773</v>
      </c>
    </row>
    <row r="10" spans="4:10" x14ac:dyDescent="0.35">
      <c r="D10" t="s">
        <v>3783</v>
      </c>
    </row>
    <row r="11" spans="4:10" ht="15.5" x14ac:dyDescent="0.35">
      <c r="D11" s="8" t="s">
        <v>3774</v>
      </c>
    </row>
    <row r="12" spans="4:10" x14ac:dyDescent="0.35">
      <c r="D12" t="s">
        <v>3775</v>
      </c>
    </row>
    <row r="13" spans="4:10" ht="15.5" x14ac:dyDescent="0.35">
      <c r="D13" s="8" t="s">
        <v>3776</v>
      </c>
    </row>
    <row r="14" spans="4:10" x14ac:dyDescent="0.35">
      <c r="D14" t="s">
        <v>3777</v>
      </c>
    </row>
    <row r="15" spans="4:10" ht="15.5" x14ac:dyDescent="0.35">
      <c r="D15" s="8" t="s">
        <v>3778</v>
      </c>
    </row>
    <row r="16" spans="4:10" x14ac:dyDescent="0.35">
      <c r="D16" t="s">
        <v>3779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7472-CCD2-4907-B3CF-FBE807858A98}">
  <sheetPr>
    <tabColor rgb="FF00B0F0"/>
  </sheetPr>
  <dimension ref="A2:G4"/>
  <sheetViews>
    <sheetView workbookViewId="0">
      <selection activeCell="E10" sqref="E10"/>
    </sheetView>
  </sheetViews>
  <sheetFormatPr defaultRowHeight="14.5" x14ac:dyDescent="0.35"/>
  <cols>
    <col min="1" max="1" width="11.81640625" bestFit="1" customWidth="1"/>
    <col min="2" max="2" width="19.1796875" bestFit="1" customWidth="1"/>
    <col min="3" max="3" width="11.90625" bestFit="1" customWidth="1"/>
    <col min="4" max="4" width="16.36328125" bestFit="1" customWidth="1"/>
    <col min="5" max="5" width="14.54296875" bestFit="1" customWidth="1"/>
    <col min="6" max="6" width="16" bestFit="1" customWidth="1"/>
    <col min="7" max="7" width="16.453125" bestFit="1" customWidth="1"/>
  </cols>
  <sheetData>
    <row r="2" spans="1:7" x14ac:dyDescent="0.35">
      <c r="A2" t="s">
        <v>3789</v>
      </c>
      <c r="B2" t="s">
        <v>3767</v>
      </c>
      <c r="C2" t="s">
        <v>3788</v>
      </c>
      <c r="D2" t="s">
        <v>3765</v>
      </c>
      <c r="E2" t="s">
        <v>3766</v>
      </c>
    </row>
    <row r="3" spans="1:7" x14ac:dyDescent="0.35">
      <c r="A3">
        <v>103626320.70393375</v>
      </c>
      <c r="B3">
        <v>7731562.5</v>
      </c>
      <c r="C3">
        <v>107962277.35000002</v>
      </c>
      <c r="D3">
        <v>1000</v>
      </c>
      <c r="E3">
        <v>3420</v>
      </c>
      <c r="G3" t="s">
        <v>3784</v>
      </c>
    </row>
    <row r="4" spans="1:7" x14ac:dyDescent="0.35">
      <c r="G4">
        <f>COUNTA(_xlfn.UNIQUE(Sales_Transactions_Raw[Order_ID]))</f>
        <v>963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CC31F-100E-44D9-AF92-E5FBA64D2149}">
  <sheetPr>
    <tabColor rgb="FFFFC000"/>
  </sheetPr>
  <dimension ref="A3:E16"/>
  <sheetViews>
    <sheetView workbookViewId="0">
      <selection activeCell="E3" sqref="E3"/>
    </sheetView>
  </sheetViews>
  <sheetFormatPr defaultRowHeight="14.5" x14ac:dyDescent="0.35"/>
  <cols>
    <col min="1" max="1" width="12.36328125" bestFit="1" customWidth="1"/>
    <col min="2" max="2" width="11.81640625" bestFit="1" customWidth="1"/>
    <col min="4" max="4" width="12.36328125" bestFit="1" customWidth="1"/>
    <col min="5" max="5" width="11.81640625" bestFit="1" customWidth="1"/>
  </cols>
  <sheetData>
    <row r="3" spans="1:5" x14ac:dyDescent="0.35">
      <c r="A3" s="3" t="s">
        <v>3755</v>
      </c>
      <c r="B3" t="s">
        <v>3754</v>
      </c>
      <c r="D3" s="3" t="s">
        <v>3755</v>
      </c>
      <c r="E3" t="s">
        <v>3754</v>
      </c>
    </row>
    <row r="4" spans="1:5" x14ac:dyDescent="0.35">
      <c r="A4" s="4" t="s">
        <v>3757</v>
      </c>
      <c r="B4">
        <v>69190780.041407883</v>
      </c>
      <c r="D4" s="4" t="s">
        <v>3759</v>
      </c>
      <c r="E4">
        <v>10298992.629399585</v>
      </c>
    </row>
    <row r="5" spans="1:5" x14ac:dyDescent="0.35">
      <c r="A5" s="4" t="s">
        <v>3758</v>
      </c>
      <c r="B5">
        <v>34435540.662525877</v>
      </c>
      <c r="D5" s="4" t="s">
        <v>3790</v>
      </c>
      <c r="E5">
        <v>11143708.944099378</v>
      </c>
    </row>
    <row r="6" spans="1:5" x14ac:dyDescent="0.35">
      <c r="A6" s="4" t="s">
        <v>3756</v>
      </c>
      <c r="B6">
        <v>103626320.70393376</v>
      </c>
      <c r="D6" s="4" t="s">
        <v>3760</v>
      </c>
      <c r="E6">
        <v>11291453.540372672</v>
      </c>
    </row>
    <row r="7" spans="1:5" x14ac:dyDescent="0.35">
      <c r="D7" s="4" t="s">
        <v>3791</v>
      </c>
      <c r="E7">
        <v>11107004.161490684</v>
      </c>
    </row>
    <row r="8" spans="1:5" x14ac:dyDescent="0.35">
      <c r="D8" s="4" t="s">
        <v>3792</v>
      </c>
      <c r="E8">
        <v>9255504.1614906825</v>
      </c>
    </row>
    <row r="9" spans="1:5" x14ac:dyDescent="0.35">
      <c r="D9" s="4" t="s">
        <v>3793</v>
      </c>
      <c r="E9">
        <v>10515882.008281574</v>
      </c>
    </row>
    <row r="10" spans="1:5" x14ac:dyDescent="0.35">
      <c r="D10" s="4" t="s">
        <v>3794</v>
      </c>
      <c r="E10">
        <v>6847649.233954451</v>
      </c>
    </row>
    <row r="11" spans="1:5" x14ac:dyDescent="0.35">
      <c r="D11" s="4" t="s">
        <v>3761</v>
      </c>
      <c r="E11">
        <v>5898620</v>
      </c>
    </row>
    <row r="12" spans="1:5" x14ac:dyDescent="0.35">
      <c r="D12" s="4" t="s">
        <v>3762</v>
      </c>
      <c r="E12">
        <v>7374140</v>
      </c>
    </row>
    <row r="13" spans="1:5" x14ac:dyDescent="0.35">
      <c r="D13" s="4" t="s">
        <v>3763</v>
      </c>
      <c r="E13">
        <v>7807125.6935817804</v>
      </c>
    </row>
    <row r="14" spans="1:5" x14ac:dyDescent="0.35">
      <c r="D14" s="4" t="s">
        <v>3795</v>
      </c>
      <c r="E14">
        <v>5590691.0973084886</v>
      </c>
    </row>
    <row r="15" spans="1:5" x14ac:dyDescent="0.35">
      <c r="D15" s="4" t="s">
        <v>3796</v>
      </c>
      <c r="E15">
        <v>6495549.233954451</v>
      </c>
    </row>
    <row r="16" spans="1:5" x14ac:dyDescent="0.35">
      <c r="D16" s="4" t="s">
        <v>3756</v>
      </c>
      <c r="E16">
        <v>103626320.70393373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BD2B0-2C77-4A3E-8D35-8286412DEA66}">
  <sheetPr>
    <tabColor rgb="FF00B050"/>
  </sheetPr>
  <dimension ref="A3:E10"/>
  <sheetViews>
    <sheetView workbookViewId="0">
      <selection activeCell="W5" sqref="W5"/>
    </sheetView>
  </sheetViews>
  <sheetFormatPr defaultRowHeight="14.5" x14ac:dyDescent="0.35"/>
  <cols>
    <col min="1" max="1" width="12.36328125" bestFit="1" customWidth="1"/>
    <col min="2" max="2" width="11.81640625" bestFit="1" customWidth="1"/>
    <col min="4" max="4" width="12.36328125" bestFit="1" customWidth="1"/>
    <col min="5" max="5" width="11.81640625" bestFit="1" customWidth="1"/>
  </cols>
  <sheetData>
    <row r="3" spans="1:5" x14ac:dyDescent="0.35">
      <c r="A3" s="3" t="s">
        <v>3755</v>
      </c>
      <c r="B3" t="s">
        <v>3754</v>
      </c>
      <c r="D3" s="3" t="s">
        <v>3755</v>
      </c>
      <c r="E3" t="s">
        <v>3754</v>
      </c>
    </row>
    <row r="4" spans="1:5" x14ac:dyDescent="0.35">
      <c r="A4" s="4" t="s">
        <v>196</v>
      </c>
      <c r="B4">
        <v>23551653.10559006</v>
      </c>
      <c r="D4" s="4" t="s">
        <v>134</v>
      </c>
      <c r="E4">
        <v>18429353.105590064</v>
      </c>
    </row>
    <row r="5" spans="1:5" x14ac:dyDescent="0.35">
      <c r="A5" s="4" t="s">
        <v>108</v>
      </c>
      <c r="B5">
        <v>24213524.782608695</v>
      </c>
      <c r="D5" s="4" t="s">
        <v>46</v>
      </c>
      <c r="E5">
        <v>70886288.322981358</v>
      </c>
    </row>
    <row r="6" spans="1:5" x14ac:dyDescent="0.35">
      <c r="A6" s="4" t="s">
        <v>50</v>
      </c>
      <c r="B6">
        <v>21622199.089026917</v>
      </c>
      <c r="D6" s="4" t="s">
        <v>146</v>
      </c>
      <c r="E6">
        <v>5458683.8716356102</v>
      </c>
    </row>
    <row r="7" spans="1:5" x14ac:dyDescent="0.35">
      <c r="A7" s="4" t="s">
        <v>161</v>
      </c>
      <c r="B7">
        <v>19122325.403726708</v>
      </c>
      <c r="D7" s="4" t="s">
        <v>211</v>
      </c>
      <c r="E7">
        <v>8225687.7018633531</v>
      </c>
    </row>
    <row r="8" spans="1:5" x14ac:dyDescent="0.35">
      <c r="A8" s="4" t="s">
        <v>214</v>
      </c>
      <c r="B8">
        <v>15116618.322981367</v>
      </c>
      <c r="D8" s="4" t="s">
        <v>285</v>
      </c>
      <c r="E8">
        <v>412804.16149068321</v>
      </c>
    </row>
    <row r="9" spans="1:5" x14ac:dyDescent="0.35">
      <c r="A9" s="4" t="s">
        <v>3756</v>
      </c>
      <c r="B9">
        <v>103626320.70393376</v>
      </c>
      <c r="D9" s="4" t="s">
        <v>185</v>
      </c>
      <c r="E9">
        <v>213503.5403726708</v>
      </c>
    </row>
    <row r="10" spans="1:5" x14ac:dyDescent="0.35">
      <c r="D10" s="4" t="s">
        <v>3756</v>
      </c>
      <c r="E10">
        <v>103626320.70393373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461C7-B6F2-44FC-A03A-B4A2E6DC44C2}">
  <sheetPr>
    <tabColor rgb="FFFFFF00"/>
  </sheetPr>
  <dimension ref="A3:B9"/>
  <sheetViews>
    <sheetView workbookViewId="0">
      <selection activeCell="V1" sqref="V1"/>
    </sheetView>
  </sheetViews>
  <sheetFormatPr defaultRowHeight="14.5" x14ac:dyDescent="0.35"/>
  <cols>
    <col min="1" max="1" width="12.36328125" bestFit="1" customWidth="1"/>
    <col min="2" max="2" width="11.81640625" bestFit="1" customWidth="1"/>
  </cols>
  <sheetData>
    <row r="3" spans="1:2" x14ac:dyDescent="0.35">
      <c r="A3" s="3" t="s">
        <v>3755</v>
      </c>
      <c r="B3" t="s">
        <v>3754</v>
      </c>
    </row>
    <row r="4" spans="1:2" x14ac:dyDescent="0.35">
      <c r="A4" s="4" t="s">
        <v>196</v>
      </c>
      <c r="B4">
        <v>23551653.10559006</v>
      </c>
    </row>
    <row r="5" spans="1:2" x14ac:dyDescent="0.35">
      <c r="A5" s="4" t="s">
        <v>108</v>
      </c>
      <c r="B5">
        <v>24213524.782608695</v>
      </c>
    </row>
    <row r="6" spans="1:2" x14ac:dyDescent="0.35">
      <c r="A6" s="4" t="s">
        <v>50</v>
      </c>
      <c r="B6">
        <v>21622199.089026917</v>
      </c>
    </row>
    <row r="7" spans="1:2" x14ac:dyDescent="0.35">
      <c r="A7" s="4" t="s">
        <v>161</v>
      </c>
      <c r="B7">
        <v>19122325.403726708</v>
      </c>
    </row>
    <row r="8" spans="1:2" x14ac:dyDescent="0.35">
      <c r="A8" s="4" t="s">
        <v>214</v>
      </c>
      <c r="B8">
        <v>15116618.322981367</v>
      </c>
    </row>
    <row r="9" spans="1:2" x14ac:dyDescent="0.35">
      <c r="A9" s="4" t="s">
        <v>3756</v>
      </c>
      <c r="B9">
        <v>103626320.70393376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A3E68-AC7B-4256-B827-47BA917FFE54}">
  <sheetPr>
    <tabColor rgb="FF002060"/>
  </sheetPr>
  <dimension ref="A3:B11"/>
  <sheetViews>
    <sheetView workbookViewId="0">
      <selection activeCell="I14" sqref="I14"/>
    </sheetView>
  </sheetViews>
  <sheetFormatPr defaultRowHeight="14.5" x14ac:dyDescent="0.35"/>
  <cols>
    <col min="1" max="1" width="15" bestFit="1" customWidth="1"/>
    <col min="2" max="2" width="22.90625" bestFit="1" customWidth="1"/>
  </cols>
  <sheetData>
    <row r="3" spans="1:2" x14ac:dyDescent="0.35">
      <c r="A3" s="3" t="s">
        <v>3755</v>
      </c>
      <c r="B3" t="s">
        <v>3764</v>
      </c>
    </row>
    <row r="4" spans="1:2" x14ac:dyDescent="0.35">
      <c r="A4" s="4" t="s">
        <v>160</v>
      </c>
      <c r="B4">
        <v>122</v>
      </c>
    </row>
    <row r="5" spans="1:2" x14ac:dyDescent="0.35">
      <c r="A5" s="4" t="s">
        <v>79</v>
      </c>
      <c r="B5">
        <v>147</v>
      </c>
    </row>
    <row r="6" spans="1:2" x14ac:dyDescent="0.35">
      <c r="A6" s="4" t="s">
        <v>48</v>
      </c>
      <c r="B6">
        <v>156</v>
      </c>
    </row>
    <row r="7" spans="1:2" x14ac:dyDescent="0.35">
      <c r="A7" s="4" t="s">
        <v>64</v>
      </c>
      <c r="B7">
        <v>140</v>
      </c>
    </row>
    <row r="8" spans="1:2" x14ac:dyDescent="0.35">
      <c r="A8" s="4" t="s">
        <v>124</v>
      </c>
      <c r="B8">
        <v>151</v>
      </c>
    </row>
    <row r="9" spans="1:2" x14ac:dyDescent="0.35">
      <c r="A9" s="4" t="s">
        <v>92</v>
      </c>
      <c r="B9">
        <v>151</v>
      </c>
    </row>
    <row r="10" spans="1:2" x14ac:dyDescent="0.35">
      <c r="A10" s="4" t="s">
        <v>106</v>
      </c>
      <c r="B10">
        <v>133</v>
      </c>
    </row>
    <row r="11" spans="1:2" x14ac:dyDescent="0.35">
      <c r="A11" s="4" t="s">
        <v>3756</v>
      </c>
      <c r="B11">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3489C-2A5F-4CA6-8A3B-83DA2120DD63}">
  <sheetPr>
    <tabColor rgb="FF7030A0"/>
  </sheetPr>
  <dimension ref="A3:F9"/>
  <sheetViews>
    <sheetView workbookViewId="0">
      <selection activeCell="E3" sqref="E3"/>
    </sheetView>
  </sheetViews>
  <sheetFormatPr defaultRowHeight="14.5" x14ac:dyDescent="0.35"/>
  <cols>
    <col min="1" max="1" width="12.36328125" bestFit="1" customWidth="1"/>
    <col min="2" max="2" width="19.08984375" bestFit="1" customWidth="1"/>
    <col min="3" max="3" width="11.81640625" bestFit="1" customWidth="1"/>
    <col min="5" max="5" width="12.36328125" bestFit="1" customWidth="1"/>
    <col min="6" max="6" width="11.81640625" bestFit="1" customWidth="1"/>
  </cols>
  <sheetData>
    <row r="3" spans="1:6" x14ac:dyDescent="0.35">
      <c r="A3" s="3" t="s">
        <v>3755</v>
      </c>
      <c r="B3" t="s">
        <v>3768</v>
      </c>
      <c r="C3" t="s">
        <v>3754</v>
      </c>
      <c r="E3" s="3" t="s">
        <v>3755</v>
      </c>
      <c r="F3" s="5" t="s">
        <v>3754</v>
      </c>
    </row>
    <row r="4" spans="1:6" x14ac:dyDescent="0.35">
      <c r="A4" s="4" t="s">
        <v>68</v>
      </c>
      <c r="B4">
        <v>6887695.9999999991</v>
      </c>
      <c r="C4">
        <v>6701564.0165631464</v>
      </c>
      <c r="E4" s="4" t="s">
        <v>231</v>
      </c>
      <c r="F4" s="5">
        <v>15368920</v>
      </c>
    </row>
    <row r="5" spans="1:6" x14ac:dyDescent="0.35">
      <c r="A5" s="4" t="s">
        <v>52</v>
      </c>
      <c r="B5">
        <v>22416405.75</v>
      </c>
      <c r="C5">
        <v>21118017.701863356</v>
      </c>
      <c r="E5" s="4" t="s">
        <v>346</v>
      </c>
      <c r="F5" s="5">
        <v>9587010</v>
      </c>
    </row>
    <row r="6" spans="1:6" x14ac:dyDescent="0.35">
      <c r="A6" s="4" t="s">
        <v>70</v>
      </c>
      <c r="B6">
        <v>23429363.769999996</v>
      </c>
      <c r="C6">
        <v>22514736.935817804</v>
      </c>
      <c r="E6" s="4" t="s">
        <v>450</v>
      </c>
      <c r="F6" s="5">
        <v>6565227.0807453413</v>
      </c>
    </row>
    <row r="7" spans="1:6" x14ac:dyDescent="0.35">
      <c r="A7" s="4" t="s">
        <v>95</v>
      </c>
      <c r="B7">
        <v>35153104.409999996</v>
      </c>
      <c r="C7">
        <v>33997513.726708069</v>
      </c>
      <c r="E7" s="4" t="s">
        <v>91</v>
      </c>
      <c r="F7" s="5">
        <v>15270569.233954452</v>
      </c>
    </row>
    <row r="8" spans="1:6" x14ac:dyDescent="0.35">
      <c r="A8" s="4" t="s">
        <v>81</v>
      </c>
      <c r="B8">
        <v>20075707.420000006</v>
      </c>
      <c r="C8">
        <v>19294488.322981365</v>
      </c>
      <c r="E8" s="4" t="s">
        <v>77</v>
      </c>
      <c r="F8" s="5">
        <v>6634987.8467908902</v>
      </c>
    </row>
    <row r="9" spans="1:6" x14ac:dyDescent="0.35">
      <c r="A9" s="4" t="s">
        <v>3756</v>
      </c>
      <c r="B9">
        <v>107962277.34999999</v>
      </c>
      <c r="C9">
        <v>103626320.70393375</v>
      </c>
      <c r="E9" s="4" t="s">
        <v>3756</v>
      </c>
      <c r="F9">
        <v>53426714.161490679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7DB51-3B76-4225-A5BC-D9A6AC8B578B}">
  <dimension ref="A1:AL1001"/>
  <sheetViews>
    <sheetView topLeftCell="A2" workbookViewId="0">
      <selection activeCell="D11" sqref="A2:AL1001"/>
    </sheetView>
  </sheetViews>
  <sheetFormatPr defaultRowHeight="14.5" x14ac:dyDescent="0.35"/>
  <cols>
    <col min="1" max="1" width="12.1796875" bestFit="1" customWidth="1"/>
    <col min="2" max="2" width="25.54296875" bestFit="1" customWidth="1"/>
    <col min="3" max="3" width="19.7265625" bestFit="1" customWidth="1"/>
    <col min="4" max="4" width="20.08984375" bestFit="1" customWidth="1"/>
    <col min="5" max="5" width="12.26953125" bestFit="1" customWidth="1"/>
    <col min="6" max="6" width="10.54296875" bestFit="1" customWidth="1"/>
    <col min="7" max="7" width="16.54296875" bestFit="1" customWidth="1"/>
    <col min="8" max="9" width="11.81640625" bestFit="1" customWidth="1"/>
    <col min="10" max="10" width="10.453125" bestFit="1" customWidth="1"/>
    <col min="11" max="11" width="14.08984375" bestFit="1" customWidth="1"/>
    <col min="12" max="12" width="15" bestFit="1" customWidth="1"/>
    <col min="13" max="13" width="10.1796875" bestFit="1" customWidth="1"/>
    <col min="14" max="14" width="9.6328125" bestFit="1" customWidth="1"/>
    <col min="15" max="15" width="10.54296875" bestFit="1" customWidth="1"/>
    <col min="16" max="16" width="17.08984375" bestFit="1" customWidth="1"/>
    <col min="17" max="17" width="14.90625" bestFit="1" customWidth="1"/>
    <col min="18" max="18" width="18.36328125" bestFit="1" customWidth="1"/>
    <col min="19" max="19" width="18" bestFit="1" customWidth="1"/>
    <col min="20" max="20" width="14.26953125" bestFit="1" customWidth="1"/>
    <col min="21" max="21" width="15.1796875" bestFit="1" customWidth="1"/>
    <col min="22" max="22" width="12.6328125" bestFit="1" customWidth="1"/>
    <col min="23" max="23" width="18.1796875" bestFit="1" customWidth="1"/>
    <col min="24" max="24" width="18.7265625" bestFit="1" customWidth="1"/>
    <col min="25" max="25" width="14.90625" bestFit="1" customWidth="1"/>
    <col min="26" max="26" width="8.7265625" bestFit="1" customWidth="1"/>
    <col min="27" max="27" width="9.7265625" bestFit="1" customWidth="1"/>
    <col min="28" max="28" width="14.90625" bestFit="1" customWidth="1"/>
    <col min="29" max="29" width="17.6328125" bestFit="1" customWidth="1"/>
    <col min="30" max="30" width="13.08984375" bestFit="1" customWidth="1"/>
    <col min="31" max="31" width="16" bestFit="1" customWidth="1"/>
    <col min="32" max="32" width="15.6328125" bestFit="1" customWidth="1"/>
    <col min="33" max="33" width="17.26953125" bestFit="1" customWidth="1"/>
    <col min="34" max="34" width="16.1796875" customWidth="1"/>
    <col min="35" max="35" width="16.453125" customWidth="1"/>
    <col min="36" max="36" width="11.08984375" bestFit="1" customWidth="1"/>
    <col min="37" max="37" width="36.81640625" bestFit="1" customWidth="1"/>
    <col min="38" max="38" width="11.81640625" bestFit="1" customWidth="1"/>
    <col min="39" max="39" width="16" bestFit="1" customWidth="1"/>
    <col min="40" max="40" width="15.6328125" bestFit="1" customWidth="1"/>
    <col min="41" max="41" width="17.26953125" bestFit="1" customWidth="1"/>
  </cols>
  <sheetData>
    <row r="1" spans="1:38" x14ac:dyDescent="0.35">
      <c r="A1" t="s">
        <v>8</v>
      </c>
      <c r="B1" t="s">
        <v>9</v>
      </c>
      <c r="C1" t="s">
        <v>10</v>
      </c>
      <c r="D1" t="s">
        <v>11</v>
      </c>
      <c r="E1" t="s">
        <v>12</v>
      </c>
      <c r="F1" t="s">
        <v>13</v>
      </c>
      <c r="G1" t="s">
        <v>14</v>
      </c>
      <c r="H1" t="s">
        <v>15</v>
      </c>
      <c r="I1" t="s">
        <v>3753</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3785</v>
      </c>
      <c r="AI1" t="s">
        <v>3786</v>
      </c>
      <c r="AJ1" t="s">
        <v>3787</v>
      </c>
      <c r="AK1" t="s">
        <v>3752</v>
      </c>
      <c r="AL1" t="s">
        <v>3751</v>
      </c>
    </row>
    <row r="2" spans="1:38" x14ac:dyDescent="0.35">
      <c r="A2" t="s">
        <v>40</v>
      </c>
      <c r="B2" t="s">
        <v>41</v>
      </c>
      <c r="C2" t="s">
        <v>43</v>
      </c>
      <c r="D2" t="s">
        <v>44</v>
      </c>
      <c r="E2" t="s">
        <v>45</v>
      </c>
      <c r="F2" t="s">
        <v>46</v>
      </c>
      <c r="G2" t="s">
        <v>47</v>
      </c>
      <c r="H2">
        <v>11670</v>
      </c>
      <c r="I2">
        <f>Sales_Transactions_Raw[[#This Row],[Unit_Price]]*Sales_Transactions_Raw[[#This Row],[Quantity]]</f>
        <v>81690</v>
      </c>
      <c r="J2">
        <v>7</v>
      </c>
      <c r="K2">
        <v>5</v>
      </c>
      <c r="L2">
        <v>4084.5</v>
      </c>
      <c r="M2">
        <v>77605.5</v>
      </c>
      <c r="N2">
        <v>18</v>
      </c>
      <c r="O2">
        <v>13968.99</v>
      </c>
      <c r="P2">
        <v>0</v>
      </c>
      <c r="Q2">
        <v>91574.49</v>
      </c>
      <c r="R2" t="s">
        <v>48</v>
      </c>
      <c r="S2" t="s">
        <v>49</v>
      </c>
      <c r="T2" t="s">
        <v>115</v>
      </c>
      <c r="U2" t="s">
        <v>50</v>
      </c>
      <c r="V2" t="s">
        <v>51</v>
      </c>
      <c r="W2" t="s">
        <v>52</v>
      </c>
      <c r="X2" t="s">
        <v>53</v>
      </c>
      <c r="Y2" t="s">
        <v>54</v>
      </c>
      <c r="Z2" t="s">
        <v>70</v>
      </c>
      <c r="AA2" t="s">
        <v>55</v>
      </c>
      <c r="AB2" t="s">
        <v>3335</v>
      </c>
      <c r="AC2">
        <v>4</v>
      </c>
      <c r="AD2" t="s">
        <v>56</v>
      </c>
      <c r="AE2" t="s">
        <v>3336</v>
      </c>
      <c r="AF2" t="s">
        <v>57</v>
      </c>
      <c r="AG2" t="s">
        <v>58</v>
      </c>
      <c r="AH2" s="1">
        <v>45069</v>
      </c>
      <c r="AI2" s="1">
        <v>45075</v>
      </c>
      <c r="AJ2" s="1">
        <v>45078</v>
      </c>
      <c r="AK2" t="s">
        <v>3345</v>
      </c>
      <c r="AL2" t="s">
        <v>42</v>
      </c>
    </row>
    <row r="3" spans="1:38" x14ac:dyDescent="0.35">
      <c r="A3" t="s">
        <v>59</v>
      </c>
      <c r="B3" t="s">
        <v>60</v>
      </c>
      <c r="C3" t="s">
        <v>43</v>
      </c>
      <c r="D3" t="s">
        <v>62</v>
      </c>
      <c r="E3" t="s">
        <v>45</v>
      </c>
      <c r="F3" t="s">
        <v>46</v>
      </c>
      <c r="G3" t="s">
        <v>63</v>
      </c>
      <c r="H3">
        <v>58650</v>
      </c>
      <c r="I3">
        <f>Sales_Transactions_Raw[[#This Row],[Unit_Price]]*Sales_Transactions_Raw[[#This Row],[Quantity]]</f>
        <v>351900</v>
      </c>
      <c r="J3">
        <v>6</v>
      </c>
      <c r="K3">
        <v>5</v>
      </c>
      <c r="L3">
        <v>17595</v>
      </c>
      <c r="M3">
        <v>334305</v>
      </c>
      <c r="N3">
        <v>18</v>
      </c>
      <c r="O3">
        <v>60174.9</v>
      </c>
      <c r="P3">
        <v>0</v>
      </c>
      <c r="Q3">
        <v>394479.9</v>
      </c>
      <c r="R3" t="s">
        <v>64</v>
      </c>
      <c r="S3" t="s">
        <v>65</v>
      </c>
      <c r="T3" t="s">
        <v>66</v>
      </c>
      <c r="U3" t="s">
        <v>50</v>
      </c>
      <c r="V3" t="s">
        <v>67</v>
      </c>
      <c r="W3" t="s">
        <v>68</v>
      </c>
      <c r="X3" t="s">
        <v>69</v>
      </c>
      <c r="Y3" t="s">
        <v>54</v>
      </c>
      <c r="Z3" t="s">
        <v>70</v>
      </c>
      <c r="AA3" t="s">
        <v>71</v>
      </c>
      <c r="AB3" t="s">
        <v>3335</v>
      </c>
      <c r="AC3">
        <v>4</v>
      </c>
      <c r="AD3" t="s">
        <v>56</v>
      </c>
      <c r="AE3" t="s">
        <v>3336</v>
      </c>
      <c r="AF3" t="s">
        <v>72</v>
      </c>
      <c r="AG3" t="s">
        <v>3337</v>
      </c>
      <c r="AH3" s="1">
        <v>45030</v>
      </c>
      <c r="AI3" s="1">
        <v>45034</v>
      </c>
      <c r="AJ3" s="1">
        <v>45040</v>
      </c>
      <c r="AK3" t="s">
        <v>3346</v>
      </c>
      <c r="AL3" t="s">
        <v>61</v>
      </c>
    </row>
    <row r="4" spans="1:38" x14ac:dyDescent="0.35">
      <c r="A4" t="s">
        <v>73</v>
      </c>
      <c r="B4" t="s">
        <v>74</v>
      </c>
      <c r="C4" t="s">
        <v>43</v>
      </c>
      <c r="D4" t="s">
        <v>76</v>
      </c>
      <c r="E4" t="s">
        <v>77</v>
      </c>
      <c r="F4" t="s">
        <v>46</v>
      </c>
      <c r="G4" t="s">
        <v>78</v>
      </c>
      <c r="H4">
        <v>78600</v>
      </c>
      <c r="I4">
        <f>Sales_Transactions_Raw[[#This Row],[Unit_Price]]*Sales_Transactions_Raw[[#This Row],[Quantity]]</f>
        <v>235800</v>
      </c>
      <c r="J4">
        <v>3</v>
      </c>
      <c r="K4">
        <v>0</v>
      </c>
      <c r="L4">
        <v>0</v>
      </c>
      <c r="M4">
        <v>235800</v>
      </c>
      <c r="N4">
        <v>18</v>
      </c>
      <c r="O4">
        <v>42444</v>
      </c>
      <c r="P4">
        <v>0</v>
      </c>
      <c r="Q4">
        <v>278244</v>
      </c>
      <c r="R4" t="s">
        <v>79</v>
      </c>
      <c r="S4" t="s">
        <v>65</v>
      </c>
      <c r="T4" t="s">
        <v>66</v>
      </c>
      <c r="U4" t="s">
        <v>50</v>
      </c>
      <c r="V4" t="s">
        <v>80</v>
      </c>
      <c r="W4" t="s">
        <v>81</v>
      </c>
      <c r="X4" t="s">
        <v>515</v>
      </c>
      <c r="Y4" t="s">
        <v>82</v>
      </c>
      <c r="Z4" t="s">
        <v>52</v>
      </c>
      <c r="AA4" t="s">
        <v>83</v>
      </c>
      <c r="AB4" t="s">
        <v>3338</v>
      </c>
      <c r="AC4">
        <v>4</v>
      </c>
      <c r="AD4" t="s">
        <v>56</v>
      </c>
      <c r="AE4" t="s">
        <v>3336</v>
      </c>
      <c r="AF4" t="s">
        <v>84</v>
      </c>
      <c r="AG4" t="s">
        <v>85</v>
      </c>
      <c r="AH4" s="1">
        <v>45359</v>
      </c>
      <c r="AI4" s="1">
        <v>45364</v>
      </c>
      <c r="AJ4" s="1">
        <v>45040</v>
      </c>
      <c r="AK4" t="s">
        <v>3347</v>
      </c>
      <c r="AL4" t="s">
        <v>75</v>
      </c>
    </row>
    <row r="5" spans="1:38" x14ac:dyDescent="0.35">
      <c r="A5" t="s">
        <v>86</v>
      </c>
      <c r="B5" t="s">
        <v>87</v>
      </c>
      <c r="C5" t="s">
        <v>89</v>
      </c>
      <c r="D5" t="s">
        <v>90</v>
      </c>
      <c r="E5" t="s">
        <v>91</v>
      </c>
      <c r="F5" t="s">
        <v>46</v>
      </c>
      <c r="G5" t="s">
        <v>78</v>
      </c>
      <c r="H5">
        <v>98240</v>
      </c>
      <c r="I5">
        <f>Sales_Transactions_Raw[[#This Row],[Unit_Price]]*Sales_Transactions_Raw[[#This Row],[Quantity]]</f>
        <v>392960</v>
      </c>
      <c r="J5">
        <v>4</v>
      </c>
      <c r="K5">
        <v>5</v>
      </c>
      <c r="L5">
        <v>19648</v>
      </c>
      <c r="M5">
        <v>373312</v>
      </c>
      <c r="N5">
        <v>18</v>
      </c>
      <c r="O5">
        <v>67196.160000000003</v>
      </c>
      <c r="P5">
        <v>0</v>
      </c>
      <c r="Q5">
        <v>440508.16000000003</v>
      </c>
      <c r="R5" t="s">
        <v>92</v>
      </c>
      <c r="S5" t="s">
        <v>93</v>
      </c>
      <c r="T5" t="s">
        <v>66</v>
      </c>
      <c r="U5" t="s">
        <v>50</v>
      </c>
      <c r="V5" t="s">
        <v>94</v>
      </c>
      <c r="W5" t="s">
        <v>95</v>
      </c>
      <c r="X5" t="s">
        <v>96</v>
      </c>
      <c r="Y5" t="s">
        <v>97</v>
      </c>
      <c r="Z5" t="s">
        <v>95</v>
      </c>
      <c r="AA5" t="s">
        <v>98</v>
      </c>
      <c r="AB5" t="s">
        <v>3335</v>
      </c>
      <c r="AC5">
        <v>4</v>
      </c>
      <c r="AD5" t="s">
        <v>56</v>
      </c>
      <c r="AE5" t="s">
        <v>3336</v>
      </c>
      <c r="AF5" t="s">
        <v>99</v>
      </c>
      <c r="AG5" t="s">
        <v>58</v>
      </c>
      <c r="AH5" s="1">
        <v>45360</v>
      </c>
      <c r="AI5" s="1">
        <v>45362</v>
      </c>
      <c r="AJ5" s="1">
        <v>45372</v>
      </c>
      <c r="AK5" t="s">
        <v>3348</v>
      </c>
      <c r="AL5" t="s">
        <v>88</v>
      </c>
    </row>
    <row r="6" spans="1:38" x14ac:dyDescent="0.35">
      <c r="A6" t="s">
        <v>100</v>
      </c>
      <c r="B6" t="s">
        <v>101</v>
      </c>
      <c r="C6" t="s">
        <v>89</v>
      </c>
      <c r="D6" t="s">
        <v>103</v>
      </c>
      <c r="E6" t="s">
        <v>104</v>
      </c>
      <c r="F6" t="s">
        <v>46</v>
      </c>
      <c r="G6" t="s">
        <v>105</v>
      </c>
      <c r="H6">
        <v>37090</v>
      </c>
      <c r="I6">
        <f>Sales_Transactions_Raw[[#This Row],[Unit_Price]]*Sales_Transactions_Raw[[#This Row],[Quantity]]</f>
        <v>74180</v>
      </c>
      <c r="J6">
        <v>2</v>
      </c>
      <c r="K6">
        <v>0</v>
      </c>
      <c r="L6">
        <v>0</v>
      </c>
      <c r="M6">
        <v>74180</v>
      </c>
      <c r="N6">
        <v>18</v>
      </c>
      <c r="O6">
        <v>13352.4</v>
      </c>
      <c r="P6">
        <v>0</v>
      </c>
      <c r="Q6">
        <v>87532.4</v>
      </c>
      <c r="R6" t="s">
        <v>106</v>
      </c>
      <c r="S6" t="s">
        <v>107</v>
      </c>
      <c r="T6" t="s">
        <v>136</v>
      </c>
      <c r="U6" t="s">
        <v>108</v>
      </c>
      <c r="V6" t="s">
        <v>51</v>
      </c>
      <c r="W6" t="s">
        <v>52</v>
      </c>
      <c r="X6" t="s">
        <v>162</v>
      </c>
      <c r="Y6" t="s">
        <v>109</v>
      </c>
      <c r="Z6" t="s">
        <v>70</v>
      </c>
      <c r="AA6" t="s">
        <v>110</v>
      </c>
      <c r="AB6" t="s">
        <v>3339</v>
      </c>
      <c r="AC6">
        <v>4</v>
      </c>
      <c r="AD6" t="s">
        <v>56</v>
      </c>
      <c r="AE6" t="s">
        <v>3336</v>
      </c>
      <c r="AF6" t="s">
        <v>84</v>
      </c>
      <c r="AG6" t="s">
        <v>111</v>
      </c>
      <c r="AH6" s="1">
        <v>45386</v>
      </c>
      <c r="AI6" s="1">
        <v>45388</v>
      </c>
      <c r="AJ6" s="1">
        <v>45396</v>
      </c>
      <c r="AK6" t="s">
        <v>3349</v>
      </c>
      <c r="AL6" t="s">
        <v>102</v>
      </c>
    </row>
    <row r="7" spans="1:38" x14ac:dyDescent="0.35">
      <c r="A7" t="s">
        <v>112</v>
      </c>
      <c r="B7" t="s">
        <v>113</v>
      </c>
      <c r="C7" t="s">
        <v>43</v>
      </c>
      <c r="D7" t="s">
        <v>62</v>
      </c>
      <c r="E7" t="s">
        <v>45</v>
      </c>
      <c r="F7" t="s">
        <v>46</v>
      </c>
      <c r="G7" t="s">
        <v>63</v>
      </c>
      <c r="H7">
        <v>62690</v>
      </c>
      <c r="I7">
        <f>Sales_Transactions_Raw[[#This Row],[Unit_Price]]*Sales_Transactions_Raw[[#This Row],[Quantity]]</f>
        <v>564210</v>
      </c>
      <c r="J7">
        <v>9</v>
      </c>
      <c r="K7">
        <v>10</v>
      </c>
      <c r="L7">
        <v>56421</v>
      </c>
      <c r="M7">
        <v>507789</v>
      </c>
      <c r="N7">
        <v>18</v>
      </c>
      <c r="O7">
        <v>91402.02</v>
      </c>
      <c r="P7">
        <v>0</v>
      </c>
      <c r="Q7">
        <v>599191.02</v>
      </c>
      <c r="R7" t="s">
        <v>79</v>
      </c>
      <c r="S7" t="s">
        <v>93</v>
      </c>
      <c r="T7" t="s">
        <v>115</v>
      </c>
      <c r="U7" t="s">
        <v>50</v>
      </c>
      <c r="V7" t="s">
        <v>116</v>
      </c>
      <c r="W7" t="s">
        <v>70</v>
      </c>
      <c r="X7" t="s">
        <v>117</v>
      </c>
      <c r="Y7" t="s">
        <v>118</v>
      </c>
      <c r="Z7" t="s">
        <v>70</v>
      </c>
      <c r="AA7" t="s">
        <v>119</v>
      </c>
      <c r="AB7" t="s">
        <v>3335</v>
      </c>
      <c r="AC7">
        <v>4</v>
      </c>
      <c r="AD7" t="s">
        <v>56</v>
      </c>
      <c r="AE7" t="s">
        <v>3336</v>
      </c>
      <c r="AF7" t="s">
        <v>99</v>
      </c>
      <c r="AG7" t="s">
        <v>58</v>
      </c>
      <c r="AH7" s="1">
        <v>44996</v>
      </c>
      <c r="AI7" s="1">
        <v>45002</v>
      </c>
      <c r="AJ7" s="1">
        <v>45007</v>
      </c>
      <c r="AK7" t="s">
        <v>3350</v>
      </c>
      <c r="AL7" t="s">
        <v>114</v>
      </c>
    </row>
    <row r="8" spans="1:38" x14ac:dyDescent="0.35">
      <c r="A8" t="s">
        <v>120</v>
      </c>
      <c r="B8" t="s">
        <v>74</v>
      </c>
      <c r="C8" t="s">
        <v>43</v>
      </c>
      <c r="D8" t="s">
        <v>122</v>
      </c>
      <c r="E8" t="s">
        <v>123</v>
      </c>
      <c r="F8" t="s">
        <v>46</v>
      </c>
      <c r="G8" t="s">
        <v>63</v>
      </c>
      <c r="H8">
        <v>55250</v>
      </c>
      <c r="I8">
        <f>Sales_Transactions_Raw[[#This Row],[Unit_Price]]*Sales_Transactions_Raw[[#This Row],[Quantity]]</f>
        <v>221000</v>
      </c>
      <c r="J8">
        <v>4</v>
      </c>
      <c r="K8">
        <v>10</v>
      </c>
      <c r="L8">
        <v>22100</v>
      </c>
      <c r="M8">
        <v>198900</v>
      </c>
      <c r="N8">
        <v>18</v>
      </c>
      <c r="O8">
        <v>35802</v>
      </c>
      <c r="P8">
        <v>0</v>
      </c>
      <c r="Q8">
        <v>234702</v>
      </c>
      <c r="R8" t="s">
        <v>124</v>
      </c>
      <c r="S8" t="s">
        <v>125</v>
      </c>
      <c r="T8" t="s">
        <v>115</v>
      </c>
      <c r="U8" t="s">
        <v>108</v>
      </c>
      <c r="V8" t="s">
        <v>94</v>
      </c>
      <c r="W8" t="s">
        <v>95</v>
      </c>
      <c r="X8" t="s">
        <v>126</v>
      </c>
      <c r="Y8" t="s">
        <v>127</v>
      </c>
      <c r="Z8" t="s">
        <v>68</v>
      </c>
      <c r="AA8" t="s">
        <v>128</v>
      </c>
      <c r="AB8" t="s">
        <v>3340</v>
      </c>
      <c r="AC8">
        <v>4</v>
      </c>
      <c r="AD8" t="s">
        <v>56</v>
      </c>
      <c r="AE8" t="s">
        <v>3336</v>
      </c>
      <c r="AF8" t="s">
        <v>57</v>
      </c>
      <c r="AG8" t="s">
        <v>58</v>
      </c>
      <c r="AH8" s="1">
        <v>45086</v>
      </c>
      <c r="AI8" s="1">
        <v>45089</v>
      </c>
      <c r="AJ8" s="1">
        <v>45095</v>
      </c>
      <c r="AK8" t="s">
        <v>3351</v>
      </c>
      <c r="AL8" t="s">
        <v>121</v>
      </c>
    </row>
    <row r="9" spans="1:38" x14ac:dyDescent="0.35">
      <c r="A9" t="s">
        <v>129</v>
      </c>
      <c r="B9" t="s">
        <v>130</v>
      </c>
      <c r="C9" t="s">
        <v>131</v>
      </c>
      <c r="D9" t="s">
        <v>132</v>
      </c>
      <c r="E9" t="s">
        <v>133</v>
      </c>
      <c r="F9" t="s">
        <v>134</v>
      </c>
      <c r="G9" t="s">
        <v>135</v>
      </c>
      <c r="H9">
        <v>2940</v>
      </c>
      <c r="I9">
        <f>Sales_Transactions_Raw[[#This Row],[Unit_Price]]*Sales_Transactions_Raw[[#This Row],[Quantity]]</f>
        <v>17640</v>
      </c>
      <c r="J9">
        <v>6</v>
      </c>
      <c r="K9">
        <v>0</v>
      </c>
      <c r="L9">
        <v>0</v>
      </c>
      <c r="M9">
        <v>17640</v>
      </c>
      <c r="N9">
        <v>5</v>
      </c>
      <c r="O9">
        <v>882</v>
      </c>
      <c r="P9">
        <v>0</v>
      </c>
      <c r="Q9">
        <v>18522</v>
      </c>
      <c r="R9" t="s">
        <v>79</v>
      </c>
      <c r="S9" t="s">
        <v>93</v>
      </c>
      <c r="T9" t="s">
        <v>136</v>
      </c>
      <c r="U9" t="s">
        <v>108</v>
      </c>
      <c r="V9" t="s">
        <v>80</v>
      </c>
      <c r="W9" t="s">
        <v>81</v>
      </c>
      <c r="X9" t="s">
        <v>137</v>
      </c>
      <c r="Y9" t="s">
        <v>138</v>
      </c>
      <c r="Z9" t="s">
        <v>81</v>
      </c>
      <c r="AA9" t="s">
        <v>139</v>
      </c>
      <c r="AB9" t="s">
        <v>3335</v>
      </c>
      <c r="AC9">
        <v>4</v>
      </c>
      <c r="AD9" t="s">
        <v>56</v>
      </c>
      <c r="AE9" t="s">
        <v>3336</v>
      </c>
      <c r="AF9" t="s">
        <v>140</v>
      </c>
      <c r="AG9" t="s">
        <v>58</v>
      </c>
      <c r="AH9" s="1">
        <v>45267</v>
      </c>
      <c r="AI9" s="1">
        <v>45274</v>
      </c>
      <c r="AJ9" s="1">
        <v>45282</v>
      </c>
      <c r="AK9" t="s">
        <v>3352</v>
      </c>
      <c r="AL9" t="s">
        <v>3732</v>
      </c>
    </row>
    <row r="10" spans="1:38" x14ac:dyDescent="0.35">
      <c r="A10" t="s">
        <v>141</v>
      </c>
      <c r="B10" t="s">
        <v>142</v>
      </c>
      <c r="C10" t="s">
        <v>89</v>
      </c>
      <c r="D10" t="s">
        <v>144</v>
      </c>
      <c r="E10" t="s">
        <v>145</v>
      </c>
      <c r="F10" t="s">
        <v>146</v>
      </c>
      <c r="G10" t="s">
        <v>147</v>
      </c>
      <c r="H10">
        <v>2430</v>
      </c>
      <c r="I10">
        <f>Sales_Transactions_Raw[[#This Row],[Unit_Price]]*Sales_Transactions_Raw[[#This Row],[Quantity]]</f>
        <v>9720</v>
      </c>
      <c r="J10">
        <v>4</v>
      </c>
      <c r="K10">
        <v>5</v>
      </c>
      <c r="L10">
        <v>486</v>
      </c>
      <c r="M10">
        <v>9234</v>
      </c>
      <c r="N10">
        <v>12</v>
      </c>
      <c r="O10">
        <v>1108.08</v>
      </c>
      <c r="P10">
        <v>0</v>
      </c>
      <c r="Q10">
        <v>10342.08</v>
      </c>
      <c r="R10" t="s">
        <v>64</v>
      </c>
      <c r="S10" t="s">
        <v>125</v>
      </c>
      <c r="T10" t="s">
        <v>148</v>
      </c>
      <c r="U10" t="s">
        <v>50</v>
      </c>
      <c r="V10" t="s">
        <v>149</v>
      </c>
      <c r="W10" t="s">
        <v>81</v>
      </c>
      <c r="X10" t="s">
        <v>150</v>
      </c>
      <c r="Y10" t="s">
        <v>151</v>
      </c>
      <c r="Z10" t="s">
        <v>81</v>
      </c>
      <c r="AA10" t="s">
        <v>152</v>
      </c>
      <c r="AB10" t="s">
        <v>3338</v>
      </c>
      <c r="AC10">
        <v>4</v>
      </c>
      <c r="AD10" t="s">
        <v>56</v>
      </c>
      <c r="AE10" t="s">
        <v>3336</v>
      </c>
      <c r="AF10" t="s">
        <v>153</v>
      </c>
      <c r="AG10" t="s">
        <v>85</v>
      </c>
      <c r="AH10" s="1">
        <v>45128</v>
      </c>
      <c r="AI10" s="1">
        <v>45131</v>
      </c>
      <c r="AJ10" s="1">
        <v>45139</v>
      </c>
      <c r="AK10" t="s">
        <v>3353</v>
      </c>
      <c r="AL10" t="s">
        <v>143</v>
      </c>
    </row>
    <row r="11" spans="1:38" x14ac:dyDescent="0.35">
      <c r="A11" t="s">
        <v>154</v>
      </c>
      <c r="B11" t="s">
        <v>155</v>
      </c>
      <c r="C11" t="s">
        <v>157</v>
      </c>
      <c r="D11" t="s">
        <v>158</v>
      </c>
      <c r="E11" t="s">
        <v>159</v>
      </c>
      <c r="F11" t="s">
        <v>46</v>
      </c>
      <c r="G11" t="s">
        <v>105</v>
      </c>
      <c r="H11">
        <v>54230</v>
      </c>
      <c r="I11">
        <f>Sales_Transactions_Raw[[#This Row],[Unit_Price]]*Sales_Transactions_Raw[[#This Row],[Quantity]]</f>
        <v>162690</v>
      </c>
      <c r="J11">
        <v>3</v>
      </c>
      <c r="K11">
        <v>5</v>
      </c>
      <c r="L11">
        <v>8134.5</v>
      </c>
      <c r="M11">
        <v>154555.5</v>
      </c>
      <c r="N11">
        <v>18</v>
      </c>
      <c r="O11">
        <v>27819.99</v>
      </c>
      <c r="P11">
        <v>0</v>
      </c>
      <c r="Q11">
        <v>182375.49</v>
      </c>
      <c r="R11" t="s">
        <v>160</v>
      </c>
      <c r="S11" t="s">
        <v>49</v>
      </c>
      <c r="T11" t="s">
        <v>148</v>
      </c>
      <c r="U11" t="s">
        <v>161</v>
      </c>
      <c r="V11" t="s">
        <v>80</v>
      </c>
      <c r="W11" t="s">
        <v>81</v>
      </c>
      <c r="X11" t="s">
        <v>162</v>
      </c>
      <c r="Y11" t="s">
        <v>109</v>
      </c>
      <c r="Z11" t="s">
        <v>70</v>
      </c>
      <c r="AA11" t="s">
        <v>163</v>
      </c>
      <c r="AB11" t="s">
        <v>3335</v>
      </c>
      <c r="AC11">
        <v>3</v>
      </c>
      <c r="AD11" t="s">
        <v>56</v>
      </c>
      <c r="AE11" t="s">
        <v>3336</v>
      </c>
      <c r="AF11" t="s">
        <v>164</v>
      </c>
      <c r="AG11" t="s">
        <v>85</v>
      </c>
      <c r="AH11" s="1">
        <v>44952</v>
      </c>
      <c r="AI11" s="1">
        <v>44953</v>
      </c>
      <c r="AJ11" s="1">
        <v>44958</v>
      </c>
      <c r="AK11" t="s">
        <v>3354</v>
      </c>
      <c r="AL11" t="s">
        <v>156</v>
      </c>
    </row>
    <row r="12" spans="1:38" x14ac:dyDescent="0.35">
      <c r="A12" t="s">
        <v>165</v>
      </c>
      <c r="B12" t="s">
        <v>166</v>
      </c>
      <c r="C12" t="s">
        <v>43</v>
      </c>
      <c r="D12" t="s">
        <v>44</v>
      </c>
      <c r="E12" t="s">
        <v>45</v>
      </c>
      <c r="F12" t="s">
        <v>46</v>
      </c>
      <c r="G12" t="s">
        <v>47</v>
      </c>
      <c r="H12">
        <v>11660</v>
      </c>
      <c r="I12">
        <f>Sales_Transactions_Raw[[#This Row],[Unit_Price]]*Sales_Transactions_Raw[[#This Row],[Quantity]]</f>
        <v>81620</v>
      </c>
      <c r="J12">
        <v>7</v>
      </c>
      <c r="K12">
        <v>0</v>
      </c>
      <c r="L12">
        <v>0</v>
      </c>
      <c r="M12">
        <v>81620</v>
      </c>
      <c r="N12">
        <v>18</v>
      </c>
      <c r="O12">
        <v>14691.6</v>
      </c>
      <c r="P12">
        <v>0</v>
      </c>
      <c r="Q12">
        <v>96311.6</v>
      </c>
      <c r="R12" t="s">
        <v>48</v>
      </c>
      <c r="S12" t="s">
        <v>49</v>
      </c>
      <c r="T12" t="s">
        <v>115</v>
      </c>
      <c r="U12" t="s">
        <v>108</v>
      </c>
      <c r="V12" t="s">
        <v>116</v>
      </c>
      <c r="W12" t="s">
        <v>70</v>
      </c>
      <c r="X12" t="s">
        <v>168</v>
      </c>
      <c r="Y12" t="s">
        <v>169</v>
      </c>
      <c r="Z12" t="s">
        <v>95</v>
      </c>
      <c r="AA12" t="s">
        <v>170</v>
      </c>
      <c r="AB12" t="s">
        <v>3335</v>
      </c>
      <c r="AC12">
        <v>3</v>
      </c>
      <c r="AD12" t="s">
        <v>56</v>
      </c>
      <c r="AE12" t="s">
        <v>3336</v>
      </c>
      <c r="AF12" t="s">
        <v>99</v>
      </c>
      <c r="AG12" t="s">
        <v>58</v>
      </c>
      <c r="AH12" s="1">
        <v>45219</v>
      </c>
      <c r="AI12" s="1">
        <v>45221</v>
      </c>
      <c r="AJ12" s="1">
        <v>45227</v>
      </c>
      <c r="AK12" t="s">
        <v>3355</v>
      </c>
      <c r="AL12" t="s">
        <v>167</v>
      </c>
    </row>
    <row r="13" spans="1:38" x14ac:dyDescent="0.35">
      <c r="A13" t="s">
        <v>171</v>
      </c>
      <c r="B13" t="s">
        <v>172</v>
      </c>
      <c r="C13" t="s">
        <v>157</v>
      </c>
      <c r="D13" t="s">
        <v>174</v>
      </c>
      <c r="E13" t="s">
        <v>175</v>
      </c>
      <c r="F13" t="s">
        <v>46</v>
      </c>
      <c r="G13" t="s">
        <v>176</v>
      </c>
      <c r="H13">
        <v>1590</v>
      </c>
      <c r="I13">
        <f>Sales_Transactions_Raw[[#This Row],[Unit_Price]]*Sales_Transactions_Raw[[#This Row],[Quantity]]</f>
        <v>3180</v>
      </c>
      <c r="J13">
        <v>2</v>
      </c>
      <c r="K13">
        <v>0</v>
      </c>
      <c r="L13">
        <v>0</v>
      </c>
      <c r="M13">
        <v>3180</v>
      </c>
      <c r="N13">
        <v>18</v>
      </c>
      <c r="O13">
        <v>572.4</v>
      </c>
      <c r="P13">
        <v>149</v>
      </c>
      <c r="Q13">
        <v>3752.4</v>
      </c>
      <c r="R13" t="s">
        <v>79</v>
      </c>
      <c r="S13" t="s">
        <v>93</v>
      </c>
      <c r="T13" t="s">
        <v>115</v>
      </c>
      <c r="U13" t="s">
        <v>108</v>
      </c>
      <c r="V13" t="s">
        <v>177</v>
      </c>
      <c r="W13" t="s">
        <v>81</v>
      </c>
      <c r="X13" t="s">
        <v>486</v>
      </c>
      <c r="Y13" t="s">
        <v>138</v>
      </c>
      <c r="Z13" t="s">
        <v>81</v>
      </c>
      <c r="AA13" t="s">
        <v>178</v>
      </c>
      <c r="AB13" t="s">
        <v>3335</v>
      </c>
      <c r="AC13">
        <v>4</v>
      </c>
      <c r="AD13" t="s">
        <v>179</v>
      </c>
      <c r="AE13" t="s">
        <v>180</v>
      </c>
      <c r="AF13" t="s">
        <v>153</v>
      </c>
      <c r="AG13" t="s">
        <v>3337</v>
      </c>
      <c r="AH13" s="1">
        <v>45315</v>
      </c>
      <c r="AI13" s="1">
        <v>45318</v>
      </c>
      <c r="AJ13" s="1">
        <v>45323</v>
      </c>
      <c r="AK13" t="s">
        <v>3356</v>
      </c>
      <c r="AL13" t="s">
        <v>173</v>
      </c>
    </row>
    <row r="14" spans="1:38" x14ac:dyDescent="0.35">
      <c r="A14" t="s">
        <v>181</v>
      </c>
      <c r="B14" t="s">
        <v>101</v>
      </c>
      <c r="C14" t="s">
        <v>43</v>
      </c>
      <c r="D14" t="s">
        <v>183</v>
      </c>
      <c r="E14" t="s">
        <v>184</v>
      </c>
      <c r="F14" t="s">
        <v>185</v>
      </c>
      <c r="G14" t="s">
        <v>186</v>
      </c>
      <c r="H14">
        <v>120</v>
      </c>
      <c r="I14">
        <f>Sales_Transactions_Raw[[#This Row],[Unit_Price]]*Sales_Transactions_Raw[[#This Row],[Quantity]]</f>
        <v>360</v>
      </c>
      <c r="J14">
        <v>3</v>
      </c>
      <c r="K14">
        <v>10</v>
      </c>
      <c r="L14">
        <v>24</v>
      </c>
      <c r="M14">
        <v>216</v>
      </c>
      <c r="N14">
        <v>5</v>
      </c>
      <c r="O14">
        <v>10.8</v>
      </c>
      <c r="P14">
        <v>99</v>
      </c>
      <c r="Q14">
        <v>226.8</v>
      </c>
      <c r="R14" t="s">
        <v>124</v>
      </c>
      <c r="S14" t="s">
        <v>93</v>
      </c>
      <c r="T14" t="s">
        <v>115</v>
      </c>
      <c r="U14" t="s">
        <v>108</v>
      </c>
      <c r="V14" t="s">
        <v>177</v>
      </c>
      <c r="W14" t="s">
        <v>81</v>
      </c>
      <c r="X14" t="s">
        <v>187</v>
      </c>
      <c r="Y14" t="s">
        <v>188</v>
      </c>
      <c r="Z14" t="s">
        <v>68</v>
      </c>
      <c r="AA14" t="s">
        <v>189</v>
      </c>
      <c r="AB14" t="s">
        <v>3335</v>
      </c>
      <c r="AC14">
        <v>5</v>
      </c>
      <c r="AD14" t="s">
        <v>56</v>
      </c>
      <c r="AE14" t="s">
        <v>3336</v>
      </c>
      <c r="AF14" t="s">
        <v>84</v>
      </c>
      <c r="AG14" t="s">
        <v>111</v>
      </c>
      <c r="AH14" s="1">
        <v>45050</v>
      </c>
      <c r="AI14" s="1">
        <v>45057</v>
      </c>
      <c r="AJ14" s="1">
        <v>45059</v>
      </c>
      <c r="AK14" t="s">
        <v>3357</v>
      </c>
      <c r="AL14" t="s">
        <v>182</v>
      </c>
    </row>
    <row r="15" spans="1:38" x14ac:dyDescent="0.35">
      <c r="A15" t="s">
        <v>190</v>
      </c>
      <c r="B15" t="s">
        <v>191</v>
      </c>
      <c r="C15" t="s">
        <v>43</v>
      </c>
      <c r="D15" t="s">
        <v>193</v>
      </c>
      <c r="E15" t="s">
        <v>194</v>
      </c>
      <c r="F15" t="s">
        <v>146</v>
      </c>
      <c r="G15" t="s">
        <v>195</v>
      </c>
      <c r="H15">
        <v>3350</v>
      </c>
      <c r="I15">
        <f>Sales_Transactions_Raw[[#This Row],[Unit_Price]]*Sales_Transactions_Raw[[#This Row],[Quantity]]</f>
        <v>6700</v>
      </c>
      <c r="J15">
        <v>2</v>
      </c>
      <c r="K15">
        <v>0</v>
      </c>
      <c r="L15">
        <v>0</v>
      </c>
      <c r="M15">
        <v>6700</v>
      </c>
      <c r="N15">
        <v>12</v>
      </c>
      <c r="O15">
        <v>804</v>
      </c>
      <c r="P15">
        <v>0</v>
      </c>
      <c r="Q15">
        <v>7504</v>
      </c>
      <c r="R15" t="s">
        <v>64</v>
      </c>
      <c r="S15" t="s">
        <v>49</v>
      </c>
      <c r="T15" t="s">
        <v>115</v>
      </c>
      <c r="U15" t="s">
        <v>196</v>
      </c>
      <c r="V15" t="s">
        <v>197</v>
      </c>
      <c r="W15" t="s">
        <v>68</v>
      </c>
      <c r="X15" t="s">
        <v>198</v>
      </c>
      <c r="Y15" t="s">
        <v>199</v>
      </c>
      <c r="Z15" t="s">
        <v>52</v>
      </c>
      <c r="AA15" t="s">
        <v>200</v>
      </c>
      <c r="AB15" t="s">
        <v>3335</v>
      </c>
      <c r="AC15">
        <v>4</v>
      </c>
      <c r="AD15" t="s">
        <v>56</v>
      </c>
      <c r="AE15" t="s">
        <v>3336</v>
      </c>
      <c r="AF15" t="s">
        <v>84</v>
      </c>
      <c r="AG15" t="s">
        <v>58</v>
      </c>
      <c r="AH15" s="1">
        <v>45173</v>
      </c>
      <c r="AI15" s="1">
        <v>45179</v>
      </c>
      <c r="AJ15" s="1">
        <v>45188</v>
      </c>
      <c r="AK15" t="s">
        <v>3358</v>
      </c>
      <c r="AL15" t="s">
        <v>192</v>
      </c>
    </row>
    <row r="16" spans="1:38" x14ac:dyDescent="0.35">
      <c r="A16" t="s">
        <v>201</v>
      </c>
      <c r="B16" t="s">
        <v>202</v>
      </c>
      <c r="C16" t="s">
        <v>43</v>
      </c>
      <c r="D16" t="s">
        <v>193</v>
      </c>
      <c r="E16" t="s">
        <v>194</v>
      </c>
      <c r="F16" t="s">
        <v>146</v>
      </c>
      <c r="G16" t="s">
        <v>195</v>
      </c>
      <c r="H16">
        <v>3040</v>
      </c>
      <c r="I16">
        <f>Sales_Transactions_Raw[[#This Row],[Unit_Price]]*Sales_Transactions_Raw[[#This Row],[Quantity]]</f>
        <v>6080</v>
      </c>
      <c r="J16">
        <v>2</v>
      </c>
      <c r="K16">
        <v>0</v>
      </c>
      <c r="L16">
        <v>0</v>
      </c>
      <c r="M16">
        <v>6080</v>
      </c>
      <c r="N16">
        <v>12</v>
      </c>
      <c r="O16">
        <v>729.6</v>
      </c>
      <c r="P16">
        <v>0</v>
      </c>
      <c r="Q16">
        <v>6809.6</v>
      </c>
      <c r="R16" t="s">
        <v>124</v>
      </c>
      <c r="S16" t="s">
        <v>65</v>
      </c>
      <c r="T16" t="s">
        <v>213</v>
      </c>
      <c r="U16" t="s">
        <v>108</v>
      </c>
      <c r="V16" t="s">
        <v>67</v>
      </c>
      <c r="W16" t="s">
        <v>68</v>
      </c>
      <c r="X16" t="s">
        <v>204</v>
      </c>
      <c r="Y16" t="s">
        <v>118</v>
      </c>
      <c r="Z16" t="s">
        <v>70</v>
      </c>
      <c r="AA16" t="s">
        <v>205</v>
      </c>
      <c r="AB16" t="s">
        <v>3335</v>
      </c>
      <c r="AC16">
        <v>4</v>
      </c>
      <c r="AD16" t="s">
        <v>179</v>
      </c>
      <c r="AE16" t="s">
        <v>206</v>
      </c>
      <c r="AF16" t="s">
        <v>84</v>
      </c>
      <c r="AG16" t="s">
        <v>58</v>
      </c>
      <c r="AH16" s="1">
        <v>44939</v>
      </c>
      <c r="AI16" s="1">
        <v>44944</v>
      </c>
      <c r="AJ16" s="1">
        <v>44950</v>
      </c>
      <c r="AK16" t="s">
        <v>3359</v>
      </c>
      <c r="AL16" t="s">
        <v>203</v>
      </c>
    </row>
    <row r="17" spans="1:38" x14ac:dyDescent="0.35">
      <c r="A17" t="s">
        <v>129</v>
      </c>
      <c r="B17" t="s">
        <v>207</v>
      </c>
      <c r="C17" t="s">
        <v>43</v>
      </c>
      <c r="D17" t="s">
        <v>209</v>
      </c>
      <c r="E17" t="s">
        <v>210</v>
      </c>
      <c r="F17" t="s">
        <v>211</v>
      </c>
      <c r="G17" t="s">
        <v>212</v>
      </c>
      <c r="H17">
        <v>4470</v>
      </c>
      <c r="I17">
        <f>Sales_Transactions_Raw[[#This Row],[Unit_Price]]*Sales_Transactions_Raw[[#This Row],[Quantity]]</f>
        <v>17880</v>
      </c>
      <c r="J17">
        <v>4</v>
      </c>
      <c r="K17">
        <v>10</v>
      </c>
      <c r="L17">
        <v>1788</v>
      </c>
      <c r="M17">
        <v>16092</v>
      </c>
      <c r="N17">
        <v>5</v>
      </c>
      <c r="O17">
        <v>804.6</v>
      </c>
      <c r="P17">
        <v>0</v>
      </c>
      <c r="Q17">
        <v>16896.599999999999</v>
      </c>
      <c r="R17" t="s">
        <v>106</v>
      </c>
      <c r="S17" t="s">
        <v>107</v>
      </c>
      <c r="T17" t="s">
        <v>213</v>
      </c>
      <c r="U17" t="s">
        <v>214</v>
      </c>
      <c r="V17" t="s">
        <v>177</v>
      </c>
      <c r="W17" t="s">
        <v>81</v>
      </c>
      <c r="X17" t="s">
        <v>215</v>
      </c>
      <c r="Y17" t="s">
        <v>169</v>
      </c>
      <c r="Z17" t="s">
        <v>95</v>
      </c>
      <c r="AA17" t="s">
        <v>216</v>
      </c>
      <c r="AB17" t="s">
        <v>3335</v>
      </c>
      <c r="AC17">
        <v>4</v>
      </c>
      <c r="AD17" t="s">
        <v>179</v>
      </c>
      <c r="AE17" t="s">
        <v>206</v>
      </c>
      <c r="AF17" t="s">
        <v>217</v>
      </c>
      <c r="AG17" t="s">
        <v>3337</v>
      </c>
      <c r="AH17" s="1">
        <v>44960</v>
      </c>
      <c r="AI17" s="1">
        <v>44962</v>
      </c>
      <c r="AJ17" s="1">
        <v>44968</v>
      </c>
      <c r="AK17" t="s">
        <v>3360</v>
      </c>
      <c r="AL17" t="s">
        <v>208</v>
      </c>
    </row>
    <row r="18" spans="1:38" x14ac:dyDescent="0.35">
      <c r="A18" t="s">
        <v>218</v>
      </c>
      <c r="B18" t="s">
        <v>219</v>
      </c>
      <c r="C18" t="s">
        <v>43</v>
      </c>
      <c r="D18" t="s">
        <v>221</v>
      </c>
      <c r="E18" t="s">
        <v>222</v>
      </c>
      <c r="F18" t="s">
        <v>146</v>
      </c>
      <c r="G18" t="s">
        <v>223</v>
      </c>
      <c r="H18">
        <v>2880</v>
      </c>
      <c r="I18">
        <f>Sales_Transactions_Raw[[#This Row],[Unit_Price]]*Sales_Transactions_Raw[[#This Row],[Quantity]]</f>
        <v>5760</v>
      </c>
      <c r="J18">
        <v>2</v>
      </c>
      <c r="K18">
        <v>20</v>
      </c>
      <c r="L18">
        <v>1152</v>
      </c>
      <c r="M18">
        <v>4608</v>
      </c>
      <c r="N18">
        <v>12</v>
      </c>
      <c r="O18">
        <v>552.96</v>
      </c>
      <c r="P18">
        <v>0</v>
      </c>
      <c r="Q18">
        <v>5160.96</v>
      </c>
      <c r="R18" t="s">
        <v>64</v>
      </c>
      <c r="S18" t="s">
        <v>93</v>
      </c>
      <c r="T18" t="s">
        <v>115</v>
      </c>
      <c r="U18" t="s">
        <v>196</v>
      </c>
      <c r="V18" t="s">
        <v>224</v>
      </c>
      <c r="W18" t="s">
        <v>95</v>
      </c>
      <c r="X18" t="s">
        <v>225</v>
      </c>
      <c r="Y18" t="s">
        <v>226</v>
      </c>
      <c r="Z18" t="s">
        <v>95</v>
      </c>
      <c r="AB18" t="s">
        <v>3335</v>
      </c>
      <c r="AC18">
        <v>5</v>
      </c>
      <c r="AD18" t="s">
        <v>56</v>
      </c>
      <c r="AE18" t="s">
        <v>3336</v>
      </c>
      <c r="AF18" t="s">
        <v>227</v>
      </c>
      <c r="AG18" t="s">
        <v>58</v>
      </c>
      <c r="AH18" s="1">
        <v>45430</v>
      </c>
      <c r="AI18" s="1">
        <v>45431</v>
      </c>
      <c r="AJ18" s="1">
        <v>45440</v>
      </c>
      <c r="AK18" t="s">
        <v>3361</v>
      </c>
      <c r="AL18" t="s">
        <v>220</v>
      </c>
    </row>
    <row r="19" spans="1:38" x14ac:dyDescent="0.35">
      <c r="A19" t="s">
        <v>228</v>
      </c>
      <c r="B19" t="s">
        <v>172</v>
      </c>
      <c r="C19" t="s">
        <v>43</v>
      </c>
      <c r="D19" t="s">
        <v>230</v>
      </c>
      <c r="E19" t="s">
        <v>231</v>
      </c>
      <c r="F19" t="s">
        <v>46</v>
      </c>
      <c r="G19" t="s">
        <v>63</v>
      </c>
      <c r="H19">
        <v>121050</v>
      </c>
      <c r="I19">
        <f>Sales_Transactions_Raw[[#This Row],[Unit_Price]]*Sales_Transactions_Raw[[#This Row],[Quantity]]</f>
        <v>121050</v>
      </c>
      <c r="J19">
        <v>1</v>
      </c>
      <c r="K19">
        <v>25</v>
      </c>
      <c r="L19">
        <v>30262.5</v>
      </c>
      <c r="M19">
        <v>90787.5</v>
      </c>
      <c r="N19">
        <v>18</v>
      </c>
      <c r="O19">
        <v>16341.75</v>
      </c>
      <c r="P19">
        <v>0</v>
      </c>
      <c r="Q19">
        <v>107129.25</v>
      </c>
      <c r="R19" t="s">
        <v>160</v>
      </c>
      <c r="S19" t="s">
        <v>49</v>
      </c>
      <c r="T19" t="s">
        <v>115</v>
      </c>
      <c r="U19" t="s">
        <v>161</v>
      </c>
      <c r="V19" t="s">
        <v>67</v>
      </c>
      <c r="W19" t="s">
        <v>68</v>
      </c>
      <c r="X19" t="s">
        <v>232</v>
      </c>
      <c r="Y19" t="s">
        <v>82</v>
      </c>
      <c r="Z19" t="s">
        <v>52</v>
      </c>
      <c r="AA19" t="s">
        <v>233</v>
      </c>
      <c r="AB19" t="s">
        <v>3341</v>
      </c>
      <c r="AC19">
        <v>5</v>
      </c>
      <c r="AD19" t="s">
        <v>56</v>
      </c>
      <c r="AE19" t="s">
        <v>3336</v>
      </c>
      <c r="AF19" t="s">
        <v>227</v>
      </c>
      <c r="AG19" t="s">
        <v>3342</v>
      </c>
      <c r="AH19" s="1">
        <v>45084</v>
      </c>
      <c r="AI19" s="1">
        <v>45088</v>
      </c>
      <c r="AJ19" s="1">
        <v>45094</v>
      </c>
      <c r="AK19" t="s">
        <v>3356</v>
      </c>
      <c r="AL19" t="s">
        <v>229</v>
      </c>
    </row>
    <row r="20" spans="1:38" x14ac:dyDescent="0.35">
      <c r="A20" t="s">
        <v>234</v>
      </c>
      <c r="B20" t="s">
        <v>235</v>
      </c>
      <c r="C20" t="s">
        <v>43</v>
      </c>
      <c r="D20" t="s">
        <v>193</v>
      </c>
      <c r="E20" t="s">
        <v>194</v>
      </c>
      <c r="F20" t="s">
        <v>146</v>
      </c>
      <c r="G20" t="s">
        <v>195</v>
      </c>
      <c r="H20">
        <v>3170</v>
      </c>
      <c r="I20">
        <f>Sales_Transactions_Raw[[#This Row],[Unit_Price]]*Sales_Transactions_Raw[[#This Row],[Quantity]]</f>
        <v>19020</v>
      </c>
      <c r="J20">
        <v>6</v>
      </c>
      <c r="K20">
        <v>10</v>
      </c>
      <c r="L20">
        <v>1902</v>
      </c>
      <c r="M20">
        <v>17118</v>
      </c>
      <c r="N20">
        <v>12</v>
      </c>
      <c r="O20">
        <v>2054.16</v>
      </c>
      <c r="P20">
        <v>0</v>
      </c>
      <c r="Q20">
        <v>19172.16</v>
      </c>
      <c r="R20" t="s">
        <v>64</v>
      </c>
      <c r="S20" t="s">
        <v>49</v>
      </c>
      <c r="T20" t="s">
        <v>115</v>
      </c>
      <c r="U20" t="s">
        <v>161</v>
      </c>
      <c r="V20" t="s">
        <v>80</v>
      </c>
      <c r="W20" t="s">
        <v>81</v>
      </c>
      <c r="X20" t="s">
        <v>237</v>
      </c>
      <c r="Y20" t="s">
        <v>138</v>
      </c>
      <c r="Z20" t="s">
        <v>81</v>
      </c>
      <c r="AA20" t="s">
        <v>238</v>
      </c>
      <c r="AB20" t="s">
        <v>3335</v>
      </c>
      <c r="AC20">
        <v>5</v>
      </c>
      <c r="AD20" t="s">
        <v>56</v>
      </c>
      <c r="AE20" t="s">
        <v>3336</v>
      </c>
      <c r="AF20" t="s">
        <v>140</v>
      </c>
      <c r="AG20" t="s">
        <v>3337</v>
      </c>
      <c r="AH20" s="1">
        <v>45441</v>
      </c>
      <c r="AI20" s="1">
        <v>45357</v>
      </c>
      <c r="AJ20" s="1">
        <v>45571</v>
      </c>
      <c r="AK20" t="s">
        <v>3362</v>
      </c>
      <c r="AL20" t="s">
        <v>236</v>
      </c>
    </row>
    <row r="21" spans="1:38" x14ac:dyDescent="0.35">
      <c r="A21" t="s">
        <v>239</v>
      </c>
      <c r="B21" t="s">
        <v>240</v>
      </c>
      <c r="C21" t="s">
        <v>43</v>
      </c>
      <c r="D21" t="s">
        <v>174</v>
      </c>
      <c r="E21" t="s">
        <v>175</v>
      </c>
      <c r="F21" t="s">
        <v>46</v>
      </c>
      <c r="G21" t="s">
        <v>176</v>
      </c>
      <c r="H21">
        <v>1430</v>
      </c>
      <c r="I21">
        <f>Sales_Transactions_Raw[[#This Row],[Unit_Price]]*Sales_Transactions_Raw[[#This Row],[Quantity]]</f>
        <v>4290</v>
      </c>
      <c r="J21">
        <v>3</v>
      </c>
      <c r="K21">
        <v>10</v>
      </c>
      <c r="L21">
        <v>429</v>
      </c>
      <c r="M21">
        <v>3861</v>
      </c>
      <c r="N21">
        <v>18</v>
      </c>
      <c r="O21">
        <v>694.98</v>
      </c>
      <c r="P21">
        <v>149</v>
      </c>
      <c r="Q21">
        <v>4555.9799999999996</v>
      </c>
      <c r="R21" t="s">
        <v>79</v>
      </c>
      <c r="S21" t="s">
        <v>93</v>
      </c>
      <c r="T21" t="s">
        <v>115</v>
      </c>
      <c r="U21" t="s">
        <v>196</v>
      </c>
      <c r="V21" t="s">
        <v>242</v>
      </c>
      <c r="W21" t="s">
        <v>70</v>
      </c>
      <c r="X21" t="s">
        <v>243</v>
      </c>
      <c r="Y21" t="s">
        <v>244</v>
      </c>
      <c r="Z21" t="s">
        <v>70</v>
      </c>
      <c r="AA21" t="s">
        <v>245</v>
      </c>
      <c r="AB21" t="s">
        <v>3335</v>
      </c>
      <c r="AC21">
        <v>4</v>
      </c>
      <c r="AD21" t="s">
        <v>56</v>
      </c>
      <c r="AE21" t="s">
        <v>3336</v>
      </c>
      <c r="AF21" t="s">
        <v>140</v>
      </c>
      <c r="AG21" t="s">
        <v>3337</v>
      </c>
      <c r="AH21" s="1">
        <v>45318</v>
      </c>
      <c r="AI21" s="1">
        <v>45323</v>
      </c>
      <c r="AJ21" s="1">
        <v>45328</v>
      </c>
      <c r="AK21" t="s">
        <v>3363</v>
      </c>
      <c r="AL21" t="s">
        <v>241</v>
      </c>
    </row>
    <row r="22" spans="1:38" x14ac:dyDescent="0.35">
      <c r="A22" t="s">
        <v>246</v>
      </c>
      <c r="B22" t="s">
        <v>247</v>
      </c>
      <c r="C22" t="s">
        <v>157</v>
      </c>
      <c r="D22" t="s">
        <v>249</v>
      </c>
      <c r="E22" t="s">
        <v>250</v>
      </c>
      <c r="F22" t="s">
        <v>211</v>
      </c>
      <c r="G22" t="s">
        <v>251</v>
      </c>
      <c r="H22">
        <v>17450</v>
      </c>
      <c r="I22">
        <f>Sales_Transactions_Raw[[#This Row],[Unit_Price]]*Sales_Transactions_Raw[[#This Row],[Quantity]]</f>
        <v>52350</v>
      </c>
      <c r="J22">
        <v>3</v>
      </c>
      <c r="K22">
        <v>5</v>
      </c>
      <c r="L22">
        <v>2617.5</v>
      </c>
      <c r="M22">
        <v>49732.5</v>
      </c>
      <c r="N22">
        <v>5</v>
      </c>
      <c r="O22">
        <v>2486.62</v>
      </c>
      <c r="P22">
        <v>0</v>
      </c>
      <c r="Q22">
        <v>52219.12</v>
      </c>
      <c r="R22" t="s">
        <v>64</v>
      </c>
      <c r="S22" t="s">
        <v>49</v>
      </c>
      <c r="T22" t="s">
        <v>66</v>
      </c>
      <c r="U22" t="s">
        <v>108</v>
      </c>
      <c r="V22" t="s">
        <v>224</v>
      </c>
      <c r="W22" t="s">
        <v>95</v>
      </c>
      <c r="X22" t="s">
        <v>96</v>
      </c>
      <c r="Y22" t="s">
        <v>97</v>
      </c>
      <c r="Z22" t="s">
        <v>95</v>
      </c>
      <c r="AA22" t="s">
        <v>252</v>
      </c>
      <c r="AB22" t="s">
        <v>3338</v>
      </c>
      <c r="AC22">
        <v>3</v>
      </c>
      <c r="AD22" t="s">
        <v>56</v>
      </c>
      <c r="AE22" t="s">
        <v>3336</v>
      </c>
      <c r="AF22" t="s">
        <v>140</v>
      </c>
      <c r="AG22" t="s">
        <v>3342</v>
      </c>
      <c r="AH22" s="1">
        <v>45067</v>
      </c>
      <c r="AI22" s="1">
        <v>45073</v>
      </c>
      <c r="AJ22" s="1">
        <v>45076</v>
      </c>
      <c r="AK22" t="s">
        <v>3364</v>
      </c>
      <c r="AL22" t="s">
        <v>248</v>
      </c>
    </row>
    <row r="23" spans="1:38" x14ac:dyDescent="0.35">
      <c r="A23" t="s">
        <v>253</v>
      </c>
      <c r="B23" t="s">
        <v>254</v>
      </c>
      <c r="C23" t="s">
        <v>43</v>
      </c>
      <c r="D23" t="s">
        <v>249</v>
      </c>
      <c r="E23" t="s">
        <v>250</v>
      </c>
      <c r="F23" t="s">
        <v>211</v>
      </c>
      <c r="G23" t="s">
        <v>251</v>
      </c>
      <c r="H23">
        <v>17740</v>
      </c>
      <c r="I23">
        <f>Sales_Transactions_Raw[[#This Row],[Unit_Price]]*Sales_Transactions_Raw[[#This Row],[Quantity]]</f>
        <v>35480</v>
      </c>
      <c r="J23">
        <v>2</v>
      </c>
      <c r="K23">
        <v>0</v>
      </c>
      <c r="L23">
        <v>0</v>
      </c>
      <c r="M23">
        <v>35480</v>
      </c>
      <c r="N23">
        <v>5</v>
      </c>
      <c r="O23">
        <v>1774</v>
      </c>
      <c r="P23">
        <v>0</v>
      </c>
      <c r="Q23">
        <v>37254</v>
      </c>
      <c r="R23" t="s">
        <v>92</v>
      </c>
      <c r="S23" t="s">
        <v>93</v>
      </c>
      <c r="T23" t="s">
        <v>213</v>
      </c>
      <c r="U23" t="s">
        <v>108</v>
      </c>
      <c r="V23" t="s">
        <v>224</v>
      </c>
      <c r="W23" t="s">
        <v>95</v>
      </c>
      <c r="X23" t="s">
        <v>69</v>
      </c>
      <c r="Y23" t="s">
        <v>54</v>
      </c>
      <c r="Z23" t="s">
        <v>70</v>
      </c>
      <c r="AA23" t="s">
        <v>256</v>
      </c>
      <c r="AB23" t="s">
        <v>3340</v>
      </c>
      <c r="AC23">
        <v>4</v>
      </c>
      <c r="AD23" t="s">
        <v>179</v>
      </c>
      <c r="AE23" t="s">
        <v>180</v>
      </c>
      <c r="AF23" t="s">
        <v>99</v>
      </c>
      <c r="AG23" t="s">
        <v>3337</v>
      </c>
      <c r="AH23" s="1">
        <v>45080</v>
      </c>
      <c r="AI23" s="1">
        <v>45263</v>
      </c>
      <c r="AJ23" s="1">
        <v>45006</v>
      </c>
      <c r="AK23" t="s">
        <v>3365</v>
      </c>
      <c r="AL23" t="s">
        <v>255</v>
      </c>
    </row>
    <row r="24" spans="1:38" x14ac:dyDescent="0.35">
      <c r="A24" t="s">
        <v>257</v>
      </c>
      <c r="B24" t="s">
        <v>258</v>
      </c>
      <c r="C24" t="s">
        <v>43</v>
      </c>
      <c r="D24" t="s">
        <v>103</v>
      </c>
      <c r="E24" t="s">
        <v>104</v>
      </c>
      <c r="F24" t="s">
        <v>46</v>
      </c>
      <c r="G24" t="s">
        <v>105</v>
      </c>
      <c r="H24">
        <v>37060</v>
      </c>
      <c r="I24">
        <f>Sales_Transactions_Raw[[#This Row],[Unit_Price]]*Sales_Transactions_Raw[[#This Row],[Quantity]]</f>
        <v>37060</v>
      </c>
      <c r="J24">
        <v>1</v>
      </c>
      <c r="K24">
        <v>5</v>
      </c>
      <c r="L24">
        <v>1853</v>
      </c>
      <c r="M24">
        <v>35207</v>
      </c>
      <c r="N24">
        <v>18</v>
      </c>
      <c r="O24">
        <v>6337.26</v>
      </c>
      <c r="P24">
        <v>0</v>
      </c>
      <c r="Q24">
        <v>41544.26</v>
      </c>
      <c r="R24" t="s">
        <v>160</v>
      </c>
      <c r="S24" t="s">
        <v>65</v>
      </c>
      <c r="T24" t="s">
        <v>115</v>
      </c>
      <c r="U24" t="s">
        <v>196</v>
      </c>
      <c r="V24" t="s">
        <v>197</v>
      </c>
      <c r="W24" t="s">
        <v>68</v>
      </c>
      <c r="X24" t="s">
        <v>260</v>
      </c>
      <c r="Y24" t="s">
        <v>118</v>
      </c>
      <c r="Z24" t="s">
        <v>70</v>
      </c>
      <c r="AA24" t="s">
        <v>261</v>
      </c>
      <c r="AB24" t="s">
        <v>3343</v>
      </c>
      <c r="AC24">
        <v>5</v>
      </c>
      <c r="AD24" t="s">
        <v>56</v>
      </c>
      <c r="AE24" t="s">
        <v>3336</v>
      </c>
      <c r="AF24" t="s">
        <v>262</v>
      </c>
      <c r="AG24" t="s">
        <v>58</v>
      </c>
      <c r="AH24" s="1">
        <v>45137</v>
      </c>
      <c r="AI24" s="1">
        <v>45138</v>
      </c>
      <c r="AJ24" s="1">
        <v>45148</v>
      </c>
      <c r="AK24" t="s">
        <v>3366</v>
      </c>
      <c r="AL24" t="s">
        <v>259</v>
      </c>
    </row>
    <row r="25" spans="1:38" x14ac:dyDescent="0.35">
      <c r="A25" t="s">
        <v>263</v>
      </c>
      <c r="B25" t="s">
        <v>264</v>
      </c>
      <c r="C25" t="s">
        <v>89</v>
      </c>
      <c r="D25" t="s">
        <v>266</v>
      </c>
      <c r="E25" t="s">
        <v>267</v>
      </c>
      <c r="F25" t="s">
        <v>211</v>
      </c>
      <c r="G25" t="s">
        <v>268</v>
      </c>
      <c r="H25">
        <v>51710</v>
      </c>
      <c r="I25">
        <f>Sales_Transactions_Raw[[#This Row],[Unit_Price]]*Sales_Transactions_Raw[[#This Row],[Quantity]]</f>
        <v>51710</v>
      </c>
      <c r="J25">
        <v>1</v>
      </c>
      <c r="K25">
        <v>10</v>
      </c>
      <c r="L25">
        <v>5171</v>
      </c>
      <c r="M25">
        <v>46539</v>
      </c>
      <c r="N25">
        <v>5</v>
      </c>
      <c r="O25">
        <v>2326.9499999999998</v>
      </c>
      <c r="P25">
        <v>0</v>
      </c>
      <c r="Q25">
        <v>48865.95</v>
      </c>
      <c r="R25" t="s">
        <v>64</v>
      </c>
      <c r="S25" t="s">
        <v>125</v>
      </c>
      <c r="T25" t="s">
        <v>66</v>
      </c>
      <c r="U25" t="s">
        <v>161</v>
      </c>
      <c r="V25" t="s">
        <v>269</v>
      </c>
      <c r="W25" t="s">
        <v>70</v>
      </c>
      <c r="X25" t="s">
        <v>204</v>
      </c>
      <c r="Y25" t="s">
        <v>118</v>
      </c>
      <c r="Z25" t="s">
        <v>70</v>
      </c>
      <c r="AA25" t="s">
        <v>270</v>
      </c>
      <c r="AB25" t="s">
        <v>3335</v>
      </c>
      <c r="AC25">
        <v>4</v>
      </c>
      <c r="AD25" t="s">
        <v>56</v>
      </c>
      <c r="AE25" t="s">
        <v>3336</v>
      </c>
      <c r="AF25" t="s">
        <v>84</v>
      </c>
      <c r="AG25" t="s">
        <v>3337</v>
      </c>
      <c r="AH25" s="1">
        <v>45381</v>
      </c>
      <c r="AI25" s="1">
        <v>45382</v>
      </c>
      <c r="AJ25" s="1">
        <v>45385</v>
      </c>
      <c r="AK25" t="s">
        <v>3367</v>
      </c>
      <c r="AL25" t="s">
        <v>265</v>
      </c>
    </row>
    <row r="26" spans="1:38" x14ac:dyDescent="0.35">
      <c r="A26" t="s">
        <v>271</v>
      </c>
      <c r="B26" t="s">
        <v>272</v>
      </c>
      <c r="C26" t="s">
        <v>43</v>
      </c>
      <c r="D26" t="s">
        <v>274</v>
      </c>
      <c r="E26" t="s">
        <v>275</v>
      </c>
      <c r="F26" t="s">
        <v>211</v>
      </c>
      <c r="G26" t="s">
        <v>268</v>
      </c>
      <c r="H26">
        <v>14310</v>
      </c>
      <c r="I26">
        <f>Sales_Transactions_Raw[[#This Row],[Unit_Price]]*Sales_Transactions_Raw[[#This Row],[Quantity]]</f>
        <v>42930</v>
      </c>
      <c r="J26">
        <v>3</v>
      </c>
      <c r="K26">
        <v>10</v>
      </c>
      <c r="L26">
        <v>4293</v>
      </c>
      <c r="M26">
        <v>38637</v>
      </c>
      <c r="N26">
        <v>5</v>
      </c>
      <c r="O26">
        <v>1931.85</v>
      </c>
      <c r="P26">
        <v>0</v>
      </c>
      <c r="Q26">
        <v>40568.85</v>
      </c>
      <c r="R26" t="s">
        <v>79</v>
      </c>
      <c r="S26" t="s">
        <v>125</v>
      </c>
      <c r="T26" t="s">
        <v>115</v>
      </c>
      <c r="U26" t="s">
        <v>50</v>
      </c>
      <c r="V26" t="s">
        <v>276</v>
      </c>
      <c r="W26" t="s">
        <v>95</v>
      </c>
      <c r="X26" t="s">
        <v>277</v>
      </c>
      <c r="Y26" t="s">
        <v>127</v>
      </c>
      <c r="Z26" t="s">
        <v>68</v>
      </c>
      <c r="AA26" t="s">
        <v>278</v>
      </c>
      <c r="AB26" t="s">
        <v>3344</v>
      </c>
      <c r="AC26">
        <v>4</v>
      </c>
      <c r="AD26" t="s">
        <v>56</v>
      </c>
      <c r="AE26" t="s">
        <v>3336</v>
      </c>
      <c r="AF26" t="s">
        <v>279</v>
      </c>
      <c r="AG26" t="s">
        <v>3337</v>
      </c>
      <c r="AH26" s="1">
        <v>44979</v>
      </c>
      <c r="AI26" s="1">
        <v>44982</v>
      </c>
      <c r="AJ26" s="1">
        <v>44988</v>
      </c>
      <c r="AK26" t="s">
        <v>3368</v>
      </c>
      <c r="AL26" t="s">
        <v>273</v>
      </c>
    </row>
    <row r="27" spans="1:38" x14ac:dyDescent="0.35">
      <c r="A27" t="s">
        <v>280</v>
      </c>
      <c r="B27" t="s">
        <v>281</v>
      </c>
      <c r="C27" t="s">
        <v>157</v>
      </c>
      <c r="D27" t="s">
        <v>283</v>
      </c>
      <c r="E27" t="s">
        <v>284</v>
      </c>
      <c r="F27" t="s">
        <v>285</v>
      </c>
      <c r="G27" t="s">
        <v>286</v>
      </c>
      <c r="H27">
        <v>450</v>
      </c>
      <c r="I27">
        <f>Sales_Transactions_Raw[[#This Row],[Unit_Price]]*Sales_Transactions_Raw[[#This Row],[Quantity]]</f>
        <v>900</v>
      </c>
      <c r="J27">
        <v>2</v>
      </c>
      <c r="K27">
        <v>0</v>
      </c>
      <c r="L27">
        <v>0</v>
      </c>
      <c r="M27">
        <v>900</v>
      </c>
      <c r="N27">
        <v>5</v>
      </c>
      <c r="O27">
        <v>45</v>
      </c>
      <c r="P27">
        <v>49</v>
      </c>
      <c r="Q27">
        <v>945</v>
      </c>
      <c r="R27" t="s">
        <v>79</v>
      </c>
      <c r="S27" t="s">
        <v>125</v>
      </c>
      <c r="T27" t="s">
        <v>115</v>
      </c>
      <c r="U27" t="s">
        <v>50</v>
      </c>
      <c r="V27" t="s">
        <v>287</v>
      </c>
      <c r="W27" t="s">
        <v>95</v>
      </c>
      <c r="X27" t="s">
        <v>288</v>
      </c>
      <c r="Y27" t="s">
        <v>289</v>
      </c>
      <c r="Z27" t="s">
        <v>52</v>
      </c>
      <c r="AA27" t="s">
        <v>290</v>
      </c>
      <c r="AB27" t="s">
        <v>3335</v>
      </c>
      <c r="AC27">
        <v>4</v>
      </c>
      <c r="AD27" t="s">
        <v>56</v>
      </c>
      <c r="AE27" t="s">
        <v>3336</v>
      </c>
      <c r="AF27" t="s">
        <v>153</v>
      </c>
      <c r="AG27" t="s">
        <v>3342</v>
      </c>
      <c r="AH27" s="1">
        <v>45010</v>
      </c>
      <c r="AI27" s="1">
        <v>45013</v>
      </c>
      <c r="AJ27" s="1">
        <v>45022</v>
      </c>
      <c r="AK27" t="s">
        <v>3369</v>
      </c>
      <c r="AL27" t="s">
        <v>282</v>
      </c>
    </row>
    <row r="28" spans="1:38" x14ac:dyDescent="0.35">
      <c r="A28" t="s">
        <v>291</v>
      </c>
      <c r="B28" t="s">
        <v>292</v>
      </c>
      <c r="C28" t="s">
        <v>157</v>
      </c>
      <c r="D28" t="s">
        <v>294</v>
      </c>
      <c r="E28" t="s">
        <v>295</v>
      </c>
      <c r="F28" t="s">
        <v>146</v>
      </c>
      <c r="G28" t="s">
        <v>296</v>
      </c>
      <c r="H28">
        <v>14050</v>
      </c>
      <c r="I28">
        <f>Sales_Transactions_Raw[[#This Row],[Unit_Price]]*Sales_Transactions_Raw[[#This Row],[Quantity]]</f>
        <v>42150</v>
      </c>
      <c r="J28">
        <v>3</v>
      </c>
      <c r="K28">
        <v>5</v>
      </c>
      <c r="L28">
        <v>2107.5</v>
      </c>
      <c r="M28">
        <v>40042.5</v>
      </c>
      <c r="N28">
        <v>12</v>
      </c>
      <c r="O28">
        <v>4805.1000000000004</v>
      </c>
      <c r="P28">
        <v>0</v>
      </c>
      <c r="Q28">
        <v>44847.6</v>
      </c>
      <c r="R28" t="s">
        <v>92</v>
      </c>
      <c r="S28" t="s">
        <v>49</v>
      </c>
      <c r="T28" t="s">
        <v>115</v>
      </c>
      <c r="U28" t="s">
        <v>196</v>
      </c>
      <c r="V28" t="s">
        <v>297</v>
      </c>
      <c r="W28" t="s">
        <v>52</v>
      </c>
      <c r="X28" t="s">
        <v>298</v>
      </c>
      <c r="Y28" t="s">
        <v>151</v>
      </c>
      <c r="Z28" t="s">
        <v>81</v>
      </c>
      <c r="AA28" t="s">
        <v>299</v>
      </c>
      <c r="AB28" t="s">
        <v>3343</v>
      </c>
      <c r="AC28">
        <v>4</v>
      </c>
      <c r="AD28" t="s">
        <v>56</v>
      </c>
      <c r="AE28" t="s">
        <v>3336</v>
      </c>
      <c r="AF28" t="s">
        <v>84</v>
      </c>
      <c r="AG28" t="s">
        <v>58</v>
      </c>
      <c r="AH28" s="1">
        <v>45017</v>
      </c>
      <c r="AI28" s="1">
        <v>45021</v>
      </c>
      <c r="AJ28" s="1">
        <v>45024</v>
      </c>
      <c r="AK28" t="s">
        <v>3370</v>
      </c>
      <c r="AL28" t="s">
        <v>293</v>
      </c>
    </row>
    <row r="29" spans="1:38" x14ac:dyDescent="0.35">
      <c r="A29" t="s">
        <v>300</v>
      </c>
      <c r="B29" t="s">
        <v>301</v>
      </c>
      <c r="C29" t="s">
        <v>43</v>
      </c>
      <c r="D29" t="s">
        <v>303</v>
      </c>
      <c r="E29" t="s">
        <v>304</v>
      </c>
      <c r="F29" t="s">
        <v>134</v>
      </c>
      <c r="G29" t="s">
        <v>305</v>
      </c>
      <c r="H29">
        <v>40760</v>
      </c>
      <c r="I29">
        <f>Sales_Transactions_Raw[[#This Row],[Unit_Price]]*Sales_Transactions_Raw[[#This Row],[Quantity]]</f>
        <v>122280</v>
      </c>
      <c r="J29">
        <v>3</v>
      </c>
      <c r="K29">
        <v>15</v>
      </c>
      <c r="L29">
        <v>18342</v>
      </c>
      <c r="M29">
        <v>103938</v>
      </c>
      <c r="N29">
        <v>5</v>
      </c>
      <c r="O29">
        <v>5196.8999999999996</v>
      </c>
      <c r="P29">
        <v>0</v>
      </c>
      <c r="Q29">
        <v>109134.9</v>
      </c>
      <c r="R29" t="s">
        <v>106</v>
      </c>
      <c r="S29" t="s">
        <v>107</v>
      </c>
      <c r="T29" t="s">
        <v>115</v>
      </c>
      <c r="U29" t="s">
        <v>214</v>
      </c>
      <c r="V29" t="s">
        <v>116</v>
      </c>
      <c r="W29" t="s">
        <v>70</v>
      </c>
      <c r="X29" t="s">
        <v>306</v>
      </c>
      <c r="Y29" t="s">
        <v>97</v>
      </c>
      <c r="Z29" t="s">
        <v>95</v>
      </c>
      <c r="AA29" t="s">
        <v>307</v>
      </c>
      <c r="AB29" t="s">
        <v>3344</v>
      </c>
      <c r="AC29">
        <v>4</v>
      </c>
      <c r="AD29" t="s">
        <v>56</v>
      </c>
      <c r="AE29" t="s">
        <v>3336</v>
      </c>
      <c r="AF29" t="s">
        <v>279</v>
      </c>
      <c r="AG29" t="s">
        <v>111</v>
      </c>
      <c r="AH29" s="1">
        <v>45019</v>
      </c>
      <c r="AI29" s="1">
        <v>45024</v>
      </c>
      <c r="AJ29" s="1">
        <v>45034</v>
      </c>
      <c r="AK29" t="s">
        <v>3371</v>
      </c>
      <c r="AL29" t="s">
        <v>302</v>
      </c>
    </row>
    <row r="30" spans="1:38" x14ac:dyDescent="0.35">
      <c r="A30" t="s">
        <v>308</v>
      </c>
      <c r="B30" t="s">
        <v>155</v>
      </c>
      <c r="C30" t="s">
        <v>43</v>
      </c>
      <c r="D30" t="s">
        <v>310</v>
      </c>
      <c r="E30" t="s">
        <v>311</v>
      </c>
      <c r="F30" t="s">
        <v>211</v>
      </c>
      <c r="G30" t="s">
        <v>312</v>
      </c>
      <c r="H30">
        <v>12560</v>
      </c>
      <c r="I30">
        <f>Sales_Transactions_Raw[[#This Row],[Unit_Price]]*Sales_Transactions_Raw[[#This Row],[Quantity]]</f>
        <v>25120</v>
      </c>
      <c r="J30">
        <v>2</v>
      </c>
      <c r="K30">
        <v>15</v>
      </c>
      <c r="L30">
        <v>3768</v>
      </c>
      <c r="M30">
        <v>21352</v>
      </c>
      <c r="N30">
        <v>5</v>
      </c>
      <c r="O30">
        <v>1067.5999999999999</v>
      </c>
      <c r="P30">
        <v>0</v>
      </c>
      <c r="Q30">
        <v>22419.599999999999</v>
      </c>
      <c r="R30" t="s">
        <v>106</v>
      </c>
      <c r="S30" t="s">
        <v>107</v>
      </c>
      <c r="T30" t="s">
        <v>66</v>
      </c>
      <c r="U30" t="s">
        <v>108</v>
      </c>
      <c r="V30" t="s">
        <v>224</v>
      </c>
      <c r="W30" t="s">
        <v>95</v>
      </c>
      <c r="X30" t="s">
        <v>298</v>
      </c>
      <c r="Y30" t="s">
        <v>151</v>
      </c>
      <c r="Z30" t="s">
        <v>81</v>
      </c>
      <c r="AA30" t="s">
        <v>313</v>
      </c>
      <c r="AB30" t="s">
        <v>3335</v>
      </c>
      <c r="AC30">
        <v>4</v>
      </c>
      <c r="AD30" t="s">
        <v>56</v>
      </c>
      <c r="AE30" t="s">
        <v>3336</v>
      </c>
      <c r="AF30" t="s">
        <v>57</v>
      </c>
      <c r="AG30" t="s">
        <v>85</v>
      </c>
      <c r="AH30" s="1">
        <v>45328</v>
      </c>
      <c r="AI30" s="1">
        <v>45330</v>
      </c>
      <c r="AJ30" s="1">
        <v>45333</v>
      </c>
      <c r="AK30" t="s">
        <v>3354</v>
      </c>
      <c r="AL30" t="s">
        <v>309</v>
      </c>
    </row>
    <row r="31" spans="1:38" x14ac:dyDescent="0.35">
      <c r="A31" t="s">
        <v>314</v>
      </c>
      <c r="B31" t="s">
        <v>315</v>
      </c>
      <c r="C31" t="s">
        <v>43</v>
      </c>
      <c r="D31" t="s">
        <v>317</v>
      </c>
      <c r="E31" t="s">
        <v>77</v>
      </c>
      <c r="F31" t="s">
        <v>46</v>
      </c>
      <c r="G31" t="s">
        <v>176</v>
      </c>
      <c r="H31">
        <v>29600</v>
      </c>
      <c r="I31">
        <f>Sales_Transactions_Raw[[#This Row],[Unit_Price]]*Sales_Transactions_Raw[[#This Row],[Quantity]]</f>
        <v>88800</v>
      </c>
      <c r="J31">
        <v>3</v>
      </c>
      <c r="K31">
        <v>0</v>
      </c>
      <c r="L31">
        <v>0</v>
      </c>
      <c r="M31">
        <v>88800</v>
      </c>
      <c r="N31">
        <v>18</v>
      </c>
      <c r="O31">
        <v>15984</v>
      </c>
      <c r="P31">
        <v>0</v>
      </c>
      <c r="Q31">
        <v>104784</v>
      </c>
      <c r="R31" t="s">
        <v>160</v>
      </c>
      <c r="S31" t="s">
        <v>49</v>
      </c>
      <c r="T31" t="s">
        <v>115</v>
      </c>
      <c r="U31" t="s">
        <v>196</v>
      </c>
      <c r="V31" t="s">
        <v>224</v>
      </c>
      <c r="W31" t="s">
        <v>95</v>
      </c>
      <c r="X31" t="s">
        <v>318</v>
      </c>
      <c r="Y31" t="s">
        <v>319</v>
      </c>
      <c r="Z31" t="s">
        <v>95</v>
      </c>
      <c r="AA31" t="s">
        <v>320</v>
      </c>
      <c r="AB31" t="s">
        <v>3339</v>
      </c>
      <c r="AC31">
        <v>4</v>
      </c>
      <c r="AD31" t="s">
        <v>56</v>
      </c>
      <c r="AE31" t="s">
        <v>3336</v>
      </c>
      <c r="AF31" t="s">
        <v>217</v>
      </c>
      <c r="AG31" t="s">
        <v>85</v>
      </c>
      <c r="AH31" s="1">
        <v>45378</v>
      </c>
      <c r="AI31" s="1">
        <v>45382</v>
      </c>
      <c r="AJ31" s="1">
        <v>45388</v>
      </c>
      <c r="AK31" t="s">
        <v>3372</v>
      </c>
      <c r="AL31" t="s">
        <v>316</v>
      </c>
    </row>
    <row r="32" spans="1:38" x14ac:dyDescent="0.35">
      <c r="A32" t="s">
        <v>321</v>
      </c>
      <c r="B32" t="s">
        <v>315</v>
      </c>
      <c r="C32" t="s">
        <v>43</v>
      </c>
      <c r="D32" t="s">
        <v>323</v>
      </c>
      <c r="E32" t="s">
        <v>324</v>
      </c>
      <c r="F32" t="s">
        <v>146</v>
      </c>
      <c r="G32" t="s">
        <v>296</v>
      </c>
      <c r="H32">
        <v>11770</v>
      </c>
      <c r="I32">
        <f>Sales_Transactions_Raw[[#This Row],[Unit_Price]]*Sales_Transactions_Raw[[#This Row],[Quantity]]</f>
        <v>11770</v>
      </c>
      <c r="J32">
        <v>1</v>
      </c>
      <c r="K32">
        <v>10</v>
      </c>
      <c r="L32">
        <v>1177</v>
      </c>
      <c r="M32">
        <v>10593</v>
      </c>
      <c r="N32">
        <v>12</v>
      </c>
      <c r="O32">
        <v>1271.1600000000001</v>
      </c>
      <c r="P32">
        <v>0</v>
      </c>
      <c r="Q32">
        <v>11864.16</v>
      </c>
      <c r="R32" t="s">
        <v>106</v>
      </c>
      <c r="S32" t="s">
        <v>125</v>
      </c>
      <c r="T32" t="s">
        <v>115</v>
      </c>
      <c r="U32" t="s">
        <v>214</v>
      </c>
      <c r="V32" t="s">
        <v>287</v>
      </c>
      <c r="W32" t="s">
        <v>95</v>
      </c>
      <c r="X32" t="s">
        <v>288</v>
      </c>
      <c r="Y32" t="s">
        <v>289</v>
      </c>
      <c r="Z32" t="s">
        <v>52</v>
      </c>
      <c r="AA32" t="s">
        <v>325</v>
      </c>
      <c r="AB32" t="s">
        <v>3338</v>
      </c>
      <c r="AC32">
        <v>4</v>
      </c>
      <c r="AD32" t="s">
        <v>56</v>
      </c>
      <c r="AE32" t="s">
        <v>3336</v>
      </c>
      <c r="AF32" t="s">
        <v>326</v>
      </c>
      <c r="AG32" t="s">
        <v>58</v>
      </c>
      <c r="AH32" s="1">
        <v>45008</v>
      </c>
      <c r="AI32" s="1">
        <v>45009</v>
      </c>
      <c r="AJ32" s="1">
        <v>45015</v>
      </c>
      <c r="AK32" t="s">
        <v>3373</v>
      </c>
      <c r="AL32" t="s">
        <v>322</v>
      </c>
    </row>
    <row r="33" spans="1:38" x14ac:dyDescent="0.35">
      <c r="A33" t="s">
        <v>280</v>
      </c>
      <c r="B33" t="s">
        <v>327</v>
      </c>
      <c r="C33" t="s">
        <v>43</v>
      </c>
      <c r="D33" t="s">
        <v>329</v>
      </c>
      <c r="E33" t="s">
        <v>250</v>
      </c>
      <c r="F33" t="s">
        <v>134</v>
      </c>
      <c r="G33" t="s">
        <v>330</v>
      </c>
      <c r="H33">
        <v>21430</v>
      </c>
      <c r="I33">
        <f>Sales_Transactions_Raw[[#This Row],[Unit_Price]]*Sales_Transactions_Raw[[#This Row],[Quantity]]</f>
        <v>42860</v>
      </c>
      <c r="J33">
        <v>2</v>
      </c>
      <c r="K33">
        <v>10</v>
      </c>
      <c r="L33">
        <v>4286</v>
      </c>
      <c r="M33">
        <v>38574</v>
      </c>
      <c r="N33">
        <v>5</v>
      </c>
      <c r="O33">
        <v>1928.7</v>
      </c>
      <c r="P33">
        <v>0</v>
      </c>
      <c r="Q33">
        <v>40502.699999999997</v>
      </c>
      <c r="R33" t="s">
        <v>64</v>
      </c>
      <c r="S33" t="s">
        <v>93</v>
      </c>
      <c r="T33" t="s">
        <v>148</v>
      </c>
      <c r="U33" t="s">
        <v>161</v>
      </c>
      <c r="V33" t="s">
        <v>149</v>
      </c>
      <c r="W33" t="s">
        <v>81</v>
      </c>
      <c r="X33" t="s">
        <v>53</v>
      </c>
      <c r="Y33" t="s">
        <v>54</v>
      </c>
      <c r="Z33" t="s">
        <v>70</v>
      </c>
      <c r="AA33" t="s">
        <v>331</v>
      </c>
      <c r="AB33" t="s">
        <v>3335</v>
      </c>
      <c r="AC33">
        <v>4</v>
      </c>
      <c r="AD33" t="s">
        <v>56</v>
      </c>
      <c r="AE33" t="s">
        <v>3336</v>
      </c>
      <c r="AF33" t="s">
        <v>84</v>
      </c>
      <c r="AG33" t="s">
        <v>58</v>
      </c>
      <c r="AH33" s="1">
        <v>45033</v>
      </c>
      <c r="AI33" s="1">
        <v>45040</v>
      </c>
      <c r="AJ33" s="1">
        <v>45015</v>
      </c>
      <c r="AK33" t="s">
        <v>3374</v>
      </c>
      <c r="AL33" t="s">
        <v>328</v>
      </c>
    </row>
    <row r="34" spans="1:38" x14ac:dyDescent="0.35">
      <c r="A34" t="s">
        <v>332</v>
      </c>
      <c r="B34" t="s">
        <v>333</v>
      </c>
      <c r="C34" t="s">
        <v>89</v>
      </c>
      <c r="D34" t="s">
        <v>335</v>
      </c>
      <c r="E34" t="s">
        <v>336</v>
      </c>
      <c r="F34" t="s">
        <v>134</v>
      </c>
      <c r="G34" t="s">
        <v>135</v>
      </c>
      <c r="H34">
        <v>10260</v>
      </c>
      <c r="I34">
        <f>Sales_Transactions_Raw[[#This Row],[Unit_Price]]*Sales_Transactions_Raw[[#This Row],[Quantity]]</f>
        <v>10260</v>
      </c>
      <c r="J34">
        <v>1</v>
      </c>
      <c r="K34">
        <v>5</v>
      </c>
      <c r="L34">
        <v>513</v>
      </c>
      <c r="M34">
        <v>9747</v>
      </c>
      <c r="N34">
        <v>5</v>
      </c>
      <c r="O34">
        <v>487.35</v>
      </c>
      <c r="P34">
        <v>0</v>
      </c>
      <c r="Q34">
        <v>10234.35</v>
      </c>
      <c r="R34" t="s">
        <v>124</v>
      </c>
      <c r="S34" t="s">
        <v>49</v>
      </c>
      <c r="T34" t="s">
        <v>66</v>
      </c>
      <c r="U34" t="s">
        <v>161</v>
      </c>
      <c r="V34" t="s">
        <v>67</v>
      </c>
      <c r="W34" t="s">
        <v>68</v>
      </c>
      <c r="X34" t="s">
        <v>626</v>
      </c>
      <c r="Y34" t="s">
        <v>289</v>
      </c>
      <c r="Z34" t="s">
        <v>52</v>
      </c>
      <c r="AA34" t="s">
        <v>337</v>
      </c>
      <c r="AB34" t="s">
        <v>3344</v>
      </c>
      <c r="AC34">
        <v>3</v>
      </c>
      <c r="AD34" t="s">
        <v>56</v>
      </c>
      <c r="AE34" t="s">
        <v>3336</v>
      </c>
      <c r="AF34" t="s">
        <v>99</v>
      </c>
      <c r="AG34" t="s">
        <v>58</v>
      </c>
      <c r="AH34" s="1">
        <v>45111</v>
      </c>
      <c r="AI34" s="1">
        <v>45116</v>
      </c>
      <c r="AJ34" s="1">
        <v>45122</v>
      </c>
      <c r="AK34" t="s">
        <v>3375</v>
      </c>
      <c r="AL34" t="s">
        <v>334</v>
      </c>
    </row>
    <row r="35" spans="1:38" x14ac:dyDescent="0.35">
      <c r="A35" t="s">
        <v>338</v>
      </c>
      <c r="B35" t="s">
        <v>41</v>
      </c>
      <c r="C35" t="s">
        <v>157</v>
      </c>
      <c r="D35" t="s">
        <v>174</v>
      </c>
      <c r="E35" t="s">
        <v>175</v>
      </c>
      <c r="F35" t="s">
        <v>46</v>
      </c>
      <c r="G35" t="s">
        <v>176</v>
      </c>
      <c r="H35">
        <v>1490</v>
      </c>
      <c r="I35">
        <f>Sales_Transactions_Raw[[#This Row],[Unit_Price]]*Sales_Transactions_Raw[[#This Row],[Quantity]]</f>
        <v>1490</v>
      </c>
      <c r="J35">
        <v>1</v>
      </c>
      <c r="K35">
        <v>25</v>
      </c>
      <c r="L35">
        <v>372.5</v>
      </c>
      <c r="M35">
        <v>1117.5</v>
      </c>
      <c r="N35">
        <v>18</v>
      </c>
      <c r="O35">
        <v>201.15</v>
      </c>
      <c r="P35">
        <v>99</v>
      </c>
      <c r="Q35">
        <v>1318.65</v>
      </c>
      <c r="R35" t="s">
        <v>124</v>
      </c>
      <c r="S35" t="s">
        <v>49</v>
      </c>
      <c r="T35" t="s">
        <v>66</v>
      </c>
      <c r="U35" t="s">
        <v>108</v>
      </c>
      <c r="V35" t="s">
        <v>94</v>
      </c>
      <c r="W35" t="s">
        <v>95</v>
      </c>
      <c r="X35" t="s">
        <v>340</v>
      </c>
      <c r="Y35" t="s">
        <v>169</v>
      </c>
      <c r="Z35" t="s">
        <v>95</v>
      </c>
      <c r="AA35" t="s">
        <v>341</v>
      </c>
      <c r="AB35" t="s">
        <v>3343</v>
      </c>
      <c r="AC35">
        <v>5</v>
      </c>
      <c r="AD35" t="s">
        <v>56</v>
      </c>
      <c r="AE35" t="s">
        <v>3336</v>
      </c>
      <c r="AF35" t="s">
        <v>57</v>
      </c>
      <c r="AG35" t="s">
        <v>3342</v>
      </c>
      <c r="AH35" s="1">
        <v>45323</v>
      </c>
      <c r="AI35" s="1">
        <v>45328</v>
      </c>
      <c r="AJ35" s="1">
        <v>45331</v>
      </c>
      <c r="AK35" t="s">
        <v>3376</v>
      </c>
      <c r="AL35" t="s">
        <v>339</v>
      </c>
    </row>
    <row r="36" spans="1:38" x14ac:dyDescent="0.35">
      <c r="A36" t="s">
        <v>342</v>
      </c>
      <c r="B36" t="s">
        <v>343</v>
      </c>
      <c r="C36" t="s">
        <v>43</v>
      </c>
      <c r="D36" t="s">
        <v>345</v>
      </c>
      <c r="E36" t="s">
        <v>346</v>
      </c>
      <c r="F36" t="s">
        <v>46</v>
      </c>
      <c r="G36" t="s">
        <v>63</v>
      </c>
      <c r="H36">
        <v>132560</v>
      </c>
      <c r="I36">
        <f>Sales_Transactions_Raw[[#This Row],[Unit_Price]]*Sales_Transactions_Raw[[#This Row],[Quantity]]</f>
        <v>265120</v>
      </c>
      <c r="J36">
        <v>2</v>
      </c>
      <c r="K36">
        <v>15</v>
      </c>
      <c r="L36">
        <v>39768</v>
      </c>
      <c r="M36">
        <v>225352</v>
      </c>
      <c r="N36">
        <v>18</v>
      </c>
      <c r="O36">
        <v>40563.360000000001</v>
      </c>
      <c r="P36">
        <v>0</v>
      </c>
      <c r="Q36">
        <v>265915.36</v>
      </c>
      <c r="R36" t="s">
        <v>48</v>
      </c>
      <c r="S36" t="s">
        <v>49</v>
      </c>
      <c r="T36" t="s">
        <v>66</v>
      </c>
      <c r="U36" t="s">
        <v>161</v>
      </c>
      <c r="V36" t="s">
        <v>297</v>
      </c>
      <c r="W36" t="s">
        <v>52</v>
      </c>
      <c r="X36" t="s">
        <v>260</v>
      </c>
      <c r="Y36" t="s">
        <v>118</v>
      </c>
      <c r="Z36" t="s">
        <v>70</v>
      </c>
      <c r="AA36" t="s">
        <v>347</v>
      </c>
      <c r="AB36" t="s">
        <v>3335</v>
      </c>
      <c r="AC36">
        <v>5</v>
      </c>
      <c r="AD36" t="s">
        <v>56</v>
      </c>
      <c r="AE36" t="s">
        <v>3336</v>
      </c>
      <c r="AF36" t="s">
        <v>279</v>
      </c>
      <c r="AG36" t="s">
        <v>58</v>
      </c>
      <c r="AH36" s="1">
        <v>45002</v>
      </c>
      <c r="AI36" s="1">
        <v>45006</v>
      </c>
      <c r="AJ36" s="1">
        <v>45015</v>
      </c>
      <c r="AK36" t="s">
        <v>3377</v>
      </c>
      <c r="AL36" t="s">
        <v>344</v>
      </c>
    </row>
    <row r="37" spans="1:38" x14ac:dyDescent="0.35">
      <c r="A37" t="s">
        <v>348</v>
      </c>
      <c r="B37" t="s">
        <v>292</v>
      </c>
      <c r="C37" t="s">
        <v>43</v>
      </c>
      <c r="D37" t="s">
        <v>350</v>
      </c>
      <c r="E37" t="s">
        <v>351</v>
      </c>
      <c r="F37" t="s">
        <v>211</v>
      </c>
      <c r="G37" t="s">
        <v>352</v>
      </c>
      <c r="H37">
        <v>46330</v>
      </c>
      <c r="I37">
        <f>Sales_Transactions_Raw[[#This Row],[Unit_Price]]*Sales_Transactions_Raw[[#This Row],[Quantity]]</f>
        <v>231650</v>
      </c>
      <c r="J37">
        <v>5</v>
      </c>
      <c r="K37">
        <v>0</v>
      </c>
      <c r="L37">
        <v>0</v>
      </c>
      <c r="M37">
        <v>231650</v>
      </c>
      <c r="N37">
        <v>5</v>
      </c>
      <c r="O37">
        <v>11582.5</v>
      </c>
      <c r="P37">
        <v>0</v>
      </c>
      <c r="Q37">
        <v>243232.5</v>
      </c>
      <c r="R37" t="s">
        <v>79</v>
      </c>
      <c r="S37" t="s">
        <v>49</v>
      </c>
      <c r="T37" t="s">
        <v>115</v>
      </c>
      <c r="U37" t="s">
        <v>161</v>
      </c>
      <c r="V37" t="s">
        <v>269</v>
      </c>
      <c r="W37" t="s">
        <v>70</v>
      </c>
      <c r="X37" t="s">
        <v>137</v>
      </c>
      <c r="Y37" t="s">
        <v>138</v>
      </c>
      <c r="Z37" t="s">
        <v>81</v>
      </c>
      <c r="AA37" t="s">
        <v>353</v>
      </c>
      <c r="AB37" t="s">
        <v>3335</v>
      </c>
      <c r="AC37">
        <v>4</v>
      </c>
      <c r="AD37" t="s">
        <v>56</v>
      </c>
      <c r="AE37" t="s">
        <v>3336</v>
      </c>
      <c r="AF37" t="s">
        <v>84</v>
      </c>
      <c r="AG37" t="s">
        <v>3342</v>
      </c>
      <c r="AH37" s="1">
        <v>45223</v>
      </c>
      <c r="AI37" s="1">
        <v>45229</v>
      </c>
      <c r="AJ37" s="1">
        <v>45235</v>
      </c>
      <c r="AK37" t="s">
        <v>3378</v>
      </c>
      <c r="AL37" t="s">
        <v>349</v>
      </c>
    </row>
    <row r="38" spans="1:38" x14ac:dyDescent="0.35">
      <c r="A38" t="s">
        <v>354</v>
      </c>
      <c r="B38" t="s">
        <v>355</v>
      </c>
      <c r="C38" t="s">
        <v>89</v>
      </c>
      <c r="D38" t="s">
        <v>62</v>
      </c>
      <c r="E38" t="s">
        <v>45</v>
      </c>
      <c r="F38" t="s">
        <v>46</v>
      </c>
      <c r="G38" t="s">
        <v>63</v>
      </c>
      <c r="H38">
        <v>59830</v>
      </c>
      <c r="I38">
        <f>Sales_Transactions_Raw[[#This Row],[Unit_Price]]*Sales_Transactions_Raw[[#This Row],[Quantity]]</f>
        <v>59830</v>
      </c>
      <c r="J38">
        <v>1</v>
      </c>
      <c r="K38">
        <v>10</v>
      </c>
      <c r="L38">
        <v>5983</v>
      </c>
      <c r="M38">
        <v>53847</v>
      </c>
      <c r="N38">
        <v>18</v>
      </c>
      <c r="O38">
        <v>9692.4599999999991</v>
      </c>
      <c r="P38">
        <v>0</v>
      </c>
      <c r="Q38">
        <v>63539.46</v>
      </c>
      <c r="R38" t="s">
        <v>64</v>
      </c>
      <c r="S38" t="s">
        <v>93</v>
      </c>
      <c r="T38" t="s">
        <v>148</v>
      </c>
      <c r="U38" t="s">
        <v>196</v>
      </c>
      <c r="V38" t="s">
        <v>94</v>
      </c>
      <c r="W38" t="s">
        <v>95</v>
      </c>
      <c r="X38" t="s">
        <v>357</v>
      </c>
      <c r="Y38" t="s">
        <v>358</v>
      </c>
      <c r="Z38" t="s">
        <v>95</v>
      </c>
      <c r="AA38" t="s">
        <v>359</v>
      </c>
      <c r="AB38" t="s">
        <v>3335</v>
      </c>
      <c r="AC38">
        <v>4</v>
      </c>
      <c r="AD38" t="s">
        <v>56</v>
      </c>
      <c r="AE38" t="s">
        <v>3336</v>
      </c>
      <c r="AF38" t="s">
        <v>262</v>
      </c>
      <c r="AG38" t="s">
        <v>58</v>
      </c>
      <c r="AH38" s="1">
        <v>45395</v>
      </c>
      <c r="AI38" s="1">
        <v>45397</v>
      </c>
      <c r="AJ38" s="1">
        <v>45402</v>
      </c>
      <c r="AK38" t="s">
        <v>3379</v>
      </c>
      <c r="AL38" t="s">
        <v>356</v>
      </c>
    </row>
    <row r="39" spans="1:38" x14ac:dyDescent="0.35">
      <c r="A39" t="s">
        <v>360</v>
      </c>
      <c r="B39" t="s">
        <v>142</v>
      </c>
      <c r="C39" t="s">
        <v>89</v>
      </c>
      <c r="D39" t="s">
        <v>294</v>
      </c>
      <c r="E39" t="s">
        <v>295</v>
      </c>
      <c r="F39" t="s">
        <v>146</v>
      </c>
      <c r="G39" t="s">
        <v>296</v>
      </c>
      <c r="H39">
        <v>13760</v>
      </c>
      <c r="I39">
        <f>Sales_Transactions_Raw[[#This Row],[Unit_Price]]*Sales_Transactions_Raw[[#This Row],[Quantity]]</f>
        <v>27520</v>
      </c>
      <c r="J39">
        <v>2</v>
      </c>
      <c r="K39">
        <v>10</v>
      </c>
      <c r="L39">
        <v>2752</v>
      </c>
      <c r="M39">
        <v>24768</v>
      </c>
      <c r="N39">
        <v>12</v>
      </c>
      <c r="O39">
        <v>2972.16</v>
      </c>
      <c r="P39">
        <v>0</v>
      </c>
      <c r="Q39">
        <v>27740.16</v>
      </c>
      <c r="R39" t="s">
        <v>160</v>
      </c>
      <c r="S39" t="s">
        <v>125</v>
      </c>
      <c r="T39" t="s">
        <v>148</v>
      </c>
      <c r="U39" t="s">
        <v>50</v>
      </c>
      <c r="V39" t="s">
        <v>242</v>
      </c>
      <c r="W39" t="s">
        <v>70</v>
      </c>
      <c r="X39" t="s">
        <v>362</v>
      </c>
      <c r="Y39" t="s">
        <v>118</v>
      </c>
      <c r="Z39" t="s">
        <v>70</v>
      </c>
      <c r="AA39" t="s">
        <v>363</v>
      </c>
      <c r="AB39" t="s">
        <v>3335</v>
      </c>
      <c r="AC39">
        <v>4</v>
      </c>
      <c r="AD39" t="s">
        <v>56</v>
      </c>
      <c r="AE39" t="s">
        <v>3336</v>
      </c>
      <c r="AF39" t="s">
        <v>227</v>
      </c>
      <c r="AG39" t="s">
        <v>3337</v>
      </c>
      <c r="AH39" s="1">
        <v>45602</v>
      </c>
      <c r="AI39" s="1">
        <v>45456</v>
      </c>
      <c r="AJ39" s="1">
        <v>45463</v>
      </c>
      <c r="AK39" t="s">
        <v>3353</v>
      </c>
      <c r="AL39" t="s">
        <v>361</v>
      </c>
    </row>
    <row r="40" spans="1:38" x14ac:dyDescent="0.35">
      <c r="A40" t="s">
        <v>364</v>
      </c>
      <c r="B40" t="s">
        <v>365</v>
      </c>
      <c r="C40" t="s">
        <v>43</v>
      </c>
      <c r="D40" t="s">
        <v>367</v>
      </c>
      <c r="E40" t="s">
        <v>368</v>
      </c>
      <c r="F40" t="s">
        <v>46</v>
      </c>
      <c r="G40" t="s">
        <v>369</v>
      </c>
      <c r="H40">
        <v>28110</v>
      </c>
      <c r="I40">
        <f>Sales_Transactions_Raw[[#This Row],[Unit_Price]]*Sales_Transactions_Raw[[#This Row],[Quantity]]</f>
        <v>112440</v>
      </c>
      <c r="J40">
        <v>4</v>
      </c>
      <c r="K40">
        <v>5</v>
      </c>
      <c r="L40">
        <v>5622</v>
      </c>
      <c r="M40">
        <v>106818</v>
      </c>
      <c r="N40">
        <v>18</v>
      </c>
      <c r="O40">
        <v>19227.240000000002</v>
      </c>
      <c r="P40">
        <v>0</v>
      </c>
      <c r="Q40">
        <v>126045.24</v>
      </c>
      <c r="R40" t="s">
        <v>160</v>
      </c>
      <c r="S40" t="s">
        <v>125</v>
      </c>
      <c r="T40" t="s">
        <v>115</v>
      </c>
      <c r="U40" t="s">
        <v>50</v>
      </c>
      <c r="V40" t="s">
        <v>80</v>
      </c>
      <c r="W40" t="s">
        <v>81</v>
      </c>
      <c r="X40" t="s">
        <v>370</v>
      </c>
      <c r="Y40" t="s">
        <v>151</v>
      </c>
      <c r="Z40" t="s">
        <v>81</v>
      </c>
      <c r="AA40" t="s">
        <v>371</v>
      </c>
      <c r="AB40" t="s">
        <v>3344</v>
      </c>
      <c r="AC40">
        <v>4</v>
      </c>
      <c r="AD40" t="s">
        <v>56</v>
      </c>
      <c r="AE40" t="s">
        <v>3336</v>
      </c>
      <c r="AF40" t="s">
        <v>57</v>
      </c>
      <c r="AG40" t="s">
        <v>3342</v>
      </c>
      <c r="AH40" s="1">
        <v>45458</v>
      </c>
      <c r="AI40" s="1">
        <v>45460</v>
      </c>
      <c r="AJ40" s="1">
        <v>45470</v>
      </c>
      <c r="AK40" t="s">
        <v>3380</v>
      </c>
      <c r="AL40" t="s">
        <v>366</v>
      </c>
    </row>
    <row r="41" spans="1:38" x14ac:dyDescent="0.35">
      <c r="A41" t="s">
        <v>372</v>
      </c>
      <c r="B41" t="s">
        <v>373</v>
      </c>
      <c r="C41" t="s">
        <v>157</v>
      </c>
      <c r="D41" t="s">
        <v>375</v>
      </c>
      <c r="E41" t="s">
        <v>376</v>
      </c>
      <c r="F41" t="s">
        <v>146</v>
      </c>
      <c r="G41" t="s">
        <v>147</v>
      </c>
      <c r="H41">
        <v>29347.846790890268</v>
      </c>
      <c r="I41">
        <f>Sales_Transactions_Raw[[#This Row],[Unit_Price]]*Sales_Transactions_Raw[[#This Row],[Quantity]]</f>
        <v>117391.38716356107</v>
      </c>
      <c r="J41">
        <v>4</v>
      </c>
      <c r="K41">
        <v>10</v>
      </c>
      <c r="L41">
        <v>3616</v>
      </c>
      <c r="M41">
        <v>32544</v>
      </c>
      <c r="N41">
        <v>12</v>
      </c>
      <c r="O41">
        <v>3905.28</v>
      </c>
      <c r="P41">
        <v>0</v>
      </c>
      <c r="Q41">
        <v>36449.279999999999</v>
      </c>
      <c r="R41" t="s">
        <v>124</v>
      </c>
      <c r="S41" t="s">
        <v>125</v>
      </c>
      <c r="T41" t="s">
        <v>115</v>
      </c>
      <c r="U41" t="s">
        <v>161</v>
      </c>
      <c r="V41" t="s">
        <v>177</v>
      </c>
      <c r="W41" t="s">
        <v>81</v>
      </c>
      <c r="X41" t="s">
        <v>298</v>
      </c>
      <c r="Y41" t="s">
        <v>151</v>
      </c>
      <c r="Z41" t="s">
        <v>81</v>
      </c>
      <c r="AA41" t="s">
        <v>377</v>
      </c>
      <c r="AB41" t="s">
        <v>3340</v>
      </c>
      <c r="AC41">
        <v>4</v>
      </c>
      <c r="AD41" t="s">
        <v>56</v>
      </c>
      <c r="AE41" t="s">
        <v>3336</v>
      </c>
      <c r="AF41" t="s">
        <v>153</v>
      </c>
      <c r="AG41" t="s">
        <v>111</v>
      </c>
      <c r="AH41" s="1">
        <v>45067</v>
      </c>
      <c r="AI41" s="1">
        <v>45068</v>
      </c>
      <c r="AJ41" s="1">
        <v>45073</v>
      </c>
      <c r="AK41" t="s">
        <v>3381</v>
      </c>
      <c r="AL41" t="s">
        <v>374</v>
      </c>
    </row>
    <row r="42" spans="1:38" x14ac:dyDescent="0.35">
      <c r="A42" t="s">
        <v>378</v>
      </c>
      <c r="B42" t="s">
        <v>379</v>
      </c>
      <c r="C42" t="s">
        <v>157</v>
      </c>
      <c r="D42" t="s">
        <v>144</v>
      </c>
      <c r="E42" t="s">
        <v>145</v>
      </c>
      <c r="F42" t="s">
        <v>146</v>
      </c>
      <c r="G42" t="s">
        <v>147</v>
      </c>
      <c r="H42">
        <v>2340</v>
      </c>
      <c r="I42">
        <f>Sales_Transactions_Raw[[#This Row],[Unit_Price]]*Sales_Transactions_Raw[[#This Row],[Quantity]]</f>
        <v>2340</v>
      </c>
      <c r="J42">
        <v>1</v>
      </c>
      <c r="K42">
        <v>0</v>
      </c>
      <c r="L42">
        <v>0</v>
      </c>
      <c r="M42">
        <v>2340</v>
      </c>
      <c r="N42">
        <v>12</v>
      </c>
      <c r="O42">
        <v>280.8</v>
      </c>
      <c r="P42">
        <v>149</v>
      </c>
      <c r="Q42">
        <v>2620.8000000000002</v>
      </c>
      <c r="R42" t="s">
        <v>64</v>
      </c>
      <c r="S42" t="s">
        <v>49</v>
      </c>
      <c r="T42" t="s">
        <v>66</v>
      </c>
      <c r="U42" t="s">
        <v>108</v>
      </c>
      <c r="V42" t="s">
        <v>269</v>
      </c>
      <c r="W42" t="s">
        <v>70</v>
      </c>
      <c r="X42" t="s">
        <v>381</v>
      </c>
      <c r="Y42" t="s">
        <v>199</v>
      </c>
      <c r="Z42" t="s">
        <v>52</v>
      </c>
      <c r="AA42" t="s">
        <v>382</v>
      </c>
      <c r="AB42" t="s">
        <v>3344</v>
      </c>
      <c r="AC42">
        <v>5</v>
      </c>
      <c r="AD42" t="s">
        <v>56</v>
      </c>
      <c r="AE42" t="s">
        <v>3336</v>
      </c>
      <c r="AF42" t="s">
        <v>57</v>
      </c>
      <c r="AG42" t="s">
        <v>85</v>
      </c>
      <c r="AH42" s="1">
        <v>45064</v>
      </c>
      <c r="AI42" s="1">
        <v>45071</v>
      </c>
      <c r="AJ42" s="1">
        <v>45081</v>
      </c>
      <c r="AK42" t="s">
        <v>3382</v>
      </c>
      <c r="AL42" t="s">
        <v>380</v>
      </c>
    </row>
    <row r="43" spans="1:38" x14ac:dyDescent="0.35">
      <c r="A43" t="s">
        <v>383</v>
      </c>
      <c r="B43" t="s">
        <v>60</v>
      </c>
      <c r="C43" t="s">
        <v>89</v>
      </c>
      <c r="D43" t="s">
        <v>303</v>
      </c>
      <c r="E43" t="s">
        <v>304</v>
      </c>
      <c r="F43" t="s">
        <v>134</v>
      </c>
      <c r="G43" t="s">
        <v>305</v>
      </c>
      <c r="H43">
        <v>38640</v>
      </c>
      <c r="I43">
        <f>Sales_Transactions_Raw[[#This Row],[Unit_Price]]*Sales_Transactions_Raw[[#This Row],[Quantity]]</f>
        <v>154560</v>
      </c>
      <c r="J43">
        <v>4</v>
      </c>
      <c r="K43">
        <v>5</v>
      </c>
      <c r="L43">
        <v>7728</v>
      </c>
      <c r="M43">
        <v>146832</v>
      </c>
      <c r="N43">
        <v>5</v>
      </c>
      <c r="O43">
        <v>7341.6</v>
      </c>
      <c r="P43">
        <v>0</v>
      </c>
      <c r="Q43">
        <v>154173.6</v>
      </c>
      <c r="R43" t="s">
        <v>124</v>
      </c>
      <c r="S43" t="s">
        <v>107</v>
      </c>
      <c r="T43" t="s">
        <v>115</v>
      </c>
      <c r="U43" t="s">
        <v>214</v>
      </c>
      <c r="V43" t="s">
        <v>51</v>
      </c>
      <c r="W43" t="s">
        <v>52</v>
      </c>
      <c r="X43" t="s">
        <v>288</v>
      </c>
      <c r="Y43" t="s">
        <v>289</v>
      </c>
      <c r="Z43" t="s">
        <v>52</v>
      </c>
      <c r="AA43" t="s">
        <v>385</v>
      </c>
      <c r="AB43" t="s">
        <v>3341</v>
      </c>
      <c r="AC43">
        <v>4</v>
      </c>
      <c r="AD43" t="s">
        <v>56</v>
      </c>
      <c r="AE43" t="s">
        <v>3336</v>
      </c>
      <c r="AF43" t="s">
        <v>227</v>
      </c>
      <c r="AG43" t="s">
        <v>58</v>
      </c>
      <c r="AH43" s="1">
        <v>45151</v>
      </c>
      <c r="AI43" s="1">
        <v>45153</v>
      </c>
      <c r="AJ43" s="1">
        <v>45162</v>
      </c>
      <c r="AK43" t="s">
        <v>3346</v>
      </c>
      <c r="AL43" t="s">
        <v>384</v>
      </c>
    </row>
    <row r="44" spans="1:38" x14ac:dyDescent="0.35">
      <c r="A44" t="s">
        <v>190</v>
      </c>
      <c r="B44" t="s">
        <v>386</v>
      </c>
      <c r="C44" t="s">
        <v>131</v>
      </c>
      <c r="D44" t="s">
        <v>345</v>
      </c>
      <c r="E44" t="s">
        <v>346</v>
      </c>
      <c r="F44" t="s">
        <v>46</v>
      </c>
      <c r="G44" t="s">
        <v>63</v>
      </c>
      <c r="H44">
        <v>132880</v>
      </c>
      <c r="I44">
        <f>Sales_Transactions_Raw[[#This Row],[Unit_Price]]*Sales_Transactions_Raw[[#This Row],[Quantity]]</f>
        <v>132880</v>
      </c>
      <c r="J44">
        <v>1</v>
      </c>
      <c r="K44">
        <v>25</v>
      </c>
      <c r="L44">
        <v>33220</v>
      </c>
      <c r="M44">
        <v>99660</v>
      </c>
      <c r="N44">
        <v>18</v>
      </c>
      <c r="O44">
        <v>17938.8</v>
      </c>
      <c r="P44">
        <v>0</v>
      </c>
      <c r="Q44">
        <v>117598.8</v>
      </c>
      <c r="R44" t="s">
        <v>92</v>
      </c>
      <c r="S44" t="s">
        <v>93</v>
      </c>
      <c r="T44" t="s">
        <v>115</v>
      </c>
      <c r="U44" t="s">
        <v>214</v>
      </c>
      <c r="V44" t="s">
        <v>276</v>
      </c>
      <c r="W44" t="s">
        <v>95</v>
      </c>
      <c r="X44" t="s">
        <v>237</v>
      </c>
      <c r="Y44" t="s">
        <v>138</v>
      </c>
      <c r="Z44" t="s">
        <v>81</v>
      </c>
      <c r="AA44" t="s">
        <v>388</v>
      </c>
      <c r="AB44" t="s">
        <v>3343</v>
      </c>
      <c r="AC44">
        <v>4</v>
      </c>
      <c r="AD44" t="s">
        <v>179</v>
      </c>
      <c r="AE44" t="s">
        <v>3336</v>
      </c>
      <c r="AF44" t="s">
        <v>279</v>
      </c>
      <c r="AG44" t="s">
        <v>85</v>
      </c>
      <c r="AH44" s="1">
        <v>45279</v>
      </c>
      <c r="AI44" s="1">
        <v>45285</v>
      </c>
      <c r="AJ44" s="1">
        <v>45288</v>
      </c>
      <c r="AK44" t="s">
        <v>3383</v>
      </c>
      <c r="AL44" t="s">
        <v>387</v>
      </c>
    </row>
    <row r="45" spans="1:38" x14ac:dyDescent="0.35">
      <c r="A45" t="s">
        <v>389</v>
      </c>
      <c r="B45" t="s">
        <v>166</v>
      </c>
      <c r="C45" t="s">
        <v>43</v>
      </c>
      <c r="D45" t="s">
        <v>391</v>
      </c>
      <c r="E45" t="s">
        <v>392</v>
      </c>
      <c r="F45" t="s">
        <v>46</v>
      </c>
      <c r="G45" t="s">
        <v>176</v>
      </c>
      <c r="H45">
        <v>9900</v>
      </c>
      <c r="I45">
        <f>Sales_Transactions_Raw[[#This Row],[Unit_Price]]*Sales_Transactions_Raw[[#This Row],[Quantity]]</f>
        <v>9900</v>
      </c>
      <c r="J45">
        <v>1</v>
      </c>
      <c r="K45">
        <v>10</v>
      </c>
      <c r="L45">
        <v>990</v>
      </c>
      <c r="M45">
        <v>8910</v>
      </c>
      <c r="N45">
        <v>18</v>
      </c>
      <c r="O45">
        <v>1603.8</v>
      </c>
      <c r="P45">
        <v>0</v>
      </c>
      <c r="Q45">
        <v>10513.8</v>
      </c>
      <c r="R45" t="s">
        <v>106</v>
      </c>
      <c r="S45" t="s">
        <v>65</v>
      </c>
      <c r="T45" t="s">
        <v>136</v>
      </c>
      <c r="U45" t="s">
        <v>214</v>
      </c>
      <c r="V45" t="s">
        <v>116</v>
      </c>
      <c r="W45" t="s">
        <v>70</v>
      </c>
      <c r="X45" t="s">
        <v>393</v>
      </c>
      <c r="Y45" t="s">
        <v>393</v>
      </c>
      <c r="Z45" t="s">
        <v>70</v>
      </c>
      <c r="AA45" t="s">
        <v>394</v>
      </c>
      <c r="AB45" t="s">
        <v>3335</v>
      </c>
      <c r="AC45">
        <v>5</v>
      </c>
      <c r="AD45" t="s">
        <v>56</v>
      </c>
      <c r="AE45" t="s">
        <v>3336</v>
      </c>
      <c r="AF45" t="s">
        <v>164</v>
      </c>
      <c r="AG45" t="s">
        <v>111</v>
      </c>
      <c r="AH45" s="1">
        <v>44961</v>
      </c>
      <c r="AI45" s="1">
        <v>44965</v>
      </c>
      <c r="AJ45" s="1">
        <v>44967</v>
      </c>
      <c r="AK45" t="s">
        <v>3384</v>
      </c>
      <c r="AL45" t="s">
        <v>390</v>
      </c>
    </row>
    <row r="46" spans="1:38" x14ac:dyDescent="0.35">
      <c r="A46" t="s">
        <v>395</v>
      </c>
      <c r="B46" t="s">
        <v>301</v>
      </c>
      <c r="C46" t="s">
        <v>43</v>
      </c>
      <c r="D46" t="s">
        <v>375</v>
      </c>
      <c r="E46" t="s">
        <v>376</v>
      </c>
      <c r="F46" t="s">
        <v>146</v>
      </c>
      <c r="G46" t="s">
        <v>147</v>
      </c>
      <c r="H46">
        <v>9210</v>
      </c>
      <c r="I46">
        <f>Sales_Transactions_Raw[[#This Row],[Unit_Price]]*Sales_Transactions_Raw[[#This Row],[Quantity]]</f>
        <v>9210</v>
      </c>
      <c r="J46">
        <v>1</v>
      </c>
      <c r="K46">
        <v>20</v>
      </c>
      <c r="L46">
        <v>1842</v>
      </c>
      <c r="M46">
        <v>7368</v>
      </c>
      <c r="N46">
        <v>12</v>
      </c>
      <c r="O46">
        <v>884.16</v>
      </c>
      <c r="P46">
        <v>0</v>
      </c>
      <c r="Q46">
        <v>8252.16</v>
      </c>
      <c r="R46" t="s">
        <v>79</v>
      </c>
      <c r="S46" t="s">
        <v>107</v>
      </c>
      <c r="T46" t="s">
        <v>148</v>
      </c>
      <c r="U46" t="s">
        <v>214</v>
      </c>
      <c r="V46" t="s">
        <v>276</v>
      </c>
      <c r="W46" t="s">
        <v>95</v>
      </c>
      <c r="X46" t="s">
        <v>397</v>
      </c>
      <c r="Y46" t="s">
        <v>226</v>
      </c>
      <c r="Z46" t="s">
        <v>95</v>
      </c>
      <c r="AA46" t="s">
        <v>398</v>
      </c>
      <c r="AB46" t="s">
        <v>3339</v>
      </c>
      <c r="AC46">
        <v>1</v>
      </c>
      <c r="AD46" t="s">
        <v>56</v>
      </c>
      <c r="AE46" t="s">
        <v>3336</v>
      </c>
      <c r="AF46" t="s">
        <v>326</v>
      </c>
      <c r="AG46" t="s">
        <v>111</v>
      </c>
      <c r="AH46" s="1">
        <v>45469</v>
      </c>
      <c r="AI46" s="1">
        <v>45471</v>
      </c>
      <c r="AJ46" s="1">
        <v>45479</v>
      </c>
      <c r="AK46" t="s">
        <v>3385</v>
      </c>
      <c r="AL46" t="s">
        <v>396</v>
      </c>
    </row>
    <row r="47" spans="1:38" x14ac:dyDescent="0.35">
      <c r="A47" t="s">
        <v>399</v>
      </c>
      <c r="B47" t="s">
        <v>400</v>
      </c>
      <c r="C47" t="s">
        <v>89</v>
      </c>
      <c r="D47" t="s">
        <v>402</v>
      </c>
      <c r="E47" t="s">
        <v>403</v>
      </c>
      <c r="F47" t="s">
        <v>146</v>
      </c>
      <c r="G47" t="s">
        <v>223</v>
      </c>
      <c r="H47">
        <v>2070</v>
      </c>
      <c r="I47">
        <f>Sales_Transactions_Raw[[#This Row],[Unit_Price]]*Sales_Transactions_Raw[[#This Row],[Quantity]]</f>
        <v>6210</v>
      </c>
      <c r="J47">
        <v>3</v>
      </c>
      <c r="K47">
        <v>0</v>
      </c>
      <c r="L47">
        <v>0</v>
      </c>
      <c r="M47">
        <v>6210</v>
      </c>
      <c r="N47">
        <v>12</v>
      </c>
      <c r="O47">
        <v>745.2</v>
      </c>
      <c r="P47">
        <v>0</v>
      </c>
      <c r="Q47">
        <v>6955.2</v>
      </c>
      <c r="R47" t="s">
        <v>48</v>
      </c>
      <c r="S47" t="s">
        <v>93</v>
      </c>
      <c r="T47" t="s">
        <v>115</v>
      </c>
      <c r="U47" t="s">
        <v>50</v>
      </c>
      <c r="V47" t="s">
        <v>149</v>
      </c>
      <c r="W47" t="s">
        <v>81</v>
      </c>
      <c r="X47" t="s">
        <v>69</v>
      </c>
      <c r="Y47" t="s">
        <v>54</v>
      </c>
      <c r="Z47" t="s">
        <v>70</v>
      </c>
      <c r="AA47" t="s">
        <v>404</v>
      </c>
      <c r="AB47" t="s">
        <v>3341</v>
      </c>
      <c r="AC47">
        <v>4</v>
      </c>
      <c r="AD47" t="s">
        <v>56</v>
      </c>
      <c r="AE47" t="s">
        <v>3336</v>
      </c>
      <c r="AF47" t="s">
        <v>99</v>
      </c>
      <c r="AG47" t="s">
        <v>3342</v>
      </c>
      <c r="AH47" s="1">
        <v>45076</v>
      </c>
      <c r="AI47" s="1">
        <v>45077</v>
      </c>
      <c r="AJ47" s="1">
        <v>45083</v>
      </c>
      <c r="AK47" t="s">
        <v>3386</v>
      </c>
      <c r="AL47" t="s">
        <v>401</v>
      </c>
    </row>
    <row r="48" spans="1:38" x14ac:dyDescent="0.35">
      <c r="A48" t="s">
        <v>348</v>
      </c>
      <c r="B48" t="s">
        <v>191</v>
      </c>
      <c r="C48" t="s">
        <v>43</v>
      </c>
      <c r="D48" t="s">
        <v>406</v>
      </c>
      <c r="E48" t="s">
        <v>231</v>
      </c>
      <c r="F48" t="s">
        <v>46</v>
      </c>
      <c r="G48" t="s">
        <v>369</v>
      </c>
      <c r="H48">
        <v>92510</v>
      </c>
      <c r="I48">
        <f>Sales_Transactions_Raw[[#This Row],[Unit_Price]]*Sales_Transactions_Raw[[#This Row],[Quantity]]</f>
        <v>462550</v>
      </c>
      <c r="J48">
        <v>5</v>
      </c>
      <c r="K48">
        <v>15</v>
      </c>
      <c r="L48">
        <v>69382.5</v>
      </c>
      <c r="M48">
        <v>393167.5</v>
      </c>
      <c r="N48">
        <v>18</v>
      </c>
      <c r="O48">
        <v>70770.149999999994</v>
      </c>
      <c r="P48">
        <v>0</v>
      </c>
      <c r="Q48">
        <v>463937.65</v>
      </c>
      <c r="R48" t="s">
        <v>79</v>
      </c>
      <c r="S48" t="s">
        <v>65</v>
      </c>
      <c r="T48" t="s">
        <v>213</v>
      </c>
      <c r="U48" t="s">
        <v>50</v>
      </c>
      <c r="V48" t="s">
        <v>94</v>
      </c>
      <c r="W48" t="s">
        <v>95</v>
      </c>
      <c r="X48" t="s">
        <v>137</v>
      </c>
      <c r="Y48" t="s">
        <v>138</v>
      </c>
      <c r="Z48" t="s">
        <v>81</v>
      </c>
      <c r="AA48" t="s">
        <v>407</v>
      </c>
      <c r="AB48" t="s">
        <v>3343</v>
      </c>
      <c r="AC48">
        <v>4</v>
      </c>
      <c r="AD48" t="s">
        <v>179</v>
      </c>
      <c r="AE48" t="s">
        <v>3336</v>
      </c>
      <c r="AF48" t="s">
        <v>164</v>
      </c>
      <c r="AG48" t="s">
        <v>58</v>
      </c>
      <c r="AH48" s="1">
        <v>45208</v>
      </c>
      <c r="AI48" s="1">
        <v>45213</v>
      </c>
      <c r="AJ48" s="1">
        <v>45219</v>
      </c>
      <c r="AK48" t="s">
        <v>3358</v>
      </c>
      <c r="AL48" t="s">
        <v>405</v>
      </c>
    </row>
    <row r="49" spans="1:38" x14ac:dyDescent="0.35">
      <c r="A49" t="s">
        <v>408</v>
      </c>
      <c r="B49" t="s">
        <v>409</v>
      </c>
      <c r="C49" t="s">
        <v>43</v>
      </c>
      <c r="D49" t="s">
        <v>402</v>
      </c>
      <c r="E49" t="s">
        <v>403</v>
      </c>
      <c r="F49" t="s">
        <v>146</v>
      </c>
      <c r="G49" t="s">
        <v>223</v>
      </c>
      <c r="H49">
        <v>1890</v>
      </c>
      <c r="I49">
        <f>Sales_Transactions_Raw[[#This Row],[Unit_Price]]*Sales_Transactions_Raw[[#This Row],[Quantity]]</f>
        <v>1890</v>
      </c>
      <c r="J49">
        <v>1</v>
      </c>
      <c r="K49">
        <v>15</v>
      </c>
      <c r="L49">
        <v>283.5</v>
      </c>
      <c r="M49">
        <v>1606.5</v>
      </c>
      <c r="N49">
        <v>12</v>
      </c>
      <c r="O49">
        <v>192.78</v>
      </c>
      <c r="P49">
        <v>149</v>
      </c>
      <c r="Q49">
        <v>1799.28</v>
      </c>
      <c r="R49" t="s">
        <v>92</v>
      </c>
      <c r="S49" t="s">
        <v>49</v>
      </c>
      <c r="T49" t="s">
        <v>213</v>
      </c>
      <c r="U49" t="s">
        <v>50</v>
      </c>
      <c r="V49" t="s">
        <v>287</v>
      </c>
      <c r="W49" t="s">
        <v>95</v>
      </c>
      <c r="X49" t="s">
        <v>411</v>
      </c>
      <c r="Y49" t="s">
        <v>151</v>
      </c>
      <c r="Z49" t="s">
        <v>81</v>
      </c>
      <c r="AA49" t="s">
        <v>412</v>
      </c>
      <c r="AB49" t="s">
        <v>3341</v>
      </c>
      <c r="AC49">
        <v>4</v>
      </c>
      <c r="AD49" t="s">
        <v>179</v>
      </c>
      <c r="AE49" t="s">
        <v>180</v>
      </c>
      <c r="AF49" t="s">
        <v>57</v>
      </c>
      <c r="AG49" t="s">
        <v>58</v>
      </c>
      <c r="AH49" s="1">
        <v>45110</v>
      </c>
      <c r="AI49" s="1">
        <v>45117</v>
      </c>
      <c r="AJ49" s="1">
        <v>45124</v>
      </c>
      <c r="AK49" t="s">
        <v>3387</v>
      </c>
      <c r="AL49" t="s">
        <v>410</v>
      </c>
    </row>
    <row r="50" spans="1:38" x14ac:dyDescent="0.35">
      <c r="A50" t="s">
        <v>413</v>
      </c>
      <c r="B50" t="s">
        <v>414</v>
      </c>
      <c r="C50" t="s">
        <v>43</v>
      </c>
      <c r="D50" t="s">
        <v>350</v>
      </c>
      <c r="E50" t="s">
        <v>351</v>
      </c>
      <c r="F50" t="s">
        <v>211</v>
      </c>
      <c r="G50" t="s">
        <v>352</v>
      </c>
      <c r="H50">
        <v>43620</v>
      </c>
      <c r="I50">
        <f>Sales_Transactions_Raw[[#This Row],[Unit_Price]]*Sales_Transactions_Raw[[#This Row],[Quantity]]</f>
        <v>43620</v>
      </c>
      <c r="J50">
        <v>1</v>
      </c>
      <c r="K50">
        <v>5</v>
      </c>
      <c r="L50">
        <v>2181</v>
      </c>
      <c r="M50">
        <v>41439</v>
      </c>
      <c r="N50">
        <v>5</v>
      </c>
      <c r="O50">
        <v>2071.9499999999998</v>
      </c>
      <c r="P50">
        <v>0</v>
      </c>
      <c r="Q50">
        <v>43510.95</v>
      </c>
      <c r="R50" t="s">
        <v>48</v>
      </c>
      <c r="S50" t="s">
        <v>65</v>
      </c>
      <c r="T50" t="s">
        <v>115</v>
      </c>
      <c r="U50" t="s">
        <v>214</v>
      </c>
      <c r="V50" t="s">
        <v>149</v>
      </c>
      <c r="W50" t="s">
        <v>81</v>
      </c>
      <c r="X50" t="s">
        <v>362</v>
      </c>
      <c r="Y50" t="s">
        <v>118</v>
      </c>
      <c r="Z50" t="s">
        <v>70</v>
      </c>
      <c r="AA50" t="s">
        <v>416</v>
      </c>
      <c r="AB50" t="s">
        <v>3335</v>
      </c>
      <c r="AC50">
        <v>3</v>
      </c>
      <c r="AD50" t="s">
        <v>56</v>
      </c>
      <c r="AE50" t="s">
        <v>3336</v>
      </c>
      <c r="AF50" t="s">
        <v>279</v>
      </c>
      <c r="AG50" t="s">
        <v>58</v>
      </c>
      <c r="AH50" s="1">
        <v>45325</v>
      </c>
      <c r="AI50" s="1">
        <v>45117</v>
      </c>
      <c r="AJ50" s="1">
        <v>45335</v>
      </c>
      <c r="AK50" t="s">
        <v>3388</v>
      </c>
      <c r="AL50" t="s">
        <v>415</v>
      </c>
    </row>
    <row r="51" spans="1:38" x14ac:dyDescent="0.35">
      <c r="A51" t="s">
        <v>417</v>
      </c>
      <c r="B51" t="s">
        <v>418</v>
      </c>
      <c r="C51" t="s">
        <v>43</v>
      </c>
      <c r="D51" t="s">
        <v>420</v>
      </c>
      <c r="E51" t="s">
        <v>421</v>
      </c>
      <c r="F51" t="s">
        <v>134</v>
      </c>
      <c r="G51" t="s">
        <v>135</v>
      </c>
      <c r="H51">
        <v>3680</v>
      </c>
      <c r="I51">
        <f>Sales_Transactions_Raw[[#This Row],[Unit_Price]]*Sales_Transactions_Raw[[#This Row],[Quantity]]</f>
        <v>7360</v>
      </c>
      <c r="J51">
        <v>2</v>
      </c>
      <c r="K51">
        <v>10</v>
      </c>
      <c r="L51">
        <v>736</v>
      </c>
      <c r="M51">
        <v>6624</v>
      </c>
      <c r="N51">
        <v>5</v>
      </c>
      <c r="O51">
        <v>331.2</v>
      </c>
      <c r="P51">
        <v>0</v>
      </c>
      <c r="Q51">
        <v>6955.2</v>
      </c>
      <c r="R51" t="s">
        <v>92</v>
      </c>
      <c r="S51" t="s">
        <v>125</v>
      </c>
      <c r="T51" t="s">
        <v>66</v>
      </c>
      <c r="U51" t="s">
        <v>50</v>
      </c>
      <c r="V51" t="s">
        <v>67</v>
      </c>
      <c r="W51" t="s">
        <v>68</v>
      </c>
      <c r="X51" t="s">
        <v>422</v>
      </c>
      <c r="Y51" t="s">
        <v>319</v>
      </c>
      <c r="Z51" t="s">
        <v>95</v>
      </c>
      <c r="AA51" t="s">
        <v>423</v>
      </c>
      <c r="AB51" t="s">
        <v>3341</v>
      </c>
      <c r="AC51">
        <v>4</v>
      </c>
      <c r="AD51" t="s">
        <v>56</v>
      </c>
      <c r="AE51" t="s">
        <v>3336</v>
      </c>
      <c r="AF51" t="s">
        <v>164</v>
      </c>
      <c r="AG51" t="s">
        <v>58</v>
      </c>
      <c r="AH51" s="1">
        <v>45316</v>
      </c>
      <c r="AI51" s="1">
        <v>45323</v>
      </c>
      <c r="AJ51" s="1">
        <v>45330</v>
      </c>
      <c r="AK51" t="s">
        <v>3389</v>
      </c>
      <c r="AL51" t="s">
        <v>419</v>
      </c>
    </row>
    <row r="52" spans="1:38" x14ac:dyDescent="0.35">
      <c r="A52" t="s">
        <v>424</v>
      </c>
      <c r="B52" t="s">
        <v>264</v>
      </c>
      <c r="C52" t="s">
        <v>43</v>
      </c>
      <c r="D52" t="s">
        <v>426</v>
      </c>
      <c r="E52" t="s">
        <v>427</v>
      </c>
      <c r="F52" t="s">
        <v>134</v>
      </c>
      <c r="G52" t="s">
        <v>305</v>
      </c>
      <c r="H52">
        <v>48720</v>
      </c>
      <c r="I52">
        <f>Sales_Transactions_Raw[[#This Row],[Unit_Price]]*Sales_Transactions_Raw[[#This Row],[Quantity]]</f>
        <v>389760</v>
      </c>
      <c r="J52">
        <v>8</v>
      </c>
      <c r="K52">
        <v>5</v>
      </c>
      <c r="L52">
        <v>19488</v>
      </c>
      <c r="M52">
        <v>370272</v>
      </c>
      <c r="N52">
        <v>5</v>
      </c>
      <c r="O52">
        <v>18513.599999999999</v>
      </c>
      <c r="P52">
        <v>0</v>
      </c>
      <c r="Q52">
        <v>388785.6</v>
      </c>
      <c r="R52" t="s">
        <v>92</v>
      </c>
      <c r="S52" t="s">
        <v>107</v>
      </c>
      <c r="T52" t="s">
        <v>115</v>
      </c>
      <c r="U52" t="s">
        <v>50</v>
      </c>
      <c r="V52" t="s">
        <v>269</v>
      </c>
      <c r="W52" t="s">
        <v>70</v>
      </c>
      <c r="X52" t="s">
        <v>393</v>
      </c>
      <c r="Y52" t="s">
        <v>393</v>
      </c>
      <c r="Z52" t="s">
        <v>70</v>
      </c>
      <c r="AA52" t="s">
        <v>428</v>
      </c>
      <c r="AB52" t="s">
        <v>3335</v>
      </c>
      <c r="AC52">
        <v>5</v>
      </c>
      <c r="AD52" t="s">
        <v>56</v>
      </c>
      <c r="AE52" t="s">
        <v>3336</v>
      </c>
      <c r="AF52" t="s">
        <v>326</v>
      </c>
      <c r="AG52" t="s">
        <v>3342</v>
      </c>
      <c r="AH52" s="1">
        <v>45417</v>
      </c>
      <c r="AI52" s="1">
        <v>45422</v>
      </c>
      <c r="AJ52" s="1">
        <v>45430</v>
      </c>
      <c r="AK52" t="s">
        <v>3367</v>
      </c>
      <c r="AL52" t="s">
        <v>425</v>
      </c>
    </row>
    <row r="53" spans="1:38" x14ac:dyDescent="0.35">
      <c r="A53" t="s">
        <v>429</v>
      </c>
      <c r="B53" t="s">
        <v>430</v>
      </c>
      <c r="C53" t="s">
        <v>157</v>
      </c>
      <c r="D53" t="s">
        <v>432</v>
      </c>
      <c r="E53" t="s">
        <v>433</v>
      </c>
      <c r="F53" t="s">
        <v>146</v>
      </c>
      <c r="G53" t="s">
        <v>296</v>
      </c>
      <c r="H53">
        <v>4690</v>
      </c>
      <c r="I53">
        <f>Sales_Transactions_Raw[[#This Row],[Unit_Price]]*Sales_Transactions_Raw[[#This Row],[Quantity]]</f>
        <v>23450</v>
      </c>
      <c r="J53">
        <v>5</v>
      </c>
      <c r="K53">
        <v>15</v>
      </c>
      <c r="L53">
        <v>3517.5</v>
      </c>
      <c r="M53">
        <v>19932.5</v>
      </c>
      <c r="N53">
        <v>12</v>
      </c>
      <c r="O53">
        <v>2391.9</v>
      </c>
      <c r="P53">
        <v>0</v>
      </c>
      <c r="Q53">
        <v>22324.400000000001</v>
      </c>
      <c r="R53" t="s">
        <v>64</v>
      </c>
      <c r="S53" t="s">
        <v>49</v>
      </c>
      <c r="T53" t="s">
        <v>66</v>
      </c>
      <c r="U53" t="s">
        <v>214</v>
      </c>
      <c r="V53" t="s">
        <v>269</v>
      </c>
      <c r="W53" t="s">
        <v>70</v>
      </c>
      <c r="X53" t="s">
        <v>204</v>
      </c>
      <c r="Y53" t="s">
        <v>118</v>
      </c>
      <c r="Z53" t="s">
        <v>70</v>
      </c>
      <c r="AA53" t="s">
        <v>434</v>
      </c>
      <c r="AB53" t="s">
        <v>3335</v>
      </c>
      <c r="AC53">
        <v>4</v>
      </c>
      <c r="AD53" t="s">
        <v>56</v>
      </c>
      <c r="AE53" t="s">
        <v>3336</v>
      </c>
      <c r="AF53" t="s">
        <v>326</v>
      </c>
      <c r="AG53" t="s">
        <v>3337</v>
      </c>
      <c r="AH53" s="1">
        <v>45390</v>
      </c>
      <c r="AI53" s="1">
        <v>45393</v>
      </c>
      <c r="AJ53" s="1">
        <v>45396</v>
      </c>
      <c r="AK53" t="s">
        <v>3390</v>
      </c>
      <c r="AL53" t="s">
        <v>431</v>
      </c>
    </row>
    <row r="54" spans="1:38" x14ac:dyDescent="0.35">
      <c r="A54" t="s">
        <v>435</v>
      </c>
      <c r="B54" t="s">
        <v>74</v>
      </c>
      <c r="C54" t="s">
        <v>157</v>
      </c>
      <c r="D54" t="s">
        <v>329</v>
      </c>
      <c r="E54" t="s">
        <v>250</v>
      </c>
      <c r="F54" t="s">
        <v>134</v>
      </c>
      <c r="G54" t="s">
        <v>330</v>
      </c>
      <c r="H54">
        <v>21290</v>
      </c>
      <c r="I54">
        <f>Sales_Transactions_Raw[[#This Row],[Unit_Price]]*Sales_Transactions_Raw[[#This Row],[Quantity]]</f>
        <v>85160</v>
      </c>
      <c r="J54">
        <v>4</v>
      </c>
      <c r="K54">
        <v>10</v>
      </c>
      <c r="L54">
        <v>8516</v>
      </c>
      <c r="M54">
        <v>76644</v>
      </c>
      <c r="N54">
        <v>5</v>
      </c>
      <c r="O54">
        <v>3832.2</v>
      </c>
      <c r="P54">
        <v>0</v>
      </c>
      <c r="Q54">
        <v>80476.2</v>
      </c>
      <c r="R54" t="s">
        <v>48</v>
      </c>
      <c r="S54" t="s">
        <v>125</v>
      </c>
      <c r="T54" t="s">
        <v>115</v>
      </c>
      <c r="U54" t="s">
        <v>108</v>
      </c>
      <c r="V54" t="s">
        <v>67</v>
      </c>
      <c r="W54" t="s">
        <v>68</v>
      </c>
      <c r="X54" t="s">
        <v>437</v>
      </c>
      <c r="Y54" t="s">
        <v>319</v>
      </c>
      <c r="Z54" t="s">
        <v>95</v>
      </c>
      <c r="AA54" t="s">
        <v>438</v>
      </c>
      <c r="AB54" t="s">
        <v>3341</v>
      </c>
      <c r="AC54">
        <v>2</v>
      </c>
      <c r="AD54" t="s">
        <v>56</v>
      </c>
      <c r="AE54" t="s">
        <v>3336</v>
      </c>
      <c r="AF54" t="s">
        <v>153</v>
      </c>
      <c r="AG54" t="s">
        <v>3337</v>
      </c>
      <c r="AH54" s="1">
        <v>45395</v>
      </c>
      <c r="AI54" s="1">
        <v>45400</v>
      </c>
      <c r="AJ54" s="1">
        <v>45404</v>
      </c>
      <c r="AK54" t="s">
        <v>3391</v>
      </c>
      <c r="AL54" t="s">
        <v>436</v>
      </c>
    </row>
    <row r="55" spans="1:38" x14ac:dyDescent="0.35">
      <c r="A55" t="s">
        <v>439</v>
      </c>
      <c r="B55" t="s">
        <v>60</v>
      </c>
      <c r="C55" t="s">
        <v>89</v>
      </c>
      <c r="D55" t="s">
        <v>441</v>
      </c>
      <c r="E55" t="s">
        <v>442</v>
      </c>
      <c r="F55" t="s">
        <v>46</v>
      </c>
      <c r="G55" t="s">
        <v>369</v>
      </c>
      <c r="H55">
        <v>64950</v>
      </c>
      <c r="I55">
        <f>Sales_Transactions_Raw[[#This Row],[Unit_Price]]*Sales_Transactions_Raw[[#This Row],[Quantity]]</f>
        <v>324750</v>
      </c>
      <c r="J55">
        <v>5</v>
      </c>
      <c r="K55">
        <v>10</v>
      </c>
      <c r="L55">
        <v>32475</v>
      </c>
      <c r="M55">
        <v>292275</v>
      </c>
      <c r="N55">
        <v>18</v>
      </c>
      <c r="O55">
        <v>52609.5</v>
      </c>
      <c r="P55">
        <v>0</v>
      </c>
      <c r="Q55">
        <v>344884.5</v>
      </c>
      <c r="R55" t="s">
        <v>92</v>
      </c>
      <c r="S55" t="s">
        <v>107</v>
      </c>
      <c r="T55" t="s">
        <v>66</v>
      </c>
      <c r="U55" t="s">
        <v>196</v>
      </c>
      <c r="V55" t="s">
        <v>51</v>
      </c>
      <c r="W55" t="s">
        <v>52</v>
      </c>
      <c r="X55" t="s">
        <v>443</v>
      </c>
      <c r="Y55" t="s">
        <v>97</v>
      </c>
      <c r="Z55" t="s">
        <v>95</v>
      </c>
      <c r="AA55" t="s">
        <v>444</v>
      </c>
      <c r="AB55" t="s">
        <v>3335</v>
      </c>
      <c r="AC55">
        <v>5</v>
      </c>
      <c r="AD55" t="s">
        <v>56</v>
      </c>
      <c r="AE55" t="s">
        <v>3336</v>
      </c>
      <c r="AF55" t="s">
        <v>164</v>
      </c>
      <c r="AG55" t="s">
        <v>445</v>
      </c>
      <c r="AH55" s="1">
        <v>45222</v>
      </c>
      <c r="AI55" s="1">
        <v>45224</v>
      </c>
      <c r="AJ55" s="1">
        <v>45233</v>
      </c>
      <c r="AK55" t="s">
        <v>3392</v>
      </c>
      <c r="AL55" t="s">
        <v>440</v>
      </c>
    </row>
    <row r="56" spans="1:38" x14ac:dyDescent="0.35">
      <c r="A56" t="s">
        <v>446</v>
      </c>
      <c r="B56" t="s">
        <v>447</v>
      </c>
      <c r="C56" t="s">
        <v>43</v>
      </c>
      <c r="D56" t="s">
        <v>449</v>
      </c>
      <c r="E56" t="s">
        <v>450</v>
      </c>
      <c r="F56" t="s">
        <v>46</v>
      </c>
      <c r="G56" t="s">
        <v>78</v>
      </c>
      <c r="H56">
        <v>44460</v>
      </c>
      <c r="I56">
        <f>Sales_Transactions_Raw[[#This Row],[Unit_Price]]*Sales_Transactions_Raw[[#This Row],[Quantity]]</f>
        <v>44460</v>
      </c>
      <c r="J56">
        <v>1</v>
      </c>
      <c r="K56">
        <v>0</v>
      </c>
      <c r="L56">
        <v>0</v>
      </c>
      <c r="M56">
        <v>44460</v>
      </c>
      <c r="N56">
        <v>18</v>
      </c>
      <c r="O56">
        <v>8002.8</v>
      </c>
      <c r="P56">
        <v>0</v>
      </c>
      <c r="Q56">
        <v>52462.8</v>
      </c>
      <c r="R56" t="s">
        <v>106</v>
      </c>
      <c r="S56" t="s">
        <v>49</v>
      </c>
      <c r="T56" t="s">
        <v>66</v>
      </c>
      <c r="U56" t="s">
        <v>161</v>
      </c>
      <c r="V56" t="s">
        <v>197</v>
      </c>
      <c r="W56" t="s">
        <v>68</v>
      </c>
      <c r="X56" t="s">
        <v>277</v>
      </c>
      <c r="Y56" t="s">
        <v>127</v>
      </c>
      <c r="Z56" t="s">
        <v>68</v>
      </c>
      <c r="AA56" t="s">
        <v>451</v>
      </c>
      <c r="AB56" t="s">
        <v>3335</v>
      </c>
      <c r="AC56">
        <v>4</v>
      </c>
      <c r="AD56" t="s">
        <v>56</v>
      </c>
      <c r="AE56" t="s">
        <v>3336</v>
      </c>
      <c r="AF56" t="s">
        <v>99</v>
      </c>
      <c r="AG56" t="s">
        <v>85</v>
      </c>
      <c r="AH56" s="1">
        <v>45348</v>
      </c>
      <c r="AI56" s="1">
        <v>45349</v>
      </c>
      <c r="AJ56" s="1">
        <v>45385</v>
      </c>
      <c r="AK56" t="s">
        <v>3393</v>
      </c>
      <c r="AL56" t="s">
        <v>448</v>
      </c>
    </row>
    <row r="57" spans="1:38" x14ac:dyDescent="0.35">
      <c r="A57" t="s">
        <v>452</v>
      </c>
      <c r="B57" t="s">
        <v>453</v>
      </c>
      <c r="C57" t="s">
        <v>43</v>
      </c>
      <c r="D57" t="s">
        <v>323</v>
      </c>
      <c r="E57" t="s">
        <v>324</v>
      </c>
      <c r="F57" t="s">
        <v>146</v>
      </c>
      <c r="G57" t="s">
        <v>296</v>
      </c>
      <c r="H57">
        <v>11650</v>
      </c>
      <c r="I57">
        <f>Sales_Transactions_Raw[[#This Row],[Unit_Price]]*Sales_Transactions_Raw[[#This Row],[Quantity]]</f>
        <v>23300</v>
      </c>
      <c r="J57">
        <v>2</v>
      </c>
      <c r="K57">
        <v>20</v>
      </c>
      <c r="L57">
        <v>4660</v>
      </c>
      <c r="M57">
        <v>18640</v>
      </c>
      <c r="N57">
        <v>12</v>
      </c>
      <c r="O57">
        <v>2236.8000000000002</v>
      </c>
      <c r="P57">
        <v>0</v>
      </c>
      <c r="Q57">
        <v>20876.8</v>
      </c>
      <c r="R57" t="s">
        <v>92</v>
      </c>
      <c r="S57" t="s">
        <v>125</v>
      </c>
      <c r="T57" t="s">
        <v>115</v>
      </c>
      <c r="U57" t="s">
        <v>108</v>
      </c>
      <c r="V57" t="s">
        <v>287</v>
      </c>
      <c r="W57" t="s">
        <v>95</v>
      </c>
      <c r="X57" t="s">
        <v>474</v>
      </c>
      <c r="Y57" t="s">
        <v>169</v>
      </c>
      <c r="Z57" t="s">
        <v>95</v>
      </c>
      <c r="AA57" t="s">
        <v>455</v>
      </c>
      <c r="AB57" t="s">
        <v>3344</v>
      </c>
      <c r="AC57">
        <v>4</v>
      </c>
      <c r="AD57" t="s">
        <v>56</v>
      </c>
      <c r="AE57" t="s">
        <v>3336</v>
      </c>
      <c r="AF57" t="s">
        <v>72</v>
      </c>
      <c r="AG57" t="s">
        <v>3337</v>
      </c>
      <c r="AH57" s="1">
        <v>45365</v>
      </c>
      <c r="AI57" s="1">
        <v>45367</v>
      </c>
      <c r="AJ57" s="1">
        <v>45371</v>
      </c>
      <c r="AK57" t="s">
        <v>3394</v>
      </c>
      <c r="AL57" t="s">
        <v>454</v>
      </c>
    </row>
    <row r="58" spans="1:38" x14ac:dyDescent="0.35">
      <c r="A58" t="s">
        <v>456</v>
      </c>
      <c r="B58" t="s">
        <v>457</v>
      </c>
      <c r="C58" t="s">
        <v>43</v>
      </c>
      <c r="D58" t="s">
        <v>406</v>
      </c>
      <c r="E58" t="s">
        <v>231</v>
      </c>
      <c r="F58" t="s">
        <v>46</v>
      </c>
      <c r="G58" t="s">
        <v>369</v>
      </c>
      <c r="H58">
        <v>84980</v>
      </c>
      <c r="I58">
        <f>Sales_Transactions_Raw[[#This Row],[Unit_Price]]*Sales_Transactions_Raw[[#This Row],[Quantity]]</f>
        <v>254940</v>
      </c>
      <c r="J58">
        <v>3</v>
      </c>
      <c r="K58">
        <v>5</v>
      </c>
      <c r="L58">
        <v>12747</v>
      </c>
      <c r="M58">
        <v>242193</v>
      </c>
      <c r="N58">
        <v>18</v>
      </c>
      <c r="O58">
        <v>43594.74</v>
      </c>
      <c r="P58">
        <v>0</v>
      </c>
      <c r="Q58">
        <v>285787.74</v>
      </c>
      <c r="R58" t="s">
        <v>106</v>
      </c>
      <c r="S58" t="s">
        <v>49</v>
      </c>
      <c r="T58" t="s">
        <v>66</v>
      </c>
      <c r="U58" t="s">
        <v>108</v>
      </c>
      <c r="V58" t="s">
        <v>224</v>
      </c>
      <c r="W58" t="s">
        <v>95</v>
      </c>
      <c r="X58" t="s">
        <v>288</v>
      </c>
      <c r="Y58" t="s">
        <v>289</v>
      </c>
      <c r="Z58" t="s">
        <v>52</v>
      </c>
      <c r="AA58" t="s">
        <v>459</v>
      </c>
      <c r="AB58" t="s">
        <v>3340</v>
      </c>
      <c r="AC58">
        <v>4</v>
      </c>
      <c r="AD58" t="s">
        <v>56</v>
      </c>
      <c r="AE58" t="s">
        <v>3336</v>
      </c>
      <c r="AF58" t="s">
        <v>72</v>
      </c>
      <c r="AG58" t="s">
        <v>3342</v>
      </c>
      <c r="AH58" s="1">
        <v>45095</v>
      </c>
      <c r="AI58" s="1">
        <v>45099</v>
      </c>
      <c r="AJ58" s="1">
        <v>45106</v>
      </c>
      <c r="AK58" t="s">
        <v>3395</v>
      </c>
      <c r="AL58" t="s">
        <v>458</v>
      </c>
    </row>
    <row r="59" spans="1:38" x14ac:dyDescent="0.35">
      <c r="A59" t="s">
        <v>460</v>
      </c>
      <c r="B59" t="s">
        <v>461</v>
      </c>
      <c r="C59" t="s">
        <v>43</v>
      </c>
      <c r="D59" t="s">
        <v>174</v>
      </c>
      <c r="E59" t="s">
        <v>175</v>
      </c>
      <c r="F59" t="s">
        <v>46</v>
      </c>
      <c r="G59" t="s">
        <v>176</v>
      </c>
      <c r="H59">
        <v>1600</v>
      </c>
      <c r="I59">
        <f>Sales_Transactions_Raw[[#This Row],[Unit_Price]]*Sales_Transactions_Raw[[#This Row],[Quantity]]</f>
        <v>1600</v>
      </c>
      <c r="J59">
        <v>1</v>
      </c>
      <c r="K59">
        <v>20</v>
      </c>
      <c r="L59">
        <v>320</v>
      </c>
      <c r="M59">
        <v>1280</v>
      </c>
      <c r="N59">
        <v>18</v>
      </c>
      <c r="O59">
        <v>230.4</v>
      </c>
      <c r="P59">
        <v>149</v>
      </c>
      <c r="Q59">
        <v>1510.4</v>
      </c>
      <c r="R59" t="s">
        <v>64</v>
      </c>
      <c r="S59" t="s">
        <v>107</v>
      </c>
      <c r="T59" t="s">
        <v>115</v>
      </c>
      <c r="U59" t="s">
        <v>161</v>
      </c>
      <c r="V59" t="s">
        <v>269</v>
      </c>
      <c r="W59" t="s">
        <v>70</v>
      </c>
      <c r="X59" t="s">
        <v>277</v>
      </c>
      <c r="Y59" t="s">
        <v>127</v>
      </c>
      <c r="Z59" t="s">
        <v>68</v>
      </c>
      <c r="AA59" t="s">
        <v>463</v>
      </c>
      <c r="AB59" t="s">
        <v>3335</v>
      </c>
      <c r="AC59">
        <v>4</v>
      </c>
      <c r="AD59" t="s">
        <v>56</v>
      </c>
      <c r="AE59" t="s">
        <v>3336</v>
      </c>
      <c r="AF59" t="s">
        <v>57</v>
      </c>
      <c r="AG59" t="s">
        <v>58</v>
      </c>
      <c r="AH59" s="1">
        <v>45001</v>
      </c>
      <c r="AI59" s="1">
        <v>45002</v>
      </c>
      <c r="AJ59" s="1">
        <v>45005</v>
      </c>
      <c r="AK59" t="s">
        <v>3396</v>
      </c>
      <c r="AL59" t="s">
        <v>462</v>
      </c>
    </row>
    <row r="60" spans="1:38" x14ac:dyDescent="0.35">
      <c r="A60" t="s">
        <v>464</v>
      </c>
      <c r="B60" t="s">
        <v>373</v>
      </c>
      <c r="C60" t="s">
        <v>157</v>
      </c>
      <c r="D60" t="s">
        <v>466</v>
      </c>
      <c r="E60" t="s">
        <v>467</v>
      </c>
      <c r="F60" t="s">
        <v>185</v>
      </c>
      <c r="G60" t="s">
        <v>468</v>
      </c>
      <c r="H60">
        <v>620</v>
      </c>
      <c r="I60">
        <f>Sales_Transactions_Raw[[#This Row],[Unit_Price]]*Sales_Transactions_Raw[[#This Row],[Quantity]]</f>
        <v>620</v>
      </c>
      <c r="J60">
        <v>1</v>
      </c>
      <c r="K60">
        <v>10</v>
      </c>
      <c r="L60">
        <v>62</v>
      </c>
      <c r="M60">
        <v>558</v>
      </c>
      <c r="N60">
        <v>5</v>
      </c>
      <c r="O60">
        <v>27.9</v>
      </c>
      <c r="P60">
        <v>49</v>
      </c>
      <c r="Q60">
        <v>585.9</v>
      </c>
      <c r="R60" t="s">
        <v>160</v>
      </c>
      <c r="S60" t="s">
        <v>125</v>
      </c>
      <c r="T60" t="s">
        <v>115</v>
      </c>
      <c r="U60" t="s">
        <v>108</v>
      </c>
      <c r="V60" t="s">
        <v>197</v>
      </c>
      <c r="W60" t="s">
        <v>68</v>
      </c>
      <c r="X60" t="s">
        <v>469</v>
      </c>
      <c r="Y60" t="s">
        <v>244</v>
      </c>
      <c r="Z60" t="s">
        <v>70</v>
      </c>
      <c r="AA60" t="s">
        <v>470</v>
      </c>
      <c r="AB60" t="s">
        <v>3335</v>
      </c>
      <c r="AC60">
        <v>5</v>
      </c>
      <c r="AD60" t="s">
        <v>56</v>
      </c>
      <c r="AE60" t="s">
        <v>3336</v>
      </c>
      <c r="AF60" t="s">
        <v>99</v>
      </c>
      <c r="AG60" t="s">
        <v>111</v>
      </c>
      <c r="AH60" s="1">
        <v>44957</v>
      </c>
      <c r="AI60" s="1">
        <v>44960</v>
      </c>
      <c r="AJ60" s="1">
        <v>44968</v>
      </c>
      <c r="AK60" t="s">
        <v>3381</v>
      </c>
      <c r="AL60" t="s">
        <v>465</v>
      </c>
    </row>
    <row r="61" spans="1:38" x14ac:dyDescent="0.35">
      <c r="A61" t="s">
        <v>471</v>
      </c>
      <c r="B61" t="s">
        <v>472</v>
      </c>
      <c r="C61" t="s">
        <v>131</v>
      </c>
      <c r="D61" t="s">
        <v>345</v>
      </c>
      <c r="E61" t="s">
        <v>346</v>
      </c>
      <c r="F61" t="s">
        <v>46</v>
      </c>
      <c r="G61" t="s">
        <v>63</v>
      </c>
      <c r="H61">
        <v>115160</v>
      </c>
      <c r="I61">
        <f>Sales_Transactions_Raw[[#This Row],[Unit_Price]]*Sales_Transactions_Raw[[#This Row],[Quantity]]</f>
        <v>345480</v>
      </c>
      <c r="J61">
        <v>3</v>
      </c>
      <c r="K61">
        <v>0</v>
      </c>
      <c r="L61">
        <v>0</v>
      </c>
      <c r="M61">
        <v>345480</v>
      </c>
      <c r="N61">
        <v>18</v>
      </c>
      <c r="O61">
        <v>62186.400000000001</v>
      </c>
      <c r="P61">
        <v>0</v>
      </c>
      <c r="Q61">
        <v>407666.4</v>
      </c>
      <c r="R61" t="s">
        <v>92</v>
      </c>
      <c r="S61" t="s">
        <v>107</v>
      </c>
      <c r="T61" t="s">
        <v>66</v>
      </c>
      <c r="U61" t="s">
        <v>214</v>
      </c>
      <c r="V61" t="s">
        <v>67</v>
      </c>
      <c r="W61" t="s">
        <v>68</v>
      </c>
      <c r="X61" t="s">
        <v>474</v>
      </c>
      <c r="Y61" t="s">
        <v>169</v>
      </c>
      <c r="Z61" t="s">
        <v>95</v>
      </c>
      <c r="AA61" t="s">
        <v>475</v>
      </c>
      <c r="AB61" t="s">
        <v>3335</v>
      </c>
      <c r="AC61">
        <v>3</v>
      </c>
      <c r="AD61" t="s">
        <v>179</v>
      </c>
      <c r="AE61" t="s">
        <v>476</v>
      </c>
      <c r="AF61" t="s">
        <v>279</v>
      </c>
      <c r="AG61" t="s">
        <v>58</v>
      </c>
      <c r="AH61" s="1">
        <v>45216</v>
      </c>
      <c r="AI61" s="1">
        <v>45223</v>
      </c>
      <c r="AJ61" s="1">
        <v>45229</v>
      </c>
      <c r="AK61" t="s">
        <v>3397</v>
      </c>
      <c r="AL61" t="s">
        <v>473</v>
      </c>
    </row>
    <row r="62" spans="1:38" x14ac:dyDescent="0.35">
      <c r="A62" t="s">
        <v>477</v>
      </c>
      <c r="B62" t="s">
        <v>478</v>
      </c>
      <c r="C62" t="s">
        <v>157</v>
      </c>
      <c r="D62" t="s">
        <v>221</v>
      </c>
      <c r="E62" t="s">
        <v>222</v>
      </c>
      <c r="F62" t="s">
        <v>146</v>
      </c>
      <c r="G62" t="s">
        <v>223</v>
      </c>
      <c r="H62">
        <v>2720</v>
      </c>
      <c r="I62">
        <f>Sales_Transactions_Raw[[#This Row],[Unit_Price]]*Sales_Transactions_Raw[[#This Row],[Quantity]]</f>
        <v>2720</v>
      </c>
      <c r="J62">
        <v>1</v>
      </c>
      <c r="K62">
        <v>15</v>
      </c>
      <c r="L62">
        <v>408</v>
      </c>
      <c r="M62">
        <v>2312</v>
      </c>
      <c r="N62">
        <v>12</v>
      </c>
      <c r="O62">
        <v>277.44</v>
      </c>
      <c r="P62">
        <v>99</v>
      </c>
      <c r="Q62">
        <v>2589.44</v>
      </c>
      <c r="R62" t="s">
        <v>92</v>
      </c>
      <c r="S62" t="s">
        <v>49</v>
      </c>
      <c r="T62" t="s">
        <v>115</v>
      </c>
      <c r="U62" t="s">
        <v>108</v>
      </c>
      <c r="V62" t="s">
        <v>287</v>
      </c>
      <c r="W62" t="s">
        <v>95</v>
      </c>
      <c r="X62" t="s">
        <v>480</v>
      </c>
      <c r="Y62" t="s">
        <v>481</v>
      </c>
      <c r="Z62" t="s">
        <v>52</v>
      </c>
      <c r="AA62" t="s">
        <v>482</v>
      </c>
      <c r="AB62" t="s">
        <v>3341</v>
      </c>
      <c r="AC62">
        <v>4</v>
      </c>
      <c r="AD62" t="s">
        <v>56</v>
      </c>
      <c r="AE62" t="s">
        <v>3336</v>
      </c>
      <c r="AF62" t="s">
        <v>84</v>
      </c>
      <c r="AG62" t="s">
        <v>58</v>
      </c>
      <c r="AH62" s="1">
        <v>45372</v>
      </c>
      <c r="AI62" s="1">
        <v>45378</v>
      </c>
      <c r="AJ62" s="1">
        <v>45382</v>
      </c>
      <c r="AK62" t="s">
        <v>3398</v>
      </c>
      <c r="AL62" t="s">
        <v>479</v>
      </c>
    </row>
    <row r="63" spans="1:38" x14ac:dyDescent="0.35">
      <c r="A63" t="s">
        <v>483</v>
      </c>
      <c r="B63" t="s">
        <v>484</v>
      </c>
      <c r="C63" t="s">
        <v>157</v>
      </c>
      <c r="D63" t="s">
        <v>406</v>
      </c>
      <c r="E63" t="s">
        <v>231</v>
      </c>
      <c r="F63" t="s">
        <v>46</v>
      </c>
      <c r="G63" t="s">
        <v>369</v>
      </c>
      <c r="H63">
        <v>91880</v>
      </c>
      <c r="I63">
        <f>Sales_Transactions_Raw[[#This Row],[Unit_Price]]*Sales_Transactions_Raw[[#This Row],[Quantity]]</f>
        <v>183760</v>
      </c>
      <c r="J63">
        <v>2</v>
      </c>
      <c r="K63">
        <v>10</v>
      </c>
      <c r="L63">
        <v>18376</v>
      </c>
      <c r="M63">
        <v>165384</v>
      </c>
      <c r="N63">
        <v>18</v>
      </c>
      <c r="O63">
        <v>29769.119999999999</v>
      </c>
      <c r="P63">
        <v>0</v>
      </c>
      <c r="Q63">
        <v>195153.12</v>
      </c>
      <c r="R63" t="s">
        <v>92</v>
      </c>
      <c r="S63" t="s">
        <v>65</v>
      </c>
      <c r="T63" t="s">
        <v>66</v>
      </c>
      <c r="U63" t="s">
        <v>108</v>
      </c>
      <c r="V63" t="s">
        <v>67</v>
      </c>
      <c r="W63" t="s">
        <v>68</v>
      </c>
      <c r="X63" t="s">
        <v>486</v>
      </c>
      <c r="Y63" t="s">
        <v>138</v>
      </c>
      <c r="Z63" t="s">
        <v>81</v>
      </c>
      <c r="AA63" t="s">
        <v>487</v>
      </c>
      <c r="AB63" t="s">
        <v>3340</v>
      </c>
      <c r="AC63">
        <v>4</v>
      </c>
      <c r="AD63" t="s">
        <v>56</v>
      </c>
      <c r="AE63" t="s">
        <v>3336</v>
      </c>
      <c r="AF63" t="s">
        <v>72</v>
      </c>
      <c r="AG63" t="s">
        <v>3342</v>
      </c>
      <c r="AH63" s="1">
        <v>45154</v>
      </c>
      <c r="AI63" s="1">
        <v>45156</v>
      </c>
      <c r="AJ63" s="1">
        <v>45161</v>
      </c>
      <c r="AK63" t="s">
        <v>3399</v>
      </c>
      <c r="AL63" t="s">
        <v>485</v>
      </c>
    </row>
    <row r="64" spans="1:38" x14ac:dyDescent="0.35">
      <c r="A64" t="s">
        <v>488</v>
      </c>
      <c r="B64" t="s">
        <v>409</v>
      </c>
      <c r="C64" t="s">
        <v>131</v>
      </c>
      <c r="D64" t="s">
        <v>490</v>
      </c>
      <c r="E64" t="s">
        <v>91</v>
      </c>
      <c r="F64" t="s">
        <v>46</v>
      </c>
      <c r="G64" t="s">
        <v>369</v>
      </c>
      <c r="H64">
        <v>75790</v>
      </c>
      <c r="I64">
        <f>Sales_Transactions_Raw[[#This Row],[Unit_Price]]*Sales_Transactions_Raw[[#This Row],[Quantity]]</f>
        <v>151580</v>
      </c>
      <c r="J64">
        <v>2</v>
      </c>
      <c r="K64">
        <v>5</v>
      </c>
      <c r="L64">
        <v>7579</v>
      </c>
      <c r="M64">
        <v>144001</v>
      </c>
      <c r="N64">
        <v>18</v>
      </c>
      <c r="O64">
        <v>25920.18</v>
      </c>
      <c r="P64">
        <v>0</v>
      </c>
      <c r="Q64">
        <v>169921.18</v>
      </c>
      <c r="R64" t="s">
        <v>79</v>
      </c>
      <c r="S64" t="s">
        <v>125</v>
      </c>
      <c r="T64" t="s">
        <v>115</v>
      </c>
      <c r="U64" t="s">
        <v>50</v>
      </c>
      <c r="V64" t="s">
        <v>197</v>
      </c>
      <c r="W64" t="s">
        <v>68</v>
      </c>
      <c r="X64" t="s">
        <v>491</v>
      </c>
      <c r="Y64" t="s">
        <v>358</v>
      </c>
      <c r="Z64" t="s">
        <v>95</v>
      </c>
      <c r="AA64" t="s">
        <v>492</v>
      </c>
      <c r="AB64" t="s">
        <v>3341</v>
      </c>
      <c r="AC64">
        <v>4</v>
      </c>
      <c r="AD64" t="s">
        <v>56</v>
      </c>
      <c r="AE64" t="s">
        <v>3336</v>
      </c>
      <c r="AF64" t="s">
        <v>140</v>
      </c>
      <c r="AG64" t="s">
        <v>85</v>
      </c>
      <c r="AH64" s="1">
        <v>45294</v>
      </c>
      <c r="AI64" s="1">
        <v>45298</v>
      </c>
      <c r="AJ64" s="1">
        <v>45308</v>
      </c>
      <c r="AK64" t="s">
        <v>3400</v>
      </c>
      <c r="AL64" t="s">
        <v>489</v>
      </c>
    </row>
    <row r="65" spans="1:38" x14ac:dyDescent="0.35">
      <c r="A65" t="s">
        <v>493</v>
      </c>
      <c r="B65" t="s">
        <v>409</v>
      </c>
      <c r="C65" t="s">
        <v>89</v>
      </c>
      <c r="D65" t="s">
        <v>495</v>
      </c>
      <c r="E65" t="s">
        <v>496</v>
      </c>
      <c r="F65" t="s">
        <v>134</v>
      </c>
      <c r="G65" t="s">
        <v>497</v>
      </c>
      <c r="H65">
        <v>32140</v>
      </c>
      <c r="I65">
        <f>Sales_Transactions_Raw[[#This Row],[Unit_Price]]*Sales_Transactions_Raw[[#This Row],[Quantity]]</f>
        <v>32140</v>
      </c>
      <c r="J65">
        <v>1</v>
      </c>
      <c r="K65">
        <v>0</v>
      </c>
      <c r="L65">
        <v>0</v>
      </c>
      <c r="M65">
        <v>32140</v>
      </c>
      <c r="N65">
        <v>5</v>
      </c>
      <c r="O65">
        <v>1607</v>
      </c>
      <c r="P65">
        <v>0</v>
      </c>
      <c r="Q65">
        <v>33747</v>
      </c>
      <c r="R65" t="s">
        <v>48</v>
      </c>
      <c r="S65" t="s">
        <v>49</v>
      </c>
      <c r="T65" t="s">
        <v>213</v>
      </c>
      <c r="U65" t="s">
        <v>196</v>
      </c>
      <c r="V65" t="s">
        <v>269</v>
      </c>
      <c r="W65" t="s">
        <v>70</v>
      </c>
      <c r="X65" t="s">
        <v>117</v>
      </c>
      <c r="Y65" t="s">
        <v>118</v>
      </c>
      <c r="Z65" t="s">
        <v>70</v>
      </c>
      <c r="AA65" t="s">
        <v>498</v>
      </c>
      <c r="AB65" t="s">
        <v>3343</v>
      </c>
      <c r="AC65">
        <v>5</v>
      </c>
      <c r="AD65" t="s">
        <v>179</v>
      </c>
      <c r="AE65" t="s">
        <v>3336</v>
      </c>
      <c r="AF65" t="s">
        <v>164</v>
      </c>
      <c r="AG65" t="s">
        <v>85</v>
      </c>
      <c r="AH65" s="1">
        <v>44965</v>
      </c>
      <c r="AI65" s="1">
        <v>44966</v>
      </c>
      <c r="AJ65" s="1">
        <v>45308</v>
      </c>
      <c r="AK65" t="s">
        <v>3387</v>
      </c>
      <c r="AL65" t="s">
        <v>494</v>
      </c>
    </row>
    <row r="66" spans="1:38" x14ac:dyDescent="0.35">
      <c r="A66" t="s">
        <v>499</v>
      </c>
      <c r="B66" t="s">
        <v>418</v>
      </c>
      <c r="C66" t="s">
        <v>131</v>
      </c>
      <c r="D66" t="s">
        <v>183</v>
      </c>
      <c r="E66" t="s">
        <v>184</v>
      </c>
      <c r="F66" t="s">
        <v>185</v>
      </c>
      <c r="G66" t="s">
        <v>186</v>
      </c>
      <c r="H66">
        <v>110</v>
      </c>
      <c r="I66">
        <f>Sales_Transactions_Raw[[#This Row],[Unit_Price]]*Sales_Transactions_Raw[[#This Row],[Quantity]]</f>
        <v>1100</v>
      </c>
      <c r="J66">
        <v>10</v>
      </c>
      <c r="K66">
        <v>10</v>
      </c>
      <c r="L66">
        <v>110</v>
      </c>
      <c r="M66">
        <v>990</v>
      </c>
      <c r="N66">
        <v>5</v>
      </c>
      <c r="O66">
        <v>49.5</v>
      </c>
      <c r="P66">
        <v>149</v>
      </c>
      <c r="Q66">
        <v>1039.5</v>
      </c>
      <c r="R66" t="s">
        <v>64</v>
      </c>
      <c r="S66" t="s">
        <v>65</v>
      </c>
      <c r="T66" t="s">
        <v>115</v>
      </c>
      <c r="U66" t="s">
        <v>214</v>
      </c>
      <c r="V66" t="s">
        <v>276</v>
      </c>
      <c r="W66" t="s">
        <v>95</v>
      </c>
      <c r="X66" t="s">
        <v>480</v>
      </c>
      <c r="Y66" t="s">
        <v>481</v>
      </c>
      <c r="Z66" t="s">
        <v>52</v>
      </c>
      <c r="AA66" t="s">
        <v>501</v>
      </c>
      <c r="AB66" t="s">
        <v>3344</v>
      </c>
      <c r="AC66">
        <v>5</v>
      </c>
      <c r="AD66" t="s">
        <v>56</v>
      </c>
      <c r="AE66" t="s">
        <v>3336</v>
      </c>
      <c r="AF66" t="s">
        <v>262</v>
      </c>
      <c r="AG66" t="s">
        <v>58</v>
      </c>
      <c r="AH66" s="1">
        <v>44987</v>
      </c>
      <c r="AI66" s="1">
        <v>45048</v>
      </c>
      <c r="AJ66" s="1">
        <v>45262</v>
      </c>
      <c r="AK66" t="s">
        <v>3401</v>
      </c>
      <c r="AL66" t="s">
        <v>500</v>
      </c>
    </row>
    <row r="67" spans="1:38" x14ac:dyDescent="0.35">
      <c r="A67" t="s">
        <v>502</v>
      </c>
      <c r="B67" t="s">
        <v>478</v>
      </c>
      <c r="C67" t="s">
        <v>43</v>
      </c>
      <c r="D67" t="s">
        <v>504</v>
      </c>
      <c r="E67" t="s">
        <v>91</v>
      </c>
      <c r="F67" t="s">
        <v>134</v>
      </c>
      <c r="G67" t="s">
        <v>330</v>
      </c>
      <c r="H67">
        <v>25240</v>
      </c>
      <c r="I67">
        <f>Sales_Transactions_Raw[[#This Row],[Unit_Price]]*Sales_Transactions_Raw[[#This Row],[Quantity]]</f>
        <v>176680</v>
      </c>
      <c r="J67">
        <v>7</v>
      </c>
      <c r="K67">
        <v>10</v>
      </c>
      <c r="L67">
        <v>17668</v>
      </c>
      <c r="M67">
        <v>159012</v>
      </c>
      <c r="N67">
        <v>5</v>
      </c>
      <c r="O67">
        <v>7950.6</v>
      </c>
      <c r="P67">
        <v>0</v>
      </c>
      <c r="Q67">
        <v>166962.6</v>
      </c>
      <c r="R67" t="s">
        <v>124</v>
      </c>
      <c r="S67" t="s">
        <v>65</v>
      </c>
      <c r="T67" t="s">
        <v>66</v>
      </c>
      <c r="U67" t="s">
        <v>161</v>
      </c>
      <c r="V67" t="s">
        <v>276</v>
      </c>
      <c r="W67" t="s">
        <v>95</v>
      </c>
      <c r="X67" t="s">
        <v>505</v>
      </c>
      <c r="Y67" t="s">
        <v>118</v>
      </c>
      <c r="Z67" t="s">
        <v>70</v>
      </c>
      <c r="AA67" t="s">
        <v>506</v>
      </c>
      <c r="AB67" t="s">
        <v>3335</v>
      </c>
      <c r="AC67">
        <v>4</v>
      </c>
      <c r="AD67" t="s">
        <v>56</v>
      </c>
      <c r="AE67" t="s">
        <v>3336</v>
      </c>
      <c r="AF67" t="s">
        <v>227</v>
      </c>
      <c r="AG67" t="s">
        <v>3342</v>
      </c>
      <c r="AH67" s="1">
        <v>45091</v>
      </c>
      <c r="AI67" s="1">
        <v>45097</v>
      </c>
      <c r="AJ67" s="1">
        <v>45100</v>
      </c>
      <c r="AK67" t="s">
        <v>3402</v>
      </c>
      <c r="AL67" t="s">
        <v>503</v>
      </c>
    </row>
    <row r="68" spans="1:38" x14ac:dyDescent="0.35">
      <c r="A68" t="s">
        <v>507</v>
      </c>
      <c r="B68" t="s">
        <v>508</v>
      </c>
      <c r="C68" t="s">
        <v>157</v>
      </c>
      <c r="D68" t="s">
        <v>310</v>
      </c>
      <c r="E68" t="s">
        <v>311</v>
      </c>
      <c r="F68" t="s">
        <v>211</v>
      </c>
      <c r="G68" t="s">
        <v>312</v>
      </c>
      <c r="H68">
        <v>11550</v>
      </c>
      <c r="I68">
        <f>Sales_Transactions_Raw[[#This Row],[Unit_Price]]*Sales_Transactions_Raw[[#This Row],[Quantity]]</f>
        <v>23100</v>
      </c>
      <c r="J68">
        <v>2</v>
      </c>
      <c r="K68">
        <v>5</v>
      </c>
      <c r="L68">
        <v>1155</v>
      </c>
      <c r="M68">
        <v>21945</v>
      </c>
      <c r="N68">
        <v>5</v>
      </c>
      <c r="O68">
        <v>1097.25</v>
      </c>
      <c r="P68">
        <v>0</v>
      </c>
      <c r="Q68">
        <v>23042.25</v>
      </c>
      <c r="R68" t="s">
        <v>92</v>
      </c>
      <c r="S68" t="s">
        <v>107</v>
      </c>
      <c r="T68" t="s">
        <v>115</v>
      </c>
      <c r="U68" t="s">
        <v>108</v>
      </c>
      <c r="V68" t="s">
        <v>276</v>
      </c>
      <c r="W68" t="s">
        <v>95</v>
      </c>
      <c r="X68" t="s">
        <v>510</v>
      </c>
      <c r="Y68" t="s">
        <v>199</v>
      </c>
      <c r="Z68" t="s">
        <v>52</v>
      </c>
      <c r="AA68" t="s">
        <v>511</v>
      </c>
      <c r="AB68" t="s">
        <v>3343</v>
      </c>
      <c r="AC68">
        <v>4</v>
      </c>
      <c r="AD68" t="s">
        <v>56</v>
      </c>
      <c r="AE68" t="s">
        <v>3336</v>
      </c>
      <c r="AF68" t="s">
        <v>140</v>
      </c>
      <c r="AG68" t="s">
        <v>58</v>
      </c>
      <c r="AH68" s="1">
        <v>45116</v>
      </c>
      <c r="AI68" s="1">
        <v>45119</v>
      </c>
      <c r="AJ68" s="1">
        <v>45127</v>
      </c>
      <c r="AK68" t="s">
        <v>3403</v>
      </c>
      <c r="AL68" t="s">
        <v>509</v>
      </c>
    </row>
    <row r="69" spans="1:38" x14ac:dyDescent="0.35">
      <c r="A69" t="s">
        <v>512</v>
      </c>
      <c r="B69" t="s">
        <v>513</v>
      </c>
      <c r="C69" t="s">
        <v>43</v>
      </c>
      <c r="D69" t="s">
        <v>317</v>
      </c>
      <c r="E69" t="s">
        <v>77</v>
      </c>
      <c r="F69" t="s">
        <v>46</v>
      </c>
      <c r="G69" t="s">
        <v>176</v>
      </c>
      <c r="H69">
        <v>30240</v>
      </c>
      <c r="I69">
        <f>Sales_Transactions_Raw[[#This Row],[Unit_Price]]*Sales_Transactions_Raw[[#This Row],[Quantity]]</f>
        <v>90720</v>
      </c>
      <c r="J69">
        <v>3</v>
      </c>
      <c r="K69">
        <v>20</v>
      </c>
      <c r="L69">
        <v>18144</v>
      </c>
      <c r="M69">
        <v>72576</v>
      </c>
      <c r="N69">
        <v>18</v>
      </c>
      <c r="O69">
        <v>13063.68</v>
      </c>
      <c r="P69">
        <v>0</v>
      </c>
      <c r="Q69">
        <v>85639.679999999993</v>
      </c>
      <c r="R69" t="s">
        <v>106</v>
      </c>
      <c r="S69" t="s">
        <v>65</v>
      </c>
      <c r="T69" t="s">
        <v>115</v>
      </c>
      <c r="U69" t="s">
        <v>50</v>
      </c>
      <c r="V69" t="s">
        <v>80</v>
      </c>
      <c r="W69" t="s">
        <v>81</v>
      </c>
      <c r="X69" t="s">
        <v>515</v>
      </c>
      <c r="Y69" t="s">
        <v>82</v>
      </c>
      <c r="Z69" t="s">
        <v>52</v>
      </c>
      <c r="AB69" t="s">
        <v>3335</v>
      </c>
      <c r="AC69">
        <v>4</v>
      </c>
      <c r="AD69" t="s">
        <v>56</v>
      </c>
      <c r="AE69" t="s">
        <v>3336</v>
      </c>
      <c r="AF69" t="s">
        <v>164</v>
      </c>
      <c r="AG69" t="s">
        <v>3342</v>
      </c>
      <c r="AH69" s="1">
        <v>45191</v>
      </c>
      <c r="AI69" s="1">
        <v>45194</v>
      </c>
      <c r="AJ69" s="1">
        <v>45197</v>
      </c>
      <c r="AK69" t="s">
        <v>3404</v>
      </c>
      <c r="AL69" t="s">
        <v>514</v>
      </c>
    </row>
    <row r="70" spans="1:38" x14ac:dyDescent="0.35">
      <c r="A70" t="s">
        <v>516</v>
      </c>
      <c r="B70" t="s">
        <v>461</v>
      </c>
      <c r="C70" t="s">
        <v>89</v>
      </c>
      <c r="D70" t="s">
        <v>122</v>
      </c>
      <c r="E70" t="s">
        <v>123</v>
      </c>
      <c r="F70" t="s">
        <v>46</v>
      </c>
      <c r="G70" t="s">
        <v>63</v>
      </c>
      <c r="H70">
        <v>60120</v>
      </c>
      <c r="I70">
        <f>Sales_Transactions_Raw[[#This Row],[Unit_Price]]*Sales_Transactions_Raw[[#This Row],[Quantity]]</f>
        <v>120240</v>
      </c>
      <c r="J70">
        <v>2</v>
      </c>
      <c r="K70">
        <v>10</v>
      </c>
      <c r="L70">
        <v>12024</v>
      </c>
      <c r="M70">
        <v>108216</v>
      </c>
      <c r="N70">
        <v>18</v>
      </c>
      <c r="O70">
        <v>19478.88</v>
      </c>
      <c r="P70">
        <v>0</v>
      </c>
      <c r="Q70">
        <v>127694.88</v>
      </c>
      <c r="R70" t="s">
        <v>124</v>
      </c>
      <c r="S70" t="s">
        <v>49</v>
      </c>
      <c r="T70" t="s">
        <v>115</v>
      </c>
      <c r="U70" t="s">
        <v>161</v>
      </c>
      <c r="V70" t="s">
        <v>80</v>
      </c>
      <c r="W70" t="s">
        <v>81</v>
      </c>
      <c r="X70" t="s">
        <v>69</v>
      </c>
      <c r="Y70" t="s">
        <v>54</v>
      </c>
      <c r="Z70" t="s">
        <v>70</v>
      </c>
      <c r="AA70" t="s">
        <v>518</v>
      </c>
      <c r="AB70" t="s">
        <v>3335</v>
      </c>
      <c r="AC70">
        <v>4</v>
      </c>
      <c r="AD70" t="s">
        <v>56</v>
      </c>
      <c r="AE70" t="s">
        <v>3336</v>
      </c>
      <c r="AF70" t="s">
        <v>326</v>
      </c>
      <c r="AG70" t="s">
        <v>3342</v>
      </c>
      <c r="AH70" s="1">
        <v>45234</v>
      </c>
      <c r="AI70" s="1">
        <v>45240</v>
      </c>
      <c r="AJ70" s="1">
        <v>45249</v>
      </c>
      <c r="AK70" t="s">
        <v>3396</v>
      </c>
      <c r="AL70" t="s">
        <v>517</v>
      </c>
    </row>
    <row r="71" spans="1:38" x14ac:dyDescent="0.35">
      <c r="A71" t="s">
        <v>519</v>
      </c>
      <c r="B71" t="s">
        <v>520</v>
      </c>
      <c r="C71" t="s">
        <v>157</v>
      </c>
      <c r="D71" t="s">
        <v>183</v>
      </c>
      <c r="E71" t="s">
        <v>184</v>
      </c>
      <c r="F71" t="s">
        <v>185</v>
      </c>
      <c r="G71" t="s">
        <v>186</v>
      </c>
      <c r="H71">
        <v>130</v>
      </c>
      <c r="I71">
        <f>Sales_Transactions_Raw[[#This Row],[Unit_Price]]*Sales_Transactions_Raw[[#This Row],[Quantity]]</f>
        <v>390</v>
      </c>
      <c r="J71">
        <v>3</v>
      </c>
      <c r="K71">
        <v>20</v>
      </c>
      <c r="L71">
        <v>78</v>
      </c>
      <c r="M71">
        <v>312</v>
      </c>
      <c r="N71">
        <v>5</v>
      </c>
      <c r="O71">
        <v>15.6</v>
      </c>
      <c r="P71">
        <v>79</v>
      </c>
      <c r="Q71">
        <v>327.60000000000002</v>
      </c>
      <c r="R71" t="s">
        <v>92</v>
      </c>
      <c r="S71" t="s">
        <v>93</v>
      </c>
      <c r="T71" t="s">
        <v>66</v>
      </c>
      <c r="U71" t="s">
        <v>50</v>
      </c>
      <c r="V71" t="s">
        <v>177</v>
      </c>
      <c r="W71" t="s">
        <v>81</v>
      </c>
      <c r="X71" t="s">
        <v>243</v>
      </c>
      <c r="Y71" t="s">
        <v>244</v>
      </c>
      <c r="Z71" t="s">
        <v>70</v>
      </c>
      <c r="AA71" t="s">
        <v>522</v>
      </c>
      <c r="AB71" t="s">
        <v>3339</v>
      </c>
      <c r="AC71">
        <v>5</v>
      </c>
      <c r="AD71" t="s">
        <v>179</v>
      </c>
      <c r="AE71" t="s">
        <v>3336</v>
      </c>
      <c r="AF71" t="s">
        <v>164</v>
      </c>
      <c r="AG71" t="s">
        <v>3337</v>
      </c>
      <c r="AH71" s="1">
        <v>44955</v>
      </c>
      <c r="AI71" s="1">
        <v>44959</v>
      </c>
      <c r="AJ71" s="1">
        <v>44961</v>
      </c>
      <c r="AK71" t="s">
        <v>3405</v>
      </c>
      <c r="AL71" t="s">
        <v>521</v>
      </c>
    </row>
    <row r="72" spans="1:38" x14ac:dyDescent="0.35">
      <c r="A72" t="s">
        <v>523</v>
      </c>
      <c r="B72" t="s">
        <v>524</v>
      </c>
      <c r="C72" t="s">
        <v>43</v>
      </c>
      <c r="D72" t="s">
        <v>526</v>
      </c>
      <c r="E72" t="s">
        <v>527</v>
      </c>
      <c r="F72" t="s">
        <v>185</v>
      </c>
      <c r="G72" t="s">
        <v>528</v>
      </c>
      <c r="H72">
        <v>890</v>
      </c>
      <c r="I72">
        <f>Sales_Transactions_Raw[[#This Row],[Unit_Price]]*Sales_Transactions_Raw[[#This Row],[Quantity]]</f>
        <v>6230</v>
      </c>
      <c r="J72">
        <v>7</v>
      </c>
      <c r="K72">
        <v>15</v>
      </c>
      <c r="L72">
        <v>934.5</v>
      </c>
      <c r="M72">
        <v>5295.5</v>
      </c>
      <c r="N72">
        <v>5</v>
      </c>
      <c r="O72">
        <v>264.77</v>
      </c>
      <c r="P72">
        <v>0</v>
      </c>
      <c r="Q72">
        <v>5560.27</v>
      </c>
      <c r="R72" t="s">
        <v>64</v>
      </c>
      <c r="S72" t="s">
        <v>125</v>
      </c>
      <c r="T72" t="s">
        <v>66</v>
      </c>
      <c r="U72" t="s">
        <v>214</v>
      </c>
      <c r="V72" t="s">
        <v>177</v>
      </c>
      <c r="W72" t="s">
        <v>81</v>
      </c>
      <c r="X72" t="s">
        <v>232</v>
      </c>
      <c r="Y72" t="s">
        <v>82</v>
      </c>
      <c r="Z72" t="s">
        <v>52</v>
      </c>
      <c r="AA72" t="s">
        <v>529</v>
      </c>
      <c r="AB72" t="s">
        <v>3339</v>
      </c>
      <c r="AC72">
        <v>4</v>
      </c>
      <c r="AD72" t="s">
        <v>179</v>
      </c>
      <c r="AE72" t="s">
        <v>3336</v>
      </c>
      <c r="AF72" t="s">
        <v>326</v>
      </c>
      <c r="AG72" t="s">
        <v>58</v>
      </c>
      <c r="AH72" s="1">
        <v>45119</v>
      </c>
      <c r="AI72" s="1">
        <v>45121</v>
      </c>
      <c r="AJ72" s="1">
        <v>45131</v>
      </c>
      <c r="AK72" t="s">
        <v>3406</v>
      </c>
      <c r="AL72" t="s">
        <v>525</v>
      </c>
    </row>
    <row r="73" spans="1:38" x14ac:dyDescent="0.35">
      <c r="A73" t="s">
        <v>530</v>
      </c>
      <c r="B73" t="s">
        <v>315</v>
      </c>
      <c r="C73" t="s">
        <v>157</v>
      </c>
      <c r="D73" t="s">
        <v>367</v>
      </c>
      <c r="E73" t="s">
        <v>368</v>
      </c>
      <c r="F73" t="s">
        <v>46</v>
      </c>
      <c r="G73" t="s">
        <v>369</v>
      </c>
      <c r="H73">
        <v>27470</v>
      </c>
      <c r="I73">
        <f>Sales_Transactions_Raw[[#This Row],[Unit_Price]]*Sales_Transactions_Raw[[#This Row],[Quantity]]</f>
        <v>164820</v>
      </c>
      <c r="J73">
        <v>6</v>
      </c>
      <c r="K73">
        <v>0</v>
      </c>
      <c r="L73">
        <v>0</v>
      </c>
      <c r="M73">
        <v>164820</v>
      </c>
      <c r="N73">
        <v>18</v>
      </c>
      <c r="O73">
        <v>29667.599999999999</v>
      </c>
      <c r="P73">
        <v>0</v>
      </c>
      <c r="Q73">
        <v>194487.6</v>
      </c>
      <c r="R73" t="s">
        <v>106</v>
      </c>
      <c r="S73" t="s">
        <v>49</v>
      </c>
      <c r="T73" t="s">
        <v>115</v>
      </c>
      <c r="U73" t="s">
        <v>214</v>
      </c>
      <c r="V73" t="s">
        <v>242</v>
      </c>
      <c r="W73" t="s">
        <v>70</v>
      </c>
      <c r="X73" t="s">
        <v>515</v>
      </c>
      <c r="Y73" t="s">
        <v>82</v>
      </c>
      <c r="Z73" t="s">
        <v>52</v>
      </c>
      <c r="AA73" t="s">
        <v>532</v>
      </c>
      <c r="AB73" t="s">
        <v>3341</v>
      </c>
      <c r="AC73">
        <v>3</v>
      </c>
      <c r="AD73" t="s">
        <v>179</v>
      </c>
      <c r="AE73" t="s">
        <v>3336</v>
      </c>
      <c r="AF73" t="s">
        <v>140</v>
      </c>
      <c r="AG73" t="s">
        <v>58</v>
      </c>
      <c r="AH73" s="1">
        <v>44999</v>
      </c>
      <c r="AI73" s="1">
        <v>45003</v>
      </c>
      <c r="AJ73" s="1">
        <v>45008</v>
      </c>
      <c r="AK73" t="s">
        <v>3407</v>
      </c>
      <c r="AL73" t="s">
        <v>531</v>
      </c>
    </row>
    <row r="74" spans="1:38" x14ac:dyDescent="0.35">
      <c r="A74" t="s">
        <v>280</v>
      </c>
      <c r="B74" t="s">
        <v>533</v>
      </c>
      <c r="C74" t="s">
        <v>89</v>
      </c>
      <c r="D74" t="s">
        <v>183</v>
      </c>
      <c r="E74" t="s">
        <v>184</v>
      </c>
      <c r="F74" t="s">
        <v>185</v>
      </c>
      <c r="G74" t="s">
        <v>186</v>
      </c>
      <c r="H74">
        <v>110</v>
      </c>
      <c r="I74">
        <f>Sales_Transactions_Raw[[#This Row],[Unit_Price]]*Sales_Transactions_Raw[[#This Row],[Quantity]]</f>
        <v>220</v>
      </c>
      <c r="J74">
        <v>2</v>
      </c>
      <c r="K74">
        <v>0</v>
      </c>
      <c r="L74">
        <v>0</v>
      </c>
      <c r="M74">
        <v>220</v>
      </c>
      <c r="N74">
        <v>5</v>
      </c>
      <c r="O74">
        <v>11</v>
      </c>
      <c r="P74">
        <v>99</v>
      </c>
      <c r="Q74">
        <v>231</v>
      </c>
      <c r="R74" t="s">
        <v>160</v>
      </c>
      <c r="S74" t="s">
        <v>107</v>
      </c>
      <c r="T74" t="s">
        <v>115</v>
      </c>
      <c r="U74" t="s">
        <v>50</v>
      </c>
      <c r="V74" t="s">
        <v>177</v>
      </c>
      <c r="W74" t="s">
        <v>81</v>
      </c>
      <c r="X74" t="s">
        <v>437</v>
      </c>
      <c r="Y74" t="s">
        <v>319</v>
      </c>
      <c r="Z74" t="s">
        <v>95</v>
      </c>
      <c r="AA74" t="s">
        <v>535</v>
      </c>
      <c r="AB74" t="s">
        <v>3344</v>
      </c>
      <c r="AC74">
        <v>3</v>
      </c>
      <c r="AD74" t="s">
        <v>56</v>
      </c>
      <c r="AE74" t="s">
        <v>3336</v>
      </c>
      <c r="AF74" t="s">
        <v>227</v>
      </c>
      <c r="AG74" t="s">
        <v>58</v>
      </c>
      <c r="AH74" s="1">
        <v>45059</v>
      </c>
      <c r="AI74" s="1">
        <v>45060</v>
      </c>
      <c r="AJ74" s="1">
        <v>45068</v>
      </c>
      <c r="AK74" t="s">
        <v>3408</v>
      </c>
      <c r="AL74" t="s">
        <v>534</v>
      </c>
    </row>
    <row r="75" spans="1:38" x14ac:dyDescent="0.35">
      <c r="A75" t="s">
        <v>536</v>
      </c>
      <c r="B75" t="s">
        <v>235</v>
      </c>
      <c r="C75" t="s">
        <v>89</v>
      </c>
      <c r="D75" t="s">
        <v>391</v>
      </c>
      <c r="E75" t="s">
        <v>392</v>
      </c>
      <c r="F75" t="s">
        <v>46</v>
      </c>
      <c r="G75" t="s">
        <v>176</v>
      </c>
      <c r="H75">
        <v>9630</v>
      </c>
      <c r="I75">
        <f>Sales_Transactions_Raw[[#This Row],[Unit_Price]]*Sales_Transactions_Raw[[#This Row],[Quantity]]</f>
        <v>38520</v>
      </c>
      <c r="J75">
        <v>4</v>
      </c>
      <c r="K75">
        <v>10</v>
      </c>
      <c r="L75">
        <v>3852</v>
      </c>
      <c r="M75">
        <v>34668</v>
      </c>
      <c r="N75">
        <v>18</v>
      </c>
      <c r="O75">
        <v>6240.24</v>
      </c>
      <c r="P75">
        <v>0</v>
      </c>
      <c r="Q75">
        <v>40908.239999999998</v>
      </c>
      <c r="R75" t="s">
        <v>106</v>
      </c>
      <c r="S75" t="s">
        <v>65</v>
      </c>
      <c r="T75" t="s">
        <v>115</v>
      </c>
      <c r="U75" t="s">
        <v>50</v>
      </c>
      <c r="V75" t="s">
        <v>224</v>
      </c>
      <c r="W75" t="s">
        <v>95</v>
      </c>
      <c r="X75" t="s">
        <v>298</v>
      </c>
      <c r="Y75" t="s">
        <v>151</v>
      </c>
      <c r="Z75" t="s">
        <v>81</v>
      </c>
      <c r="AA75" t="s">
        <v>538</v>
      </c>
      <c r="AB75" t="s">
        <v>3335</v>
      </c>
      <c r="AC75">
        <v>4</v>
      </c>
      <c r="AD75" t="s">
        <v>56</v>
      </c>
      <c r="AE75" t="s">
        <v>3336</v>
      </c>
      <c r="AF75" t="s">
        <v>164</v>
      </c>
      <c r="AG75" t="s">
        <v>58</v>
      </c>
      <c r="AH75" s="1">
        <v>44936</v>
      </c>
      <c r="AI75" s="1">
        <v>44939</v>
      </c>
      <c r="AJ75" s="1">
        <v>44947</v>
      </c>
      <c r="AK75" t="s">
        <v>3409</v>
      </c>
      <c r="AL75" t="s">
        <v>537</v>
      </c>
    </row>
    <row r="76" spans="1:38" x14ac:dyDescent="0.35">
      <c r="A76" t="s">
        <v>539</v>
      </c>
      <c r="B76" t="s">
        <v>60</v>
      </c>
      <c r="C76" t="s">
        <v>43</v>
      </c>
      <c r="D76" t="s">
        <v>303</v>
      </c>
      <c r="E76" t="s">
        <v>304</v>
      </c>
      <c r="F76" t="s">
        <v>134</v>
      </c>
      <c r="G76" t="s">
        <v>305</v>
      </c>
      <c r="H76">
        <v>35240</v>
      </c>
      <c r="I76">
        <f>Sales_Transactions_Raw[[#This Row],[Unit_Price]]*Sales_Transactions_Raw[[#This Row],[Quantity]]</f>
        <v>176200</v>
      </c>
      <c r="J76">
        <v>5</v>
      </c>
      <c r="K76">
        <v>20</v>
      </c>
      <c r="L76">
        <v>35240</v>
      </c>
      <c r="M76">
        <v>140960</v>
      </c>
      <c r="N76">
        <v>5</v>
      </c>
      <c r="O76">
        <v>7048</v>
      </c>
      <c r="P76">
        <v>0</v>
      </c>
      <c r="Q76">
        <v>148008</v>
      </c>
      <c r="R76" t="s">
        <v>48</v>
      </c>
      <c r="S76" t="s">
        <v>125</v>
      </c>
      <c r="T76" t="s">
        <v>66</v>
      </c>
      <c r="U76" t="s">
        <v>196</v>
      </c>
      <c r="V76" t="s">
        <v>297</v>
      </c>
      <c r="W76" t="s">
        <v>52</v>
      </c>
      <c r="X76" t="s">
        <v>150</v>
      </c>
      <c r="Y76" t="s">
        <v>151</v>
      </c>
      <c r="Z76" t="s">
        <v>81</v>
      </c>
      <c r="AA76" t="s">
        <v>541</v>
      </c>
      <c r="AB76" t="s">
        <v>3335</v>
      </c>
      <c r="AC76">
        <v>5</v>
      </c>
      <c r="AD76" t="s">
        <v>56</v>
      </c>
      <c r="AE76" t="s">
        <v>3336</v>
      </c>
      <c r="AF76" t="s">
        <v>153</v>
      </c>
      <c r="AG76" t="s">
        <v>111</v>
      </c>
      <c r="AH76" s="1">
        <v>45363</v>
      </c>
      <c r="AI76" s="1">
        <v>45369</v>
      </c>
      <c r="AJ76" s="1">
        <v>45372</v>
      </c>
      <c r="AK76" t="s">
        <v>3410</v>
      </c>
      <c r="AL76" t="s">
        <v>540</v>
      </c>
    </row>
    <row r="77" spans="1:38" x14ac:dyDescent="0.35">
      <c r="A77" t="s">
        <v>542</v>
      </c>
      <c r="B77" t="s">
        <v>543</v>
      </c>
      <c r="C77" t="s">
        <v>43</v>
      </c>
      <c r="D77" t="s">
        <v>406</v>
      </c>
      <c r="E77" t="s">
        <v>231</v>
      </c>
      <c r="F77" t="s">
        <v>46</v>
      </c>
      <c r="G77" t="s">
        <v>369</v>
      </c>
      <c r="H77">
        <v>87670</v>
      </c>
      <c r="I77">
        <f>Sales_Transactions_Raw[[#This Row],[Unit_Price]]*Sales_Transactions_Raw[[#This Row],[Quantity]]</f>
        <v>350680</v>
      </c>
      <c r="J77">
        <v>4</v>
      </c>
      <c r="K77">
        <v>10</v>
      </c>
      <c r="L77">
        <v>35068</v>
      </c>
      <c r="M77">
        <v>315612</v>
      </c>
      <c r="N77">
        <v>18</v>
      </c>
      <c r="O77">
        <v>56810.16</v>
      </c>
      <c r="P77">
        <v>0</v>
      </c>
      <c r="Q77">
        <v>372422.16000000003</v>
      </c>
      <c r="R77" t="s">
        <v>79</v>
      </c>
      <c r="S77" t="s">
        <v>93</v>
      </c>
      <c r="T77" t="s">
        <v>66</v>
      </c>
      <c r="U77" t="s">
        <v>214</v>
      </c>
      <c r="V77" t="s">
        <v>67</v>
      </c>
      <c r="W77" t="s">
        <v>68</v>
      </c>
      <c r="X77" t="s">
        <v>370</v>
      </c>
      <c r="Y77" t="s">
        <v>151</v>
      </c>
      <c r="Z77" t="s">
        <v>81</v>
      </c>
      <c r="AA77" t="s">
        <v>545</v>
      </c>
      <c r="AB77" t="s">
        <v>3335</v>
      </c>
      <c r="AC77">
        <v>3</v>
      </c>
      <c r="AD77" t="s">
        <v>56</v>
      </c>
      <c r="AE77" t="s">
        <v>3336</v>
      </c>
      <c r="AF77" t="s">
        <v>262</v>
      </c>
      <c r="AG77" t="s">
        <v>58</v>
      </c>
      <c r="AH77" s="1">
        <v>45464</v>
      </c>
      <c r="AI77" s="1">
        <v>45471</v>
      </c>
      <c r="AJ77" s="1">
        <v>45476</v>
      </c>
      <c r="AK77" t="s">
        <v>3613</v>
      </c>
      <c r="AL77" t="s">
        <v>544</v>
      </c>
    </row>
    <row r="78" spans="1:38" x14ac:dyDescent="0.35">
      <c r="A78" t="s">
        <v>546</v>
      </c>
      <c r="B78" t="s">
        <v>87</v>
      </c>
      <c r="C78" t="s">
        <v>89</v>
      </c>
      <c r="D78" t="s">
        <v>406</v>
      </c>
      <c r="E78" t="s">
        <v>231</v>
      </c>
      <c r="F78" t="s">
        <v>46</v>
      </c>
      <c r="G78" t="s">
        <v>369</v>
      </c>
      <c r="H78">
        <v>96480</v>
      </c>
      <c r="I78">
        <f>Sales_Transactions_Raw[[#This Row],[Unit_Price]]*Sales_Transactions_Raw[[#This Row],[Quantity]]</f>
        <v>385920</v>
      </c>
      <c r="J78">
        <v>4</v>
      </c>
      <c r="K78">
        <v>5</v>
      </c>
      <c r="L78">
        <v>19296</v>
      </c>
      <c r="M78">
        <v>366624</v>
      </c>
      <c r="N78">
        <v>18</v>
      </c>
      <c r="O78">
        <v>65992.320000000007</v>
      </c>
      <c r="P78">
        <v>0</v>
      </c>
      <c r="Q78">
        <v>432616.32</v>
      </c>
      <c r="R78" t="s">
        <v>48</v>
      </c>
      <c r="S78" t="s">
        <v>93</v>
      </c>
      <c r="T78" t="s">
        <v>115</v>
      </c>
      <c r="U78" t="s">
        <v>196</v>
      </c>
      <c r="V78" t="s">
        <v>197</v>
      </c>
      <c r="W78" t="s">
        <v>68</v>
      </c>
      <c r="X78" t="s">
        <v>243</v>
      </c>
      <c r="Y78" t="s">
        <v>244</v>
      </c>
      <c r="Z78" t="s">
        <v>70</v>
      </c>
      <c r="AA78" t="s">
        <v>547</v>
      </c>
      <c r="AB78" t="s">
        <v>3335</v>
      </c>
      <c r="AC78">
        <v>4</v>
      </c>
      <c r="AD78" t="s">
        <v>56</v>
      </c>
      <c r="AE78" t="s">
        <v>3336</v>
      </c>
      <c r="AF78" t="s">
        <v>217</v>
      </c>
      <c r="AG78" t="s">
        <v>3342</v>
      </c>
      <c r="AH78" s="1">
        <v>45238</v>
      </c>
      <c r="AI78" s="1">
        <v>45243</v>
      </c>
      <c r="AJ78" s="1">
        <v>45253</v>
      </c>
      <c r="AK78" t="s">
        <v>3427</v>
      </c>
      <c r="AL78" t="s">
        <v>3733</v>
      </c>
    </row>
    <row r="79" spans="1:38" x14ac:dyDescent="0.35">
      <c r="A79" t="s">
        <v>548</v>
      </c>
      <c r="B79" t="s">
        <v>549</v>
      </c>
      <c r="C79" t="s">
        <v>157</v>
      </c>
      <c r="D79" t="s">
        <v>193</v>
      </c>
      <c r="E79" t="s">
        <v>194</v>
      </c>
      <c r="F79" t="s">
        <v>146</v>
      </c>
      <c r="G79" t="s">
        <v>195</v>
      </c>
      <c r="H79">
        <v>3200</v>
      </c>
      <c r="I79">
        <f>Sales_Transactions_Raw[[#This Row],[Unit_Price]]*Sales_Transactions_Raw[[#This Row],[Quantity]]</f>
        <v>6400</v>
      </c>
      <c r="J79">
        <v>2</v>
      </c>
      <c r="K79">
        <v>20</v>
      </c>
      <c r="L79">
        <v>1280</v>
      </c>
      <c r="M79">
        <v>5120</v>
      </c>
      <c r="N79">
        <v>12</v>
      </c>
      <c r="O79">
        <v>614.4</v>
      </c>
      <c r="P79">
        <v>0</v>
      </c>
      <c r="Q79">
        <v>5734.4</v>
      </c>
      <c r="R79" t="s">
        <v>160</v>
      </c>
      <c r="S79" t="s">
        <v>49</v>
      </c>
      <c r="T79" t="s">
        <v>115</v>
      </c>
      <c r="U79" t="s">
        <v>214</v>
      </c>
      <c r="V79" t="s">
        <v>94</v>
      </c>
      <c r="W79" t="s">
        <v>95</v>
      </c>
      <c r="X79" t="s">
        <v>551</v>
      </c>
      <c r="Y79" t="s">
        <v>138</v>
      </c>
      <c r="Z79" t="s">
        <v>81</v>
      </c>
      <c r="AA79" t="s">
        <v>552</v>
      </c>
      <c r="AB79" t="s">
        <v>3340</v>
      </c>
      <c r="AC79">
        <v>3</v>
      </c>
      <c r="AD79" t="s">
        <v>56</v>
      </c>
      <c r="AE79" t="s">
        <v>3336</v>
      </c>
      <c r="AF79" t="s">
        <v>99</v>
      </c>
      <c r="AG79" t="s">
        <v>3342</v>
      </c>
      <c r="AH79" s="1">
        <v>44976</v>
      </c>
      <c r="AI79" s="1">
        <v>44981</v>
      </c>
      <c r="AJ79" s="1">
        <v>44989</v>
      </c>
      <c r="AK79" t="s">
        <v>3411</v>
      </c>
      <c r="AL79" t="s">
        <v>550</v>
      </c>
    </row>
    <row r="80" spans="1:38" x14ac:dyDescent="0.35">
      <c r="A80" t="s">
        <v>553</v>
      </c>
      <c r="B80" t="s">
        <v>554</v>
      </c>
      <c r="C80" t="s">
        <v>157</v>
      </c>
      <c r="D80" t="s">
        <v>432</v>
      </c>
      <c r="E80" t="s">
        <v>433</v>
      </c>
      <c r="F80" t="s">
        <v>146</v>
      </c>
      <c r="G80" t="s">
        <v>296</v>
      </c>
      <c r="H80">
        <v>5250</v>
      </c>
      <c r="I80">
        <f>Sales_Transactions_Raw[[#This Row],[Unit_Price]]*Sales_Transactions_Raw[[#This Row],[Quantity]]</f>
        <v>31500</v>
      </c>
      <c r="J80">
        <v>6</v>
      </c>
      <c r="K80">
        <v>10</v>
      </c>
      <c r="L80">
        <v>3150</v>
      </c>
      <c r="M80">
        <v>28350</v>
      </c>
      <c r="N80">
        <v>12</v>
      </c>
      <c r="O80">
        <v>3402</v>
      </c>
      <c r="P80">
        <v>0</v>
      </c>
      <c r="Q80">
        <v>31752</v>
      </c>
      <c r="R80" t="s">
        <v>48</v>
      </c>
      <c r="S80" t="s">
        <v>65</v>
      </c>
      <c r="T80" t="s">
        <v>115</v>
      </c>
      <c r="U80" t="s">
        <v>108</v>
      </c>
      <c r="V80" t="s">
        <v>242</v>
      </c>
      <c r="W80" t="s">
        <v>70</v>
      </c>
      <c r="X80" t="s">
        <v>556</v>
      </c>
      <c r="Y80" t="s">
        <v>481</v>
      </c>
      <c r="Z80" t="s">
        <v>52</v>
      </c>
      <c r="AA80" t="s">
        <v>557</v>
      </c>
      <c r="AB80" t="s">
        <v>3341</v>
      </c>
      <c r="AC80">
        <v>1</v>
      </c>
      <c r="AD80" t="s">
        <v>56</v>
      </c>
      <c r="AE80" t="s">
        <v>3336</v>
      </c>
      <c r="AF80" t="s">
        <v>217</v>
      </c>
      <c r="AG80" t="s">
        <v>85</v>
      </c>
      <c r="AH80" s="1">
        <v>45354</v>
      </c>
      <c r="AI80" s="1">
        <v>45360</v>
      </c>
      <c r="AJ80" s="1">
        <v>45370</v>
      </c>
      <c r="AK80" t="s">
        <v>3412</v>
      </c>
      <c r="AL80" t="s">
        <v>555</v>
      </c>
    </row>
    <row r="81" spans="1:38" x14ac:dyDescent="0.35">
      <c r="A81" t="s">
        <v>558</v>
      </c>
      <c r="B81" t="s">
        <v>559</v>
      </c>
      <c r="C81" t="s">
        <v>131</v>
      </c>
      <c r="D81" t="s">
        <v>310</v>
      </c>
      <c r="E81" t="s">
        <v>311</v>
      </c>
      <c r="F81" t="s">
        <v>211</v>
      </c>
      <c r="G81" t="s">
        <v>312</v>
      </c>
      <c r="H81">
        <v>12350</v>
      </c>
      <c r="I81">
        <f>Sales_Transactions_Raw[[#This Row],[Unit_Price]]*Sales_Transactions_Raw[[#This Row],[Quantity]]</f>
        <v>12350</v>
      </c>
      <c r="J81">
        <v>1</v>
      </c>
      <c r="K81">
        <v>0</v>
      </c>
      <c r="L81">
        <v>0</v>
      </c>
      <c r="M81">
        <v>12350</v>
      </c>
      <c r="N81">
        <v>5</v>
      </c>
      <c r="O81">
        <v>617.5</v>
      </c>
      <c r="P81">
        <v>0</v>
      </c>
      <c r="Q81">
        <v>12967.5</v>
      </c>
      <c r="R81" t="s">
        <v>160</v>
      </c>
      <c r="S81" t="s">
        <v>65</v>
      </c>
      <c r="T81" t="s">
        <v>115</v>
      </c>
      <c r="U81" t="s">
        <v>161</v>
      </c>
      <c r="V81" t="s">
        <v>197</v>
      </c>
      <c r="W81" t="s">
        <v>68</v>
      </c>
      <c r="X81" t="s">
        <v>318</v>
      </c>
      <c r="Y81" t="s">
        <v>319</v>
      </c>
      <c r="Z81" t="s">
        <v>95</v>
      </c>
      <c r="AA81" t="s">
        <v>561</v>
      </c>
      <c r="AB81" t="s">
        <v>3339</v>
      </c>
      <c r="AC81">
        <v>3</v>
      </c>
      <c r="AD81" t="s">
        <v>56</v>
      </c>
      <c r="AE81" t="s">
        <v>3336</v>
      </c>
      <c r="AF81" t="s">
        <v>279</v>
      </c>
      <c r="AG81" t="s">
        <v>3337</v>
      </c>
      <c r="AH81" s="1">
        <v>45128</v>
      </c>
      <c r="AI81" s="1">
        <v>45135</v>
      </c>
      <c r="AJ81" s="1">
        <v>45140</v>
      </c>
      <c r="AK81" t="s">
        <v>3413</v>
      </c>
      <c r="AL81" t="s">
        <v>560</v>
      </c>
    </row>
    <row r="82" spans="1:38" x14ac:dyDescent="0.35">
      <c r="A82" t="s">
        <v>562</v>
      </c>
      <c r="B82" t="s">
        <v>524</v>
      </c>
      <c r="C82" t="s">
        <v>43</v>
      </c>
      <c r="D82" t="s">
        <v>406</v>
      </c>
      <c r="E82" t="s">
        <v>231</v>
      </c>
      <c r="F82" t="s">
        <v>46</v>
      </c>
      <c r="G82" t="s">
        <v>369</v>
      </c>
      <c r="H82">
        <v>91740</v>
      </c>
      <c r="I82">
        <f>Sales_Transactions_Raw[[#This Row],[Unit_Price]]*Sales_Transactions_Raw[[#This Row],[Quantity]]</f>
        <v>275220</v>
      </c>
      <c r="J82">
        <v>3</v>
      </c>
      <c r="K82">
        <v>25</v>
      </c>
      <c r="L82">
        <v>68805</v>
      </c>
      <c r="M82">
        <v>206415</v>
      </c>
      <c r="N82">
        <v>18</v>
      </c>
      <c r="O82">
        <v>37154.699999999997</v>
      </c>
      <c r="P82">
        <v>0</v>
      </c>
      <c r="Q82">
        <v>243569.7</v>
      </c>
      <c r="R82" t="s">
        <v>92</v>
      </c>
      <c r="S82" t="s">
        <v>93</v>
      </c>
      <c r="T82" t="s">
        <v>66</v>
      </c>
      <c r="U82" t="s">
        <v>108</v>
      </c>
      <c r="V82" t="s">
        <v>224</v>
      </c>
      <c r="W82" t="s">
        <v>95</v>
      </c>
      <c r="X82" t="s">
        <v>469</v>
      </c>
      <c r="Y82" t="s">
        <v>244</v>
      </c>
      <c r="Z82" t="s">
        <v>70</v>
      </c>
      <c r="AA82" t="s">
        <v>564</v>
      </c>
      <c r="AB82" t="s">
        <v>3335</v>
      </c>
      <c r="AC82">
        <v>1</v>
      </c>
      <c r="AD82" t="s">
        <v>56</v>
      </c>
      <c r="AE82" t="s">
        <v>3336</v>
      </c>
      <c r="AF82" t="s">
        <v>72</v>
      </c>
      <c r="AG82" t="s">
        <v>58</v>
      </c>
      <c r="AH82" s="1">
        <v>45281</v>
      </c>
      <c r="AI82" s="1">
        <v>45285</v>
      </c>
      <c r="AJ82" s="1">
        <v>45290</v>
      </c>
      <c r="AK82" t="s">
        <v>3406</v>
      </c>
      <c r="AL82" t="s">
        <v>563</v>
      </c>
    </row>
    <row r="83" spans="1:38" x14ac:dyDescent="0.35">
      <c r="A83" t="s">
        <v>565</v>
      </c>
      <c r="B83" t="s">
        <v>478</v>
      </c>
      <c r="C83" t="s">
        <v>43</v>
      </c>
      <c r="D83" t="s">
        <v>367</v>
      </c>
      <c r="E83" t="s">
        <v>368</v>
      </c>
      <c r="F83" t="s">
        <v>46</v>
      </c>
      <c r="G83" t="s">
        <v>369</v>
      </c>
      <c r="H83">
        <v>26920</v>
      </c>
      <c r="I83">
        <f>Sales_Transactions_Raw[[#This Row],[Unit_Price]]*Sales_Transactions_Raw[[#This Row],[Quantity]]</f>
        <v>26920</v>
      </c>
      <c r="J83">
        <v>1</v>
      </c>
      <c r="K83">
        <v>5</v>
      </c>
      <c r="L83">
        <v>1346</v>
      </c>
      <c r="M83">
        <v>25574</v>
      </c>
      <c r="N83">
        <v>18</v>
      </c>
      <c r="O83">
        <v>4603.32</v>
      </c>
      <c r="P83">
        <v>0</v>
      </c>
      <c r="Q83">
        <v>30177.32</v>
      </c>
      <c r="R83" t="s">
        <v>124</v>
      </c>
      <c r="S83" t="s">
        <v>125</v>
      </c>
      <c r="T83" t="s">
        <v>66</v>
      </c>
      <c r="U83" t="s">
        <v>108</v>
      </c>
      <c r="V83" t="s">
        <v>197</v>
      </c>
      <c r="W83" t="s">
        <v>68</v>
      </c>
      <c r="X83" t="s">
        <v>117</v>
      </c>
      <c r="Y83" t="s">
        <v>118</v>
      </c>
      <c r="Z83" t="s">
        <v>70</v>
      </c>
      <c r="AA83" t="s">
        <v>567</v>
      </c>
      <c r="AB83" t="s">
        <v>3335</v>
      </c>
      <c r="AC83">
        <v>4</v>
      </c>
      <c r="AD83" t="s">
        <v>56</v>
      </c>
      <c r="AE83" t="s">
        <v>3336</v>
      </c>
      <c r="AF83" t="s">
        <v>262</v>
      </c>
      <c r="AG83" t="s">
        <v>3337</v>
      </c>
      <c r="AH83" s="1">
        <v>45184</v>
      </c>
      <c r="AI83" s="1">
        <v>45189</v>
      </c>
      <c r="AJ83" s="1">
        <v>45192</v>
      </c>
      <c r="AK83" t="s">
        <v>3398</v>
      </c>
      <c r="AL83" t="s">
        <v>566</v>
      </c>
    </row>
    <row r="84" spans="1:38" x14ac:dyDescent="0.35">
      <c r="A84" t="s">
        <v>568</v>
      </c>
      <c r="B84" t="s">
        <v>400</v>
      </c>
      <c r="C84" t="s">
        <v>43</v>
      </c>
      <c r="D84" t="s">
        <v>406</v>
      </c>
      <c r="E84" t="s">
        <v>231</v>
      </c>
      <c r="F84" t="s">
        <v>46</v>
      </c>
      <c r="G84" t="s">
        <v>369</v>
      </c>
      <c r="H84">
        <v>93570</v>
      </c>
      <c r="I84">
        <f>Sales_Transactions_Raw[[#This Row],[Unit_Price]]*Sales_Transactions_Raw[[#This Row],[Quantity]]</f>
        <v>187140</v>
      </c>
      <c r="J84">
        <v>2</v>
      </c>
      <c r="K84">
        <v>20</v>
      </c>
      <c r="L84">
        <v>37428</v>
      </c>
      <c r="M84">
        <v>149712</v>
      </c>
      <c r="N84">
        <v>18</v>
      </c>
      <c r="O84">
        <v>26948.16</v>
      </c>
      <c r="P84">
        <v>0</v>
      </c>
      <c r="Q84">
        <v>176660.16</v>
      </c>
      <c r="R84" t="s">
        <v>124</v>
      </c>
      <c r="S84" t="s">
        <v>107</v>
      </c>
      <c r="T84" t="s">
        <v>115</v>
      </c>
      <c r="U84" t="s">
        <v>214</v>
      </c>
      <c r="V84" t="s">
        <v>242</v>
      </c>
      <c r="W84" t="s">
        <v>70</v>
      </c>
      <c r="X84" t="s">
        <v>480</v>
      </c>
      <c r="Y84" t="s">
        <v>481</v>
      </c>
      <c r="Z84" t="s">
        <v>52</v>
      </c>
      <c r="AA84" t="s">
        <v>570</v>
      </c>
      <c r="AB84" t="s">
        <v>3343</v>
      </c>
      <c r="AC84">
        <v>4</v>
      </c>
      <c r="AD84" t="s">
        <v>56</v>
      </c>
      <c r="AE84" t="s">
        <v>3336</v>
      </c>
      <c r="AF84" t="s">
        <v>326</v>
      </c>
      <c r="AG84" t="s">
        <v>85</v>
      </c>
      <c r="AH84" s="1">
        <v>45506</v>
      </c>
      <c r="AI84" s="1">
        <v>45335</v>
      </c>
      <c r="AJ84" s="1">
        <v>45345</v>
      </c>
      <c r="AK84" t="s">
        <v>3386</v>
      </c>
      <c r="AL84" t="s">
        <v>569</v>
      </c>
    </row>
    <row r="85" spans="1:38" x14ac:dyDescent="0.35">
      <c r="A85" t="s">
        <v>571</v>
      </c>
      <c r="B85" t="s">
        <v>533</v>
      </c>
      <c r="C85" t="s">
        <v>131</v>
      </c>
      <c r="D85" t="s">
        <v>526</v>
      </c>
      <c r="E85" t="s">
        <v>527</v>
      </c>
      <c r="F85" t="s">
        <v>185</v>
      </c>
      <c r="G85" t="s">
        <v>528</v>
      </c>
      <c r="H85">
        <v>900</v>
      </c>
      <c r="I85">
        <f>Sales_Transactions_Raw[[#This Row],[Unit_Price]]*Sales_Transactions_Raw[[#This Row],[Quantity]]</f>
        <v>3600</v>
      </c>
      <c r="J85">
        <v>4</v>
      </c>
      <c r="K85">
        <v>5</v>
      </c>
      <c r="L85">
        <v>180</v>
      </c>
      <c r="M85">
        <v>3420</v>
      </c>
      <c r="N85">
        <v>5</v>
      </c>
      <c r="O85">
        <v>171</v>
      </c>
      <c r="P85">
        <v>99</v>
      </c>
      <c r="Q85">
        <v>3591</v>
      </c>
      <c r="R85" t="s">
        <v>124</v>
      </c>
      <c r="S85" t="s">
        <v>107</v>
      </c>
      <c r="T85" t="s">
        <v>136</v>
      </c>
      <c r="U85" t="s">
        <v>108</v>
      </c>
      <c r="V85" t="s">
        <v>224</v>
      </c>
      <c r="W85" t="s">
        <v>95</v>
      </c>
      <c r="X85" t="s">
        <v>126</v>
      </c>
      <c r="Y85" t="s">
        <v>127</v>
      </c>
      <c r="Z85" t="s">
        <v>68</v>
      </c>
      <c r="AA85" t="s">
        <v>573</v>
      </c>
      <c r="AB85" t="s">
        <v>3343</v>
      </c>
      <c r="AC85">
        <v>4</v>
      </c>
      <c r="AD85" t="s">
        <v>56</v>
      </c>
      <c r="AE85" t="s">
        <v>3336</v>
      </c>
      <c r="AF85" t="s">
        <v>262</v>
      </c>
      <c r="AG85" t="s">
        <v>85</v>
      </c>
      <c r="AH85" s="1">
        <v>45373</v>
      </c>
      <c r="AI85" s="1">
        <v>45376</v>
      </c>
      <c r="AJ85" s="1">
        <v>45383</v>
      </c>
      <c r="AK85" t="s">
        <v>3414</v>
      </c>
      <c r="AL85" t="s">
        <v>572</v>
      </c>
    </row>
    <row r="86" spans="1:38" x14ac:dyDescent="0.35">
      <c r="A86" t="s">
        <v>574</v>
      </c>
      <c r="B86" t="s">
        <v>113</v>
      </c>
      <c r="C86" t="s">
        <v>89</v>
      </c>
      <c r="D86" t="s">
        <v>449</v>
      </c>
      <c r="E86" t="s">
        <v>450</v>
      </c>
      <c r="F86" t="s">
        <v>46</v>
      </c>
      <c r="G86" t="s">
        <v>78</v>
      </c>
      <c r="H86">
        <v>41050</v>
      </c>
      <c r="I86">
        <f>Sales_Transactions_Raw[[#This Row],[Unit_Price]]*Sales_Transactions_Raw[[#This Row],[Quantity]]</f>
        <v>82100</v>
      </c>
      <c r="J86">
        <v>2</v>
      </c>
      <c r="K86">
        <v>0</v>
      </c>
      <c r="L86">
        <v>0</v>
      </c>
      <c r="M86">
        <v>82100</v>
      </c>
      <c r="N86">
        <v>18</v>
      </c>
      <c r="O86">
        <v>14778</v>
      </c>
      <c r="P86">
        <v>0</v>
      </c>
      <c r="Q86">
        <v>96878</v>
      </c>
      <c r="R86" t="s">
        <v>79</v>
      </c>
      <c r="S86" t="s">
        <v>125</v>
      </c>
      <c r="T86" t="s">
        <v>115</v>
      </c>
      <c r="U86" t="s">
        <v>196</v>
      </c>
      <c r="V86" t="s">
        <v>80</v>
      </c>
      <c r="W86" t="s">
        <v>81</v>
      </c>
      <c r="X86" t="s">
        <v>168</v>
      </c>
      <c r="Y86" t="s">
        <v>169</v>
      </c>
      <c r="Z86" t="s">
        <v>95</v>
      </c>
      <c r="AB86" t="s">
        <v>3341</v>
      </c>
      <c r="AC86">
        <v>4</v>
      </c>
      <c r="AD86" t="s">
        <v>56</v>
      </c>
      <c r="AE86" t="s">
        <v>3336</v>
      </c>
      <c r="AF86" t="s">
        <v>72</v>
      </c>
      <c r="AG86" t="s">
        <v>3342</v>
      </c>
      <c r="AH86" s="1">
        <v>45110</v>
      </c>
      <c r="AI86" s="1">
        <v>45115</v>
      </c>
      <c r="AJ86" s="1">
        <v>45119</v>
      </c>
      <c r="AK86" t="s">
        <v>3415</v>
      </c>
      <c r="AL86" t="s">
        <v>575</v>
      </c>
    </row>
    <row r="87" spans="1:38" x14ac:dyDescent="0.35">
      <c r="A87" t="s">
        <v>576</v>
      </c>
      <c r="B87" t="s">
        <v>379</v>
      </c>
      <c r="C87" t="s">
        <v>89</v>
      </c>
      <c r="D87" t="s">
        <v>44</v>
      </c>
      <c r="E87" t="s">
        <v>45</v>
      </c>
      <c r="F87" t="s">
        <v>46</v>
      </c>
      <c r="G87" t="s">
        <v>47</v>
      </c>
      <c r="H87">
        <v>12820</v>
      </c>
      <c r="I87">
        <f>Sales_Transactions_Raw[[#This Row],[Unit_Price]]*Sales_Transactions_Raw[[#This Row],[Quantity]]</f>
        <v>64100</v>
      </c>
      <c r="J87">
        <v>5</v>
      </c>
      <c r="K87">
        <v>5</v>
      </c>
      <c r="L87">
        <v>3205</v>
      </c>
      <c r="M87">
        <v>60895</v>
      </c>
      <c r="N87">
        <v>18</v>
      </c>
      <c r="O87">
        <v>10961.1</v>
      </c>
      <c r="P87">
        <v>0</v>
      </c>
      <c r="Q87">
        <v>71856.100000000006</v>
      </c>
      <c r="R87" t="s">
        <v>79</v>
      </c>
      <c r="S87" t="s">
        <v>93</v>
      </c>
      <c r="T87" t="s">
        <v>115</v>
      </c>
      <c r="U87" t="s">
        <v>161</v>
      </c>
      <c r="V87" t="s">
        <v>80</v>
      </c>
      <c r="W87" t="s">
        <v>81</v>
      </c>
      <c r="X87" t="s">
        <v>578</v>
      </c>
      <c r="Y87" t="s">
        <v>54</v>
      </c>
      <c r="Z87" t="s">
        <v>70</v>
      </c>
      <c r="AA87" t="s">
        <v>579</v>
      </c>
      <c r="AB87" t="s">
        <v>3335</v>
      </c>
      <c r="AC87">
        <v>4</v>
      </c>
      <c r="AD87" t="s">
        <v>56</v>
      </c>
      <c r="AE87" t="s">
        <v>3336</v>
      </c>
      <c r="AF87" t="s">
        <v>72</v>
      </c>
      <c r="AG87" t="s">
        <v>3337</v>
      </c>
      <c r="AH87" s="1">
        <v>45118</v>
      </c>
      <c r="AI87" s="1">
        <v>45115</v>
      </c>
      <c r="AJ87" s="1">
        <v>45119</v>
      </c>
      <c r="AK87" t="s">
        <v>3416</v>
      </c>
      <c r="AL87" t="s">
        <v>577</v>
      </c>
    </row>
    <row r="88" spans="1:38" x14ac:dyDescent="0.35">
      <c r="A88" t="s">
        <v>580</v>
      </c>
      <c r="B88" t="s">
        <v>581</v>
      </c>
      <c r="C88" t="s">
        <v>157</v>
      </c>
      <c r="D88" t="s">
        <v>266</v>
      </c>
      <c r="E88" t="s">
        <v>267</v>
      </c>
      <c r="F88" t="s">
        <v>211</v>
      </c>
      <c r="G88" t="s">
        <v>268</v>
      </c>
      <c r="H88">
        <v>52380</v>
      </c>
      <c r="I88">
        <f>Sales_Transactions_Raw[[#This Row],[Unit_Price]]*Sales_Transactions_Raw[[#This Row],[Quantity]]</f>
        <v>52380</v>
      </c>
      <c r="J88">
        <v>1</v>
      </c>
      <c r="K88">
        <v>20</v>
      </c>
      <c r="L88">
        <v>10476</v>
      </c>
      <c r="M88">
        <v>41904</v>
      </c>
      <c r="N88">
        <v>5</v>
      </c>
      <c r="O88">
        <v>2095.1999999999998</v>
      </c>
      <c r="P88">
        <v>0</v>
      </c>
      <c r="Q88">
        <v>43999.199999999997</v>
      </c>
      <c r="R88" t="s">
        <v>124</v>
      </c>
      <c r="S88" t="s">
        <v>49</v>
      </c>
      <c r="T88" t="s">
        <v>115</v>
      </c>
      <c r="U88" t="s">
        <v>50</v>
      </c>
      <c r="V88" t="s">
        <v>269</v>
      </c>
      <c r="W88" t="s">
        <v>70</v>
      </c>
      <c r="X88" t="s">
        <v>422</v>
      </c>
      <c r="Y88" t="s">
        <v>319</v>
      </c>
      <c r="Z88" t="s">
        <v>95</v>
      </c>
      <c r="AA88" t="s">
        <v>583</v>
      </c>
      <c r="AB88" t="s">
        <v>3340</v>
      </c>
      <c r="AC88">
        <v>4</v>
      </c>
      <c r="AD88" t="s">
        <v>56</v>
      </c>
      <c r="AE88" t="s">
        <v>3336</v>
      </c>
      <c r="AF88" t="s">
        <v>153</v>
      </c>
      <c r="AG88" t="s">
        <v>58</v>
      </c>
      <c r="AH88" s="1">
        <v>44997</v>
      </c>
      <c r="AI88" s="1">
        <v>44999</v>
      </c>
      <c r="AJ88" s="1">
        <v>45007</v>
      </c>
      <c r="AK88" t="s">
        <v>3417</v>
      </c>
      <c r="AL88" t="s">
        <v>582</v>
      </c>
    </row>
    <row r="89" spans="1:38" x14ac:dyDescent="0.35">
      <c r="A89" t="s">
        <v>584</v>
      </c>
      <c r="B89" t="s">
        <v>247</v>
      </c>
      <c r="C89" t="s">
        <v>157</v>
      </c>
      <c r="D89" t="s">
        <v>406</v>
      </c>
      <c r="E89" t="s">
        <v>231</v>
      </c>
      <c r="F89" t="s">
        <v>46</v>
      </c>
      <c r="G89" t="s">
        <v>369</v>
      </c>
      <c r="H89">
        <v>92220</v>
      </c>
      <c r="I89">
        <f>Sales_Transactions_Raw[[#This Row],[Unit_Price]]*Sales_Transactions_Raw[[#This Row],[Quantity]]</f>
        <v>92220</v>
      </c>
      <c r="J89">
        <v>1</v>
      </c>
      <c r="K89">
        <v>10</v>
      </c>
      <c r="L89">
        <v>9222</v>
      </c>
      <c r="M89">
        <v>82998</v>
      </c>
      <c r="N89">
        <v>18</v>
      </c>
      <c r="O89">
        <v>14939.64</v>
      </c>
      <c r="P89">
        <v>0</v>
      </c>
      <c r="Q89">
        <v>97937.64</v>
      </c>
      <c r="R89" t="s">
        <v>92</v>
      </c>
      <c r="S89" t="s">
        <v>65</v>
      </c>
      <c r="T89" t="s">
        <v>115</v>
      </c>
      <c r="U89" t="s">
        <v>214</v>
      </c>
      <c r="V89" t="s">
        <v>149</v>
      </c>
      <c r="W89" t="s">
        <v>81</v>
      </c>
      <c r="X89" t="s">
        <v>370</v>
      </c>
      <c r="Y89" t="s">
        <v>151</v>
      </c>
      <c r="Z89" t="s">
        <v>81</v>
      </c>
      <c r="AA89" t="s">
        <v>586</v>
      </c>
      <c r="AB89" t="s">
        <v>3335</v>
      </c>
      <c r="AC89">
        <v>4</v>
      </c>
      <c r="AD89" t="s">
        <v>56</v>
      </c>
      <c r="AE89" t="s">
        <v>3336</v>
      </c>
      <c r="AF89" t="s">
        <v>279</v>
      </c>
      <c r="AG89" t="s">
        <v>85</v>
      </c>
      <c r="AH89" s="1">
        <v>44934</v>
      </c>
      <c r="AI89" s="1">
        <v>44939</v>
      </c>
      <c r="AJ89" s="1">
        <v>44949</v>
      </c>
      <c r="AK89" t="s">
        <v>3418</v>
      </c>
      <c r="AL89" t="s">
        <v>585</v>
      </c>
    </row>
    <row r="90" spans="1:38" x14ac:dyDescent="0.35">
      <c r="A90" t="s">
        <v>587</v>
      </c>
      <c r="B90" t="s">
        <v>588</v>
      </c>
      <c r="C90" t="s">
        <v>89</v>
      </c>
      <c r="D90" t="s">
        <v>406</v>
      </c>
      <c r="E90" t="s">
        <v>231</v>
      </c>
      <c r="F90" t="s">
        <v>46</v>
      </c>
      <c r="G90" t="s">
        <v>369</v>
      </c>
      <c r="H90">
        <v>88140</v>
      </c>
      <c r="I90">
        <f>Sales_Transactions_Raw[[#This Row],[Unit_Price]]*Sales_Transactions_Raw[[#This Row],[Quantity]]</f>
        <v>88140</v>
      </c>
      <c r="J90">
        <v>1</v>
      </c>
      <c r="K90">
        <v>10</v>
      </c>
      <c r="L90">
        <v>8814</v>
      </c>
      <c r="M90">
        <v>79326</v>
      </c>
      <c r="N90">
        <v>18</v>
      </c>
      <c r="O90">
        <v>14278.68</v>
      </c>
      <c r="P90">
        <v>0</v>
      </c>
      <c r="Q90">
        <v>93604.68</v>
      </c>
      <c r="R90" t="s">
        <v>124</v>
      </c>
      <c r="S90" t="s">
        <v>107</v>
      </c>
      <c r="T90" t="s">
        <v>66</v>
      </c>
      <c r="U90" t="s">
        <v>50</v>
      </c>
      <c r="V90" t="s">
        <v>67</v>
      </c>
      <c r="W90" t="s">
        <v>68</v>
      </c>
      <c r="X90" t="s">
        <v>243</v>
      </c>
      <c r="Y90" t="s">
        <v>244</v>
      </c>
      <c r="Z90" t="s">
        <v>70</v>
      </c>
      <c r="AA90" t="s">
        <v>590</v>
      </c>
      <c r="AB90" t="s">
        <v>3338</v>
      </c>
      <c r="AC90">
        <v>4</v>
      </c>
      <c r="AD90" t="s">
        <v>56</v>
      </c>
      <c r="AE90" t="s">
        <v>3336</v>
      </c>
      <c r="AF90" t="s">
        <v>57</v>
      </c>
      <c r="AG90" t="s">
        <v>85</v>
      </c>
      <c r="AH90" s="1">
        <v>45075</v>
      </c>
      <c r="AI90" s="1">
        <v>45079</v>
      </c>
      <c r="AJ90" s="1">
        <v>45087</v>
      </c>
      <c r="AK90" t="s">
        <v>3419</v>
      </c>
      <c r="AL90" t="s">
        <v>589</v>
      </c>
    </row>
    <row r="91" spans="1:38" x14ac:dyDescent="0.35">
      <c r="A91" t="s">
        <v>591</v>
      </c>
      <c r="B91" t="s">
        <v>430</v>
      </c>
      <c r="C91" t="s">
        <v>131</v>
      </c>
      <c r="D91" t="s">
        <v>44</v>
      </c>
      <c r="E91" t="s">
        <v>45</v>
      </c>
      <c r="F91" t="s">
        <v>46</v>
      </c>
      <c r="G91" t="s">
        <v>47</v>
      </c>
      <c r="H91">
        <v>12310</v>
      </c>
      <c r="I91">
        <f>Sales_Transactions_Raw[[#This Row],[Unit_Price]]*Sales_Transactions_Raw[[#This Row],[Quantity]]</f>
        <v>12310</v>
      </c>
      <c r="J91">
        <v>1</v>
      </c>
      <c r="K91">
        <v>0</v>
      </c>
      <c r="L91">
        <v>0</v>
      </c>
      <c r="M91">
        <v>12310</v>
      </c>
      <c r="N91">
        <v>18</v>
      </c>
      <c r="O91">
        <v>2215.8000000000002</v>
      </c>
      <c r="P91">
        <v>0</v>
      </c>
      <c r="Q91">
        <v>14525.8</v>
      </c>
      <c r="R91" t="s">
        <v>92</v>
      </c>
      <c r="S91" t="s">
        <v>125</v>
      </c>
      <c r="T91" t="s">
        <v>115</v>
      </c>
      <c r="U91" t="s">
        <v>108</v>
      </c>
      <c r="V91" t="s">
        <v>242</v>
      </c>
      <c r="W91" t="s">
        <v>70</v>
      </c>
      <c r="X91" t="s">
        <v>69</v>
      </c>
      <c r="Y91" t="s">
        <v>54</v>
      </c>
      <c r="Z91" t="s">
        <v>70</v>
      </c>
      <c r="AA91" t="s">
        <v>593</v>
      </c>
      <c r="AB91" t="s">
        <v>3335</v>
      </c>
      <c r="AC91">
        <v>5</v>
      </c>
      <c r="AD91" t="s">
        <v>56</v>
      </c>
      <c r="AE91" t="s">
        <v>3336</v>
      </c>
      <c r="AF91" t="s">
        <v>72</v>
      </c>
      <c r="AG91" t="s">
        <v>3342</v>
      </c>
      <c r="AH91" s="1">
        <v>45126</v>
      </c>
      <c r="AI91" s="1">
        <v>45130</v>
      </c>
      <c r="AJ91" s="1">
        <v>45138</v>
      </c>
      <c r="AK91" t="s">
        <v>3420</v>
      </c>
      <c r="AL91" t="s">
        <v>592</v>
      </c>
    </row>
    <row r="92" spans="1:38" x14ac:dyDescent="0.35">
      <c r="A92" t="s">
        <v>594</v>
      </c>
      <c r="B92" t="s">
        <v>373</v>
      </c>
      <c r="C92" t="s">
        <v>43</v>
      </c>
      <c r="D92" t="s">
        <v>174</v>
      </c>
      <c r="E92" t="s">
        <v>175</v>
      </c>
      <c r="F92" t="s">
        <v>46</v>
      </c>
      <c r="G92" t="s">
        <v>176</v>
      </c>
      <c r="H92">
        <v>1440</v>
      </c>
      <c r="I92">
        <f>Sales_Transactions_Raw[[#This Row],[Unit_Price]]*Sales_Transactions_Raw[[#This Row],[Quantity]]</f>
        <v>1440</v>
      </c>
      <c r="J92">
        <v>1</v>
      </c>
      <c r="K92">
        <v>0</v>
      </c>
      <c r="L92">
        <v>0</v>
      </c>
      <c r="M92">
        <v>1440</v>
      </c>
      <c r="N92">
        <v>18</v>
      </c>
      <c r="O92">
        <v>259.2</v>
      </c>
      <c r="P92">
        <v>79</v>
      </c>
      <c r="Q92">
        <v>1699.2</v>
      </c>
      <c r="R92" t="s">
        <v>92</v>
      </c>
      <c r="S92" t="s">
        <v>49</v>
      </c>
      <c r="T92" t="s">
        <v>148</v>
      </c>
      <c r="U92" t="s">
        <v>108</v>
      </c>
      <c r="V92" t="s">
        <v>224</v>
      </c>
      <c r="W92" t="s">
        <v>95</v>
      </c>
      <c r="X92" t="s">
        <v>126</v>
      </c>
      <c r="Y92" t="s">
        <v>127</v>
      </c>
      <c r="Z92" t="s">
        <v>68</v>
      </c>
      <c r="AA92" t="s">
        <v>596</v>
      </c>
      <c r="AB92" t="s">
        <v>3340</v>
      </c>
      <c r="AC92">
        <v>5</v>
      </c>
      <c r="AD92" t="s">
        <v>56</v>
      </c>
      <c r="AE92" t="s">
        <v>3336</v>
      </c>
      <c r="AF92" t="s">
        <v>57</v>
      </c>
      <c r="AG92" t="s">
        <v>58</v>
      </c>
      <c r="AH92" s="1">
        <v>45121</v>
      </c>
      <c r="AI92" s="1">
        <v>45125</v>
      </c>
      <c r="AJ92" s="1">
        <v>45130</v>
      </c>
      <c r="AK92" t="s">
        <v>3381</v>
      </c>
      <c r="AL92" t="s">
        <v>595</v>
      </c>
    </row>
    <row r="93" spans="1:38" x14ac:dyDescent="0.35">
      <c r="A93" t="s">
        <v>597</v>
      </c>
      <c r="B93" t="s">
        <v>386</v>
      </c>
      <c r="C93" t="s">
        <v>131</v>
      </c>
      <c r="D93" t="s">
        <v>122</v>
      </c>
      <c r="E93" t="s">
        <v>123</v>
      </c>
      <c r="F93" t="s">
        <v>46</v>
      </c>
      <c r="G93" t="s">
        <v>63</v>
      </c>
      <c r="H93">
        <v>62260</v>
      </c>
      <c r="I93">
        <f>Sales_Transactions_Raw[[#This Row],[Unit_Price]]*Sales_Transactions_Raw[[#This Row],[Quantity]]</f>
        <v>62260</v>
      </c>
      <c r="J93">
        <v>1</v>
      </c>
      <c r="K93">
        <v>5</v>
      </c>
      <c r="L93">
        <v>3113</v>
      </c>
      <c r="M93">
        <v>59147</v>
      </c>
      <c r="N93">
        <v>18</v>
      </c>
      <c r="O93">
        <v>10646.46</v>
      </c>
      <c r="P93">
        <v>0</v>
      </c>
      <c r="Q93">
        <v>69793.459999999992</v>
      </c>
      <c r="R93" t="s">
        <v>124</v>
      </c>
      <c r="S93" t="s">
        <v>49</v>
      </c>
      <c r="T93" t="s">
        <v>115</v>
      </c>
      <c r="U93" t="s">
        <v>161</v>
      </c>
      <c r="V93" t="s">
        <v>297</v>
      </c>
      <c r="W93" t="s">
        <v>52</v>
      </c>
      <c r="X93" t="s">
        <v>599</v>
      </c>
      <c r="Y93" t="s">
        <v>319</v>
      </c>
      <c r="Z93" t="s">
        <v>95</v>
      </c>
      <c r="AA93" t="s">
        <v>600</v>
      </c>
      <c r="AB93" t="s">
        <v>3344</v>
      </c>
      <c r="AC93">
        <v>3</v>
      </c>
      <c r="AD93" t="s">
        <v>56</v>
      </c>
      <c r="AE93" t="s">
        <v>3336</v>
      </c>
      <c r="AF93" t="s">
        <v>164</v>
      </c>
      <c r="AG93" t="s">
        <v>3342</v>
      </c>
      <c r="AH93" s="1">
        <v>45192</v>
      </c>
      <c r="AI93" s="1">
        <v>45194</v>
      </c>
      <c r="AJ93" s="1">
        <v>45204</v>
      </c>
      <c r="AK93" t="s">
        <v>3383</v>
      </c>
      <c r="AL93" t="s">
        <v>598</v>
      </c>
    </row>
    <row r="94" spans="1:38" x14ac:dyDescent="0.35">
      <c r="A94" t="s">
        <v>601</v>
      </c>
      <c r="B94" t="s">
        <v>520</v>
      </c>
      <c r="C94" t="s">
        <v>43</v>
      </c>
      <c r="D94" t="s">
        <v>504</v>
      </c>
      <c r="E94" t="s">
        <v>91</v>
      </c>
      <c r="F94" t="s">
        <v>134</v>
      </c>
      <c r="G94" t="s">
        <v>330</v>
      </c>
      <c r="H94">
        <v>24930</v>
      </c>
      <c r="I94">
        <f>Sales_Transactions_Raw[[#This Row],[Unit_Price]]*Sales_Transactions_Raw[[#This Row],[Quantity]]</f>
        <v>24930</v>
      </c>
      <c r="J94">
        <v>1</v>
      </c>
      <c r="K94">
        <v>0</v>
      </c>
      <c r="L94">
        <v>0</v>
      </c>
      <c r="M94">
        <v>24930</v>
      </c>
      <c r="N94">
        <v>5</v>
      </c>
      <c r="O94">
        <v>1246.5</v>
      </c>
      <c r="P94">
        <v>0</v>
      </c>
      <c r="Q94">
        <v>26176.5</v>
      </c>
      <c r="R94" t="s">
        <v>160</v>
      </c>
      <c r="S94" t="s">
        <v>49</v>
      </c>
      <c r="T94" t="s">
        <v>148</v>
      </c>
      <c r="U94" t="s">
        <v>50</v>
      </c>
      <c r="V94" t="s">
        <v>297</v>
      </c>
      <c r="W94" t="s">
        <v>52</v>
      </c>
      <c r="X94" t="s">
        <v>96</v>
      </c>
      <c r="Y94" t="s">
        <v>97</v>
      </c>
      <c r="Z94" t="s">
        <v>95</v>
      </c>
      <c r="AA94" t="s">
        <v>603</v>
      </c>
      <c r="AB94" t="s">
        <v>3335</v>
      </c>
      <c r="AC94">
        <v>4</v>
      </c>
      <c r="AD94" t="s">
        <v>56</v>
      </c>
      <c r="AE94" t="s">
        <v>3336</v>
      </c>
      <c r="AF94" t="s">
        <v>84</v>
      </c>
      <c r="AG94" t="s">
        <v>445</v>
      </c>
      <c r="AH94" s="1">
        <v>45383</v>
      </c>
      <c r="AI94" s="1">
        <v>45536</v>
      </c>
      <c r="AJ94" s="1">
        <v>45310</v>
      </c>
      <c r="AK94" t="s">
        <v>3405</v>
      </c>
      <c r="AL94" t="s">
        <v>602</v>
      </c>
    </row>
    <row r="95" spans="1:38" x14ac:dyDescent="0.35">
      <c r="A95" t="s">
        <v>604</v>
      </c>
      <c r="B95" t="s">
        <v>605</v>
      </c>
      <c r="C95" t="s">
        <v>43</v>
      </c>
      <c r="D95" t="s">
        <v>466</v>
      </c>
      <c r="E95" t="s">
        <v>467</v>
      </c>
      <c r="F95" t="s">
        <v>185</v>
      </c>
      <c r="G95" t="s">
        <v>468</v>
      </c>
      <c r="H95">
        <v>560</v>
      </c>
      <c r="I95">
        <f>Sales_Transactions_Raw[[#This Row],[Unit_Price]]*Sales_Transactions_Raw[[#This Row],[Quantity]]</f>
        <v>1120</v>
      </c>
      <c r="J95">
        <v>2</v>
      </c>
      <c r="K95">
        <v>20</v>
      </c>
      <c r="L95">
        <v>224</v>
      </c>
      <c r="M95">
        <v>896</v>
      </c>
      <c r="N95">
        <v>5</v>
      </c>
      <c r="O95">
        <v>44.8</v>
      </c>
      <c r="P95">
        <v>149</v>
      </c>
      <c r="Q95">
        <v>940.8</v>
      </c>
      <c r="R95" t="s">
        <v>79</v>
      </c>
      <c r="S95" t="s">
        <v>93</v>
      </c>
      <c r="T95" t="s">
        <v>115</v>
      </c>
      <c r="U95" t="s">
        <v>50</v>
      </c>
      <c r="V95" t="s">
        <v>224</v>
      </c>
      <c r="W95" t="s">
        <v>95</v>
      </c>
      <c r="X95" t="s">
        <v>53</v>
      </c>
      <c r="Y95" t="s">
        <v>54</v>
      </c>
      <c r="Z95" t="s">
        <v>70</v>
      </c>
      <c r="AA95" t="s">
        <v>607</v>
      </c>
      <c r="AB95" t="s">
        <v>3340</v>
      </c>
      <c r="AC95">
        <v>4</v>
      </c>
      <c r="AD95" t="s">
        <v>56</v>
      </c>
      <c r="AE95" t="s">
        <v>3336</v>
      </c>
      <c r="AF95" t="s">
        <v>140</v>
      </c>
      <c r="AG95" t="s">
        <v>85</v>
      </c>
      <c r="AH95" s="1">
        <v>45184</v>
      </c>
      <c r="AI95" s="1">
        <v>45190</v>
      </c>
      <c r="AJ95" s="1">
        <v>45193</v>
      </c>
      <c r="AK95" t="s">
        <v>3421</v>
      </c>
      <c r="AL95" t="s">
        <v>606</v>
      </c>
    </row>
    <row r="96" spans="1:38" x14ac:dyDescent="0.35">
      <c r="A96" t="s">
        <v>608</v>
      </c>
      <c r="B96" t="s">
        <v>609</v>
      </c>
      <c r="C96" t="s">
        <v>89</v>
      </c>
      <c r="D96" t="s">
        <v>76</v>
      </c>
      <c r="E96" t="s">
        <v>77</v>
      </c>
      <c r="F96" t="s">
        <v>46</v>
      </c>
      <c r="G96" t="s">
        <v>78</v>
      </c>
      <c r="H96">
        <v>72790</v>
      </c>
      <c r="I96">
        <f>Sales_Transactions_Raw[[#This Row],[Unit_Price]]*Sales_Transactions_Raw[[#This Row],[Quantity]]</f>
        <v>145580</v>
      </c>
      <c r="J96">
        <v>2</v>
      </c>
      <c r="K96">
        <v>20</v>
      </c>
      <c r="L96">
        <v>29116</v>
      </c>
      <c r="M96">
        <v>116464</v>
      </c>
      <c r="N96">
        <v>18</v>
      </c>
      <c r="O96">
        <v>20963.52</v>
      </c>
      <c r="P96">
        <v>0</v>
      </c>
      <c r="Q96">
        <v>137427.51999999999</v>
      </c>
      <c r="R96" t="s">
        <v>124</v>
      </c>
      <c r="S96" t="s">
        <v>125</v>
      </c>
      <c r="T96" t="s">
        <v>213</v>
      </c>
      <c r="U96" t="s">
        <v>108</v>
      </c>
      <c r="V96" t="s">
        <v>287</v>
      </c>
      <c r="W96" t="s">
        <v>95</v>
      </c>
      <c r="X96" t="s">
        <v>611</v>
      </c>
      <c r="Y96" t="s">
        <v>97</v>
      </c>
      <c r="Z96" t="s">
        <v>95</v>
      </c>
      <c r="AA96" t="s">
        <v>612</v>
      </c>
      <c r="AB96" t="s">
        <v>3335</v>
      </c>
      <c r="AC96">
        <v>5</v>
      </c>
      <c r="AD96" t="s">
        <v>179</v>
      </c>
      <c r="AE96" t="s">
        <v>206</v>
      </c>
      <c r="AF96" t="s">
        <v>262</v>
      </c>
      <c r="AG96" t="s">
        <v>445</v>
      </c>
      <c r="AH96" s="1">
        <v>44927</v>
      </c>
      <c r="AI96" s="1">
        <v>44932</v>
      </c>
      <c r="AJ96" s="1">
        <v>44936</v>
      </c>
      <c r="AK96" t="s">
        <v>3422</v>
      </c>
      <c r="AL96" t="s">
        <v>610</v>
      </c>
    </row>
    <row r="97" spans="1:38" x14ac:dyDescent="0.35">
      <c r="A97" t="s">
        <v>190</v>
      </c>
      <c r="B97" t="s">
        <v>613</v>
      </c>
      <c r="C97" t="s">
        <v>43</v>
      </c>
      <c r="D97" t="s">
        <v>44</v>
      </c>
      <c r="E97" t="s">
        <v>45</v>
      </c>
      <c r="F97" t="s">
        <v>46</v>
      </c>
      <c r="G97" t="s">
        <v>47</v>
      </c>
      <c r="H97">
        <v>12490</v>
      </c>
      <c r="I97">
        <f>Sales_Transactions_Raw[[#This Row],[Unit_Price]]*Sales_Transactions_Raw[[#This Row],[Quantity]]</f>
        <v>12490</v>
      </c>
      <c r="J97">
        <v>1</v>
      </c>
      <c r="K97">
        <v>5</v>
      </c>
      <c r="L97">
        <v>624.5</v>
      </c>
      <c r="M97">
        <v>11865.5</v>
      </c>
      <c r="N97">
        <v>18</v>
      </c>
      <c r="O97">
        <v>2135.79</v>
      </c>
      <c r="P97">
        <v>0</v>
      </c>
      <c r="Q97">
        <v>14001.29</v>
      </c>
      <c r="R97" t="s">
        <v>106</v>
      </c>
      <c r="S97" t="s">
        <v>93</v>
      </c>
      <c r="T97" t="s">
        <v>115</v>
      </c>
      <c r="U97" t="s">
        <v>196</v>
      </c>
      <c r="V97" t="s">
        <v>149</v>
      </c>
      <c r="W97" t="s">
        <v>81</v>
      </c>
      <c r="X97" t="s">
        <v>260</v>
      </c>
      <c r="Y97" t="s">
        <v>118</v>
      </c>
      <c r="Z97" t="s">
        <v>70</v>
      </c>
      <c r="AA97" t="s">
        <v>615</v>
      </c>
      <c r="AB97" t="s">
        <v>3335</v>
      </c>
      <c r="AC97">
        <v>4</v>
      </c>
      <c r="AD97" t="s">
        <v>56</v>
      </c>
      <c r="AE97" t="s">
        <v>3336</v>
      </c>
      <c r="AF97" t="s">
        <v>84</v>
      </c>
      <c r="AG97" t="s">
        <v>3337</v>
      </c>
      <c r="AH97" s="1">
        <v>45375</v>
      </c>
      <c r="AI97" s="1">
        <v>45381</v>
      </c>
      <c r="AJ97" s="1">
        <v>45383</v>
      </c>
      <c r="AK97" t="s">
        <v>3423</v>
      </c>
      <c r="AL97" t="s">
        <v>614</v>
      </c>
    </row>
    <row r="98" spans="1:38" x14ac:dyDescent="0.35">
      <c r="A98" t="s">
        <v>616</v>
      </c>
      <c r="B98" t="s">
        <v>617</v>
      </c>
      <c r="C98" t="s">
        <v>43</v>
      </c>
      <c r="D98" t="s">
        <v>303</v>
      </c>
      <c r="E98" t="s">
        <v>304</v>
      </c>
      <c r="F98" t="s">
        <v>134</v>
      </c>
      <c r="G98" t="s">
        <v>305</v>
      </c>
      <c r="H98">
        <v>35980</v>
      </c>
      <c r="I98">
        <f>Sales_Transactions_Raw[[#This Row],[Unit_Price]]*Sales_Transactions_Raw[[#This Row],[Quantity]]</f>
        <v>71960</v>
      </c>
      <c r="J98">
        <v>2</v>
      </c>
      <c r="K98">
        <v>0</v>
      </c>
      <c r="L98">
        <v>0</v>
      </c>
      <c r="M98">
        <v>71960</v>
      </c>
      <c r="N98">
        <v>5</v>
      </c>
      <c r="O98">
        <v>3598</v>
      </c>
      <c r="P98">
        <v>0</v>
      </c>
      <c r="Q98">
        <v>75558</v>
      </c>
      <c r="R98" t="s">
        <v>106</v>
      </c>
      <c r="S98" t="s">
        <v>49</v>
      </c>
      <c r="T98" t="s">
        <v>115</v>
      </c>
      <c r="U98" t="s">
        <v>108</v>
      </c>
      <c r="V98" t="s">
        <v>67</v>
      </c>
      <c r="W98" t="s">
        <v>68</v>
      </c>
      <c r="X98" t="s">
        <v>486</v>
      </c>
      <c r="Y98" t="s">
        <v>138</v>
      </c>
      <c r="Z98" t="s">
        <v>81</v>
      </c>
      <c r="AA98" t="s">
        <v>619</v>
      </c>
      <c r="AB98" t="s">
        <v>3339</v>
      </c>
      <c r="AC98">
        <v>4</v>
      </c>
      <c r="AD98" t="s">
        <v>56</v>
      </c>
      <c r="AE98" t="s">
        <v>3336</v>
      </c>
      <c r="AF98" t="s">
        <v>84</v>
      </c>
      <c r="AG98" t="s">
        <v>85</v>
      </c>
      <c r="AH98" s="1">
        <v>45150</v>
      </c>
      <c r="AI98" s="1">
        <v>45151</v>
      </c>
      <c r="AJ98" s="1">
        <v>45156</v>
      </c>
      <c r="AK98" t="s">
        <v>3424</v>
      </c>
      <c r="AL98" t="s">
        <v>618</v>
      </c>
    </row>
    <row r="99" spans="1:38" x14ac:dyDescent="0.35">
      <c r="A99" t="s">
        <v>620</v>
      </c>
      <c r="B99" t="s">
        <v>409</v>
      </c>
      <c r="C99" t="s">
        <v>43</v>
      </c>
      <c r="D99" t="s">
        <v>329</v>
      </c>
      <c r="E99" t="s">
        <v>250</v>
      </c>
      <c r="F99" t="s">
        <v>134</v>
      </c>
      <c r="G99" t="s">
        <v>330</v>
      </c>
      <c r="H99">
        <v>21820</v>
      </c>
      <c r="I99">
        <f>Sales_Transactions_Raw[[#This Row],[Unit_Price]]*Sales_Transactions_Raw[[#This Row],[Quantity]]</f>
        <v>65460</v>
      </c>
      <c r="J99">
        <v>3</v>
      </c>
      <c r="K99">
        <v>15</v>
      </c>
      <c r="L99">
        <v>9819</v>
      </c>
      <c r="M99">
        <v>55641</v>
      </c>
      <c r="N99">
        <v>5</v>
      </c>
      <c r="O99">
        <v>2782.05</v>
      </c>
      <c r="P99">
        <v>0</v>
      </c>
      <c r="Q99">
        <v>58423.05</v>
      </c>
      <c r="R99" t="s">
        <v>124</v>
      </c>
      <c r="S99" t="s">
        <v>65</v>
      </c>
      <c r="T99" t="s">
        <v>115</v>
      </c>
      <c r="U99" t="s">
        <v>50</v>
      </c>
      <c r="V99" t="s">
        <v>149</v>
      </c>
      <c r="W99" t="s">
        <v>81</v>
      </c>
      <c r="X99" t="s">
        <v>599</v>
      </c>
      <c r="Y99" t="s">
        <v>319</v>
      </c>
      <c r="Z99" t="s">
        <v>95</v>
      </c>
      <c r="AA99" t="s">
        <v>622</v>
      </c>
      <c r="AB99" t="s">
        <v>3335</v>
      </c>
      <c r="AC99">
        <v>4</v>
      </c>
      <c r="AD99" t="s">
        <v>56</v>
      </c>
      <c r="AE99" t="s">
        <v>3336</v>
      </c>
      <c r="AF99" t="s">
        <v>84</v>
      </c>
      <c r="AG99" t="s">
        <v>3337</v>
      </c>
      <c r="AH99" s="1">
        <v>45406</v>
      </c>
      <c r="AI99" s="1">
        <v>45409</v>
      </c>
      <c r="AJ99" s="1">
        <v>45419</v>
      </c>
      <c r="AK99" t="s">
        <v>3425</v>
      </c>
      <c r="AL99" t="s">
        <v>621</v>
      </c>
    </row>
    <row r="100" spans="1:38" x14ac:dyDescent="0.35">
      <c r="A100" t="s">
        <v>623</v>
      </c>
      <c r="B100" t="s">
        <v>624</v>
      </c>
      <c r="C100" t="s">
        <v>43</v>
      </c>
      <c r="D100" t="s">
        <v>158</v>
      </c>
      <c r="E100" t="s">
        <v>159</v>
      </c>
      <c r="F100" t="s">
        <v>46</v>
      </c>
      <c r="G100" t="s">
        <v>105</v>
      </c>
      <c r="H100">
        <v>54760</v>
      </c>
      <c r="I100">
        <f>Sales_Transactions_Raw[[#This Row],[Unit_Price]]*Sales_Transactions_Raw[[#This Row],[Quantity]]</f>
        <v>438080</v>
      </c>
      <c r="J100">
        <v>8</v>
      </c>
      <c r="K100">
        <v>5</v>
      </c>
      <c r="L100">
        <v>21904</v>
      </c>
      <c r="M100">
        <v>416176</v>
      </c>
      <c r="N100">
        <v>18</v>
      </c>
      <c r="O100">
        <v>74911.679999999993</v>
      </c>
      <c r="P100">
        <v>0</v>
      </c>
      <c r="Q100">
        <v>491087.68</v>
      </c>
      <c r="R100" t="s">
        <v>92</v>
      </c>
      <c r="S100" t="s">
        <v>107</v>
      </c>
      <c r="T100" t="s">
        <v>66</v>
      </c>
      <c r="U100" t="s">
        <v>161</v>
      </c>
      <c r="V100" t="s">
        <v>149</v>
      </c>
      <c r="W100" t="s">
        <v>81</v>
      </c>
      <c r="X100" t="s">
        <v>626</v>
      </c>
      <c r="Y100" t="s">
        <v>289</v>
      </c>
      <c r="Z100" t="s">
        <v>52</v>
      </c>
      <c r="AA100" t="s">
        <v>627</v>
      </c>
      <c r="AB100" t="s">
        <v>3344</v>
      </c>
      <c r="AC100">
        <v>5</v>
      </c>
      <c r="AD100" t="s">
        <v>56</v>
      </c>
      <c r="AE100" t="s">
        <v>3336</v>
      </c>
      <c r="AF100" t="s">
        <v>72</v>
      </c>
      <c r="AG100" t="s">
        <v>3337</v>
      </c>
      <c r="AH100" s="1">
        <v>44999</v>
      </c>
      <c r="AI100" s="1">
        <v>45000</v>
      </c>
      <c r="AJ100" s="1">
        <v>45005</v>
      </c>
      <c r="AK100" t="s">
        <v>3426</v>
      </c>
      <c r="AL100" t="s">
        <v>625</v>
      </c>
    </row>
    <row r="101" spans="1:38" x14ac:dyDescent="0.35">
      <c r="A101" t="s">
        <v>628</v>
      </c>
      <c r="B101" t="s">
        <v>87</v>
      </c>
      <c r="C101" t="s">
        <v>43</v>
      </c>
      <c r="D101" t="s">
        <v>630</v>
      </c>
      <c r="E101" t="s">
        <v>450</v>
      </c>
      <c r="F101" t="s">
        <v>134</v>
      </c>
      <c r="G101" t="s">
        <v>497</v>
      </c>
      <c r="H101">
        <v>45800</v>
      </c>
      <c r="I101">
        <f>Sales_Transactions_Raw[[#This Row],[Unit_Price]]*Sales_Transactions_Raw[[#This Row],[Quantity]]</f>
        <v>137400</v>
      </c>
      <c r="J101">
        <v>3</v>
      </c>
      <c r="K101">
        <v>15</v>
      </c>
      <c r="L101">
        <v>20610</v>
      </c>
      <c r="M101">
        <v>116790</v>
      </c>
      <c r="N101">
        <v>5</v>
      </c>
      <c r="O101">
        <v>5839.5</v>
      </c>
      <c r="P101">
        <v>0</v>
      </c>
      <c r="Q101">
        <v>122629.5</v>
      </c>
      <c r="R101" t="s">
        <v>92</v>
      </c>
      <c r="S101" t="s">
        <v>125</v>
      </c>
      <c r="T101" t="s">
        <v>213</v>
      </c>
      <c r="U101" t="s">
        <v>161</v>
      </c>
      <c r="V101" t="s">
        <v>276</v>
      </c>
      <c r="W101" t="s">
        <v>95</v>
      </c>
      <c r="X101" t="s">
        <v>318</v>
      </c>
      <c r="Y101" t="s">
        <v>319</v>
      </c>
      <c r="Z101" t="s">
        <v>95</v>
      </c>
      <c r="AA101" t="s">
        <v>631</v>
      </c>
      <c r="AB101" t="s">
        <v>3335</v>
      </c>
      <c r="AC101">
        <v>5</v>
      </c>
      <c r="AD101" t="s">
        <v>179</v>
      </c>
      <c r="AE101" t="s">
        <v>3336</v>
      </c>
      <c r="AF101" t="s">
        <v>72</v>
      </c>
      <c r="AG101" t="s">
        <v>3342</v>
      </c>
      <c r="AH101" s="1">
        <v>44999</v>
      </c>
      <c r="AI101" s="1">
        <v>45374</v>
      </c>
      <c r="AJ101" s="1">
        <v>45381</v>
      </c>
      <c r="AK101" t="s">
        <v>3427</v>
      </c>
      <c r="AL101" t="s">
        <v>629</v>
      </c>
    </row>
    <row r="102" spans="1:38" x14ac:dyDescent="0.35">
      <c r="A102" t="s">
        <v>632</v>
      </c>
      <c r="B102" t="s">
        <v>343</v>
      </c>
      <c r="C102" t="s">
        <v>43</v>
      </c>
      <c r="D102" t="s">
        <v>122</v>
      </c>
      <c r="E102" t="s">
        <v>123</v>
      </c>
      <c r="F102" t="s">
        <v>46</v>
      </c>
      <c r="G102" t="s">
        <v>63</v>
      </c>
      <c r="H102">
        <v>60510</v>
      </c>
      <c r="I102">
        <f>Sales_Transactions_Raw[[#This Row],[Unit_Price]]*Sales_Transactions_Raw[[#This Row],[Quantity]]</f>
        <v>60510</v>
      </c>
      <c r="J102">
        <v>1</v>
      </c>
      <c r="K102">
        <v>5</v>
      </c>
      <c r="L102">
        <v>3025.5</v>
      </c>
      <c r="M102">
        <v>57484.5</v>
      </c>
      <c r="N102">
        <v>18</v>
      </c>
      <c r="O102">
        <v>10347.209999999999</v>
      </c>
      <c r="P102">
        <v>0</v>
      </c>
      <c r="Q102">
        <v>67831.709999999992</v>
      </c>
      <c r="R102" t="s">
        <v>124</v>
      </c>
      <c r="S102" t="s">
        <v>65</v>
      </c>
      <c r="T102" t="s">
        <v>136</v>
      </c>
      <c r="U102" t="s">
        <v>214</v>
      </c>
      <c r="V102" t="s">
        <v>224</v>
      </c>
      <c r="W102" t="s">
        <v>95</v>
      </c>
      <c r="X102" t="s">
        <v>626</v>
      </c>
      <c r="Y102" t="s">
        <v>289</v>
      </c>
      <c r="Z102" t="s">
        <v>52</v>
      </c>
      <c r="AA102" t="s">
        <v>634</v>
      </c>
      <c r="AB102" t="s">
        <v>3335</v>
      </c>
      <c r="AC102">
        <v>5</v>
      </c>
      <c r="AD102" t="s">
        <v>56</v>
      </c>
      <c r="AE102" t="s">
        <v>3336</v>
      </c>
      <c r="AF102" t="s">
        <v>217</v>
      </c>
      <c r="AG102" t="s">
        <v>3337</v>
      </c>
      <c r="AH102" s="1">
        <v>45234</v>
      </c>
      <c r="AI102" s="1">
        <v>45235</v>
      </c>
      <c r="AJ102" s="1">
        <v>45243</v>
      </c>
      <c r="AK102" t="s">
        <v>3428</v>
      </c>
      <c r="AL102" t="s">
        <v>633</v>
      </c>
    </row>
    <row r="103" spans="1:38" x14ac:dyDescent="0.35">
      <c r="A103" t="s">
        <v>635</v>
      </c>
      <c r="B103" t="s">
        <v>343</v>
      </c>
      <c r="C103" t="s">
        <v>43</v>
      </c>
      <c r="D103" t="s">
        <v>317</v>
      </c>
      <c r="E103" t="s">
        <v>77</v>
      </c>
      <c r="F103" t="s">
        <v>46</v>
      </c>
      <c r="G103" t="s">
        <v>176</v>
      </c>
      <c r="H103">
        <v>29140</v>
      </c>
      <c r="I103">
        <f>Sales_Transactions_Raw[[#This Row],[Unit_Price]]*Sales_Transactions_Raw[[#This Row],[Quantity]]</f>
        <v>145700</v>
      </c>
      <c r="J103">
        <v>5</v>
      </c>
      <c r="K103">
        <v>20</v>
      </c>
      <c r="L103">
        <v>29140</v>
      </c>
      <c r="M103">
        <v>116560</v>
      </c>
      <c r="N103">
        <v>18</v>
      </c>
      <c r="O103">
        <v>20980.799999999999</v>
      </c>
      <c r="P103">
        <v>0</v>
      </c>
      <c r="Q103">
        <v>137540.79999999999</v>
      </c>
      <c r="R103" t="s">
        <v>64</v>
      </c>
      <c r="S103" t="s">
        <v>93</v>
      </c>
      <c r="T103" t="s">
        <v>115</v>
      </c>
      <c r="U103" t="s">
        <v>161</v>
      </c>
      <c r="V103" t="s">
        <v>242</v>
      </c>
      <c r="W103" t="s">
        <v>70</v>
      </c>
      <c r="X103" t="s">
        <v>198</v>
      </c>
      <c r="Y103" t="s">
        <v>199</v>
      </c>
      <c r="Z103" t="s">
        <v>52</v>
      </c>
      <c r="AA103" t="s">
        <v>637</v>
      </c>
      <c r="AB103" t="s">
        <v>3344</v>
      </c>
      <c r="AC103">
        <v>3</v>
      </c>
      <c r="AD103" t="s">
        <v>56</v>
      </c>
      <c r="AE103" t="s">
        <v>3336</v>
      </c>
      <c r="AF103" t="s">
        <v>84</v>
      </c>
      <c r="AG103" t="s">
        <v>3337</v>
      </c>
      <c r="AH103" s="1">
        <v>45463</v>
      </c>
      <c r="AI103" s="1">
        <v>45235</v>
      </c>
      <c r="AJ103" s="1">
        <v>45470</v>
      </c>
      <c r="AK103" t="s">
        <v>3429</v>
      </c>
      <c r="AL103" t="s">
        <v>636</v>
      </c>
    </row>
    <row r="104" spans="1:38" x14ac:dyDescent="0.35">
      <c r="A104" t="s">
        <v>638</v>
      </c>
      <c r="B104" t="s">
        <v>292</v>
      </c>
      <c r="C104" t="s">
        <v>89</v>
      </c>
      <c r="D104" t="s">
        <v>466</v>
      </c>
      <c r="E104" t="s">
        <v>467</v>
      </c>
      <c r="F104" t="s">
        <v>185</v>
      </c>
      <c r="G104" t="s">
        <v>468</v>
      </c>
      <c r="H104">
        <v>580</v>
      </c>
      <c r="I104">
        <f>Sales_Transactions_Raw[[#This Row],[Unit_Price]]*Sales_Transactions_Raw[[#This Row],[Quantity]]</f>
        <v>580</v>
      </c>
      <c r="J104">
        <v>1</v>
      </c>
      <c r="K104">
        <v>15</v>
      </c>
      <c r="L104">
        <v>87</v>
      </c>
      <c r="M104">
        <v>493</v>
      </c>
      <c r="N104">
        <v>5</v>
      </c>
      <c r="O104">
        <v>24.65</v>
      </c>
      <c r="P104">
        <v>99</v>
      </c>
      <c r="Q104">
        <v>517.65</v>
      </c>
      <c r="R104" t="s">
        <v>64</v>
      </c>
      <c r="S104" t="s">
        <v>65</v>
      </c>
      <c r="T104" t="s">
        <v>115</v>
      </c>
      <c r="U104" t="s">
        <v>108</v>
      </c>
      <c r="V104" t="s">
        <v>149</v>
      </c>
      <c r="W104" t="s">
        <v>81</v>
      </c>
      <c r="X104" t="s">
        <v>362</v>
      </c>
      <c r="Y104" t="s">
        <v>118</v>
      </c>
      <c r="Z104" t="s">
        <v>70</v>
      </c>
      <c r="AA104" t="s">
        <v>640</v>
      </c>
      <c r="AB104" t="s">
        <v>3335</v>
      </c>
      <c r="AC104">
        <v>4</v>
      </c>
      <c r="AD104" t="s">
        <v>56</v>
      </c>
      <c r="AE104" t="s">
        <v>3336</v>
      </c>
      <c r="AF104" t="s">
        <v>262</v>
      </c>
      <c r="AG104" t="s">
        <v>3337</v>
      </c>
      <c r="AH104" s="1">
        <v>44945</v>
      </c>
      <c r="AI104" s="1">
        <v>44949</v>
      </c>
      <c r="AJ104" s="1">
        <v>44959</v>
      </c>
      <c r="AK104" t="s">
        <v>3430</v>
      </c>
      <c r="AL104" t="s">
        <v>639</v>
      </c>
    </row>
    <row r="105" spans="1:38" x14ac:dyDescent="0.35">
      <c r="A105" t="s">
        <v>641</v>
      </c>
      <c r="B105" t="s">
        <v>642</v>
      </c>
      <c r="C105" t="s">
        <v>157</v>
      </c>
      <c r="D105" t="s">
        <v>158</v>
      </c>
      <c r="E105" t="s">
        <v>159</v>
      </c>
      <c r="F105" t="s">
        <v>46</v>
      </c>
      <c r="G105" t="s">
        <v>105</v>
      </c>
      <c r="H105">
        <v>55830</v>
      </c>
      <c r="I105">
        <f>Sales_Transactions_Raw[[#This Row],[Unit_Price]]*Sales_Transactions_Raw[[#This Row],[Quantity]]</f>
        <v>111660</v>
      </c>
      <c r="J105">
        <v>2</v>
      </c>
      <c r="K105">
        <v>10</v>
      </c>
      <c r="L105">
        <v>11166</v>
      </c>
      <c r="M105">
        <v>100494</v>
      </c>
      <c r="N105">
        <v>18</v>
      </c>
      <c r="O105">
        <v>18088.919999999998</v>
      </c>
      <c r="P105">
        <v>0</v>
      </c>
      <c r="Q105">
        <v>118582.92</v>
      </c>
      <c r="R105" t="s">
        <v>48</v>
      </c>
      <c r="S105" t="s">
        <v>93</v>
      </c>
      <c r="T105" t="s">
        <v>66</v>
      </c>
      <c r="U105" t="s">
        <v>214</v>
      </c>
      <c r="V105" t="s">
        <v>297</v>
      </c>
      <c r="W105" t="s">
        <v>52</v>
      </c>
      <c r="X105" t="s">
        <v>362</v>
      </c>
      <c r="Y105" t="s">
        <v>118</v>
      </c>
      <c r="Z105" t="s">
        <v>70</v>
      </c>
      <c r="AA105" t="s">
        <v>644</v>
      </c>
      <c r="AB105" t="s">
        <v>3335</v>
      </c>
      <c r="AC105">
        <v>4</v>
      </c>
      <c r="AD105" t="s">
        <v>179</v>
      </c>
      <c r="AE105" t="s">
        <v>3336</v>
      </c>
      <c r="AF105" t="s">
        <v>72</v>
      </c>
      <c r="AG105" t="s">
        <v>85</v>
      </c>
      <c r="AH105" s="1">
        <v>45329</v>
      </c>
      <c r="AI105" s="1">
        <v>45335</v>
      </c>
      <c r="AJ105" s="1">
        <v>45339</v>
      </c>
      <c r="AK105" t="s">
        <v>3431</v>
      </c>
      <c r="AL105" t="s">
        <v>643</v>
      </c>
    </row>
    <row r="106" spans="1:38" x14ac:dyDescent="0.35">
      <c r="A106" t="s">
        <v>645</v>
      </c>
      <c r="B106" t="s">
        <v>646</v>
      </c>
      <c r="C106" t="s">
        <v>43</v>
      </c>
      <c r="D106" t="s">
        <v>283</v>
      </c>
      <c r="E106" t="s">
        <v>284</v>
      </c>
      <c r="F106" t="s">
        <v>285</v>
      </c>
      <c r="G106" t="s">
        <v>286</v>
      </c>
      <c r="H106">
        <v>420</v>
      </c>
      <c r="I106">
        <f>Sales_Transactions_Raw[[#This Row],[Unit_Price]]*Sales_Transactions_Raw[[#This Row],[Quantity]]</f>
        <v>420</v>
      </c>
      <c r="J106">
        <v>1</v>
      </c>
      <c r="K106">
        <v>0</v>
      </c>
      <c r="L106">
        <v>0</v>
      </c>
      <c r="M106">
        <v>420</v>
      </c>
      <c r="N106">
        <v>5</v>
      </c>
      <c r="O106">
        <v>21</v>
      </c>
      <c r="P106">
        <v>149</v>
      </c>
      <c r="Q106">
        <v>441</v>
      </c>
      <c r="R106" t="s">
        <v>106</v>
      </c>
      <c r="S106" t="s">
        <v>107</v>
      </c>
      <c r="T106" t="s">
        <v>115</v>
      </c>
      <c r="U106" t="s">
        <v>161</v>
      </c>
      <c r="V106" t="s">
        <v>242</v>
      </c>
      <c r="W106" t="s">
        <v>70</v>
      </c>
      <c r="X106" t="s">
        <v>288</v>
      </c>
      <c r="Y106" t="s">
        <v>289</v>
      </c>
      <c r="Z106" t="s">
        <v>52</v>
      </c>
      <c r="AA106" t="s">
        <v>648</v>
      </c>
      <c r="AB106" t="s">
        <v>3335</v>
      </c>
      <c r="AC106">
        <v>3</v>
      </c>
      <c r="AD106" t="s">
        <v>56</v>
      </c>
      <c r="AE106" t="s">
        <v>3336</v>
      </c>
      <c r="AF106" t="s">
        <v>217</v>
      </c>
      <c r="AG106" t="s">
        <v>3342</v>
      </c>
      <c r="AH106" s="1">
        <v>45200</v>
      </c>
      <c r="AI106" s="1">
        <v>45205</v>
      </c>
      <c r="AJ106" s="1">
        <v>45210</v>
      </c>
      <c r="AK106" t="s">
        <v>3432</v>
      </c>
      <c r="AL106" t="s">
        <v>647</v>
      </c>
    </row>
    <row r="107" spans="1:38" x14ac:dyDescent="0.35">
      <c r="A107" t="s">
        <v>649</v>
      </c>
      <c r="B107" t="s">
        <v>142</v>
      </c>
      <c r="C107" t="s">
        <v>43</v>
      </c>
      <c r="D107" t="s">
        <v>144</v>
      </c>
      <c r="E107" t="s">
        <v>145</v>
      </c>
      <c r="F107" t="s">
        <v>146</v>
      </c>
      <c r="G107" t="s">
        <v>147</v>
      </c>
      <c r="H107">
        <v>2320</v>
      </c>
      <c r="I107">
        <f>Sales_Transactions_Raw[[#This Row],[Unit_Price]]*Sales_Transactions_Raw[[#This Row],[Quantity]]</f>
        <v>6960</v>
      </c>
      <c r="J107">
        <v>3</v>
      </c>
      <c r="K107">
        <v>0</v>
      </c>
      <c r="L107">
        <v>0</v>
      </c>
      <c r="M107">
        <v>6960</v>
      </c>
      <c r="N107">
        <v>12</v>
      </c>
      <c r="O107">
        <v>835.2</v>
      </c>
      <c r="P107">
        <v>0</v>
      </c>
      <c r="Q107">
        <v>7795.2</v>
      </c>
      <c r="R107" t="s">
        <v>92</v>
      </c>
      <c r="S107" t="s">
        <v>125</v>
      </c>
      <c r="T107" t="s">
        <v>115</v>
      </c>
      <c r="U107" t="s">
        <v>161</v>
      </c>
      <c r="V107" t="s">
        <v>149</v>
      </c>
      <c r="W107" t="s">
        <v>81</v>
      </c>
      <c r="X107" t="s">
        <v>357</v>
      </c>
      <c r="Y107" t="s">
        <v>358</v>
      </c>
      <c r="Z107" t="s">
        <v>95</v>
      </c>
      <c r="AA107" t="s">
        <v>651</v>
      </c>
      <c r="AB107" t="s">
        <v>3343</v>
      </c>
      <c r="AC107">
        <v>3</v>
      </c>
      <c r="AD107" t="s">
        <v>56</v>
      </c>
      <c r="AE107" t="s">
        <v>3336</v>
      </c>
      <c r="AF107" t="s">
        <v>99</v>
      </c>
      <c r="AG107" t="s">
        <v>3342</v>
      </c>
      <c r="AH107" s="1">
        <v>44967</v>
      </c>
      <c r="AI107" s="1">
        <v>44972</v>
      </c>
      <c r="AJ107" s="1">
        <v>44980</v>
      </c>
      <c r="AK107" t="s">
        <v>3353</v>
      </c>
      <c r="AL107" t="s">
        <v>650</v>
      </c>
    </row>
    <row r="108" spans="1:38" x14ac:dyDescent="0.35">
      <c r="A108" t="s">
        <v>652</v>
      </c>
      <c r="B108" t="s">
        <v>113</v>
      </c>
      <c r="C108" t="s">
        <v>43</v>
      </c>
      <c r="D108" t="s">
        <v>249</v>
      </c>
      <c r="E108" t="s">
        <v>250</v>
      </c>
      <c r="F108" t="s">
        <v>211</v>
      </c>
      <c r="G108" t="s">
        <v>251</v>
      </c>
      <c r="H108">
        <v>18460</v>
      </c>
      <c r="I108">
        <f>Sales_Transactions_Raw[[#This Row],[Unit_Price]]*Sales_Transactions_Raw[[#This Row],[Quantity]]</f>
        <v>55380</v>
      </c>
      <c r="J108">
        <v>3</v>
      </c>
      <c r="K108">
        <v>0</v>
      </c>
      <c r="L108">
        <v>0</v>
      </c>
      <c r="M108">
        <v>55380</v>
      </c>
      <c r="N108">
        <v>5</v>
      </c>
      <c r="O108">
        <v>2769</v>
      </c>
      <c r="P108">
        <v>0</v>
      </c>
      <c r="Q108">
        <v>58149</v>
      </c>
      <c r="R108" t="s">
        <v>48</v>
      </c>
      <c r="S108" t="s">
        <v>65</v>
      </c>
      <c r="T108" t="s">
        <v>148</v>
      </c>
      <c r="U108" t="s">
        <v>161</v>
      </c>
      <c r="V108" t="s">
        <v>276</v>
      </c>
      <c r="W108" t="s">
        <v>95</v>
      </c>
      <c r="X108" t="s">
        <v>505</v>
      </c>
      <c r="Y108" t="s">
        <v>118</v>
      </c>
      <c r="Z108" t="s">
        <v>70</v>
      </c>
      <c r="AA108" t="s">
        <v>654</v>
      </c>
      <c r="AB108" t="s">
        <v>3338</v>
      </c>
      <c r="AC108">
        <v>2</v>
      </c>
      <c r="AD108" t="s">
        <v>56</v>
      </c>
      <c r="AE108" t="s">
        <v>3336</v>
      </c>
      <c r="AF108" t="s">
        <v>326</v>
      </c>
      <c r="AG108" t="s">
        <v>58</v>
      </c>
      <c r="AH108" s="1">
        <v>45316</v>
      </c>
      <c r="AI108" s="1">
        <v>45317</v>
      </c>
      <c r="AJ108" s="1">
        <v>45321</v>
      </c>
      <c r="AK108" t="s">
        <v>3589</v>
      </c>
      <c r="AL108" t="s">
        <v>653</v>
      </c>
    </row>
    <row r="109" spans="1:38" x14ac:dyDescent="0.35">
      <c r="A109" t="s">
        <v>655</v>
      </c>
      <c r="B109" t="s">
        <v>656</v>
      </c>
      <c r="C109" t="s">
        <v>89</v>
      </c>
      <c r="D109" t="s">
        <v>495</v>
      </c>
      <c r="E109" t="s">
        <v>496</v>
      </c>
      <c r="F109" t="s">
        <v>134</v>
      </c>
      <c r="G109" t="s">
        <v>497</v>
      </c>
      <c r="H109">
        <v>30900</v>
      </c>
      <c r="I109">
        <f>Sales_Transactions_Raw[[#This Row],[Unit_Price]]*Sales_Transactions_Raw[[#This Row],[Quantity]]</f>
        <v>30900</v>
      </c>
      <c r="J109">
        <v>1</v>
      </c>
      <c r="K109">
        <v>10</v>
      </c>
      <c r="L109">
        <v>3090</v>
      </c>
      <c r="M109">
        <v>27810</v>
      </c>
      <c r="N109">
        <v>5</v>
      </c>
      <c r="O109">
        <v>1390.5</v>
      </c>
      <c r="P109">
        <v>0</v>
      </c>
      <c r="Q109">
        <v>29200.5</v>
      </c>
      <c r="R109" t="s">
        <v>160</v>
      </c>
      <c r="S109" t="s">
        <v>107</v>
      </c>
      <c r="T109" t="s">
        <v>66</v>
      </c>
      <c r="U109" t="s">
        <v>214</v>
      </c>
      <c r="V109" t="s">
        <v>116</v>
      </c>
      <c r="W109" t="s">
        <v>70</v>
      </c>
      <c r="X109" t="s">
        <v>422</v>
      </c>
      <c r="Y109" t="s">
        <v>319</v>
      </c>
      <c r="Z109" t="s">
        <v>95</v>
      </c>
      <c r="AA109" t="s">
        <v>658</v>
      </c>
      <c r="AB109" t="s">
        <v>3335</v>
      </c>
      <c r="AC109">
        <v>4</v>
      </c>
      <c r="AD109" t="s">
        <v>56</v>
      </c>
      <c r="AE109" t="s">
        <v>3336</v>
      </c>
      <c r="AF109" t="s">
        <v>164</v>
      </c>
      <c r="AG109" t="s">
        <v>3337</v>
      </c>
      <c r="AH109" s="1">
        <v>44977</v>
      </c>
      <c r="AI109" s="1">
        <v>44978</v>
      </c>
      <c r="AJ109" s="1">
        <v>44986</v>
      </c>
      <c r="AK109" t="s">
        <v>3433</v>
      </c>
      <c r="AL109" t="s">
        <v>657</v>
      </c>
    </row>
    <row r="110" spans="1:38" x14ac:dyDescent="0.35">
      <c r="A110" t="s">
        <v>659</v>
      </c>
      <c r="B110" t="s">
        <v>457</v>
      </c>
      <c r="C110" t="s">
        <v>43</v>
      </c>
      <c r="D110" t="s">
        <v>193</v>
      </c>
      <c r="E110" t="s">
        <v>194</v>
      </c>
      <c r="F110" t="s">
        <v>146</v>
      </c>
      <c r="G110" t="s">
        <v>195</v>
      </c>
      <c r="H110">
        <v>3090</v>
      </c>
      <c r="I110">
        <f>Sales_Transactions_Raw[[#This Row],[Unit_Price]]*Sales_Transactions_Raw[[#This Row],[Quantity]]</f>
        <v>3090</v>
      </c>
      <c r="J110">
        <v>1</v>
      </c>
      <c r="K110">
        <v>0</v>
      </c>
      <c r="L110">
        <v>0</v>
      </c>
      <c r="M110">
        <v>3090</v>
      </c>
      <c r="N110">
        <v>12</v>
      </c>
      <c r="O110">
        <v>370.8</v>
      </c>
      <c r="P110">
        <v>49</v>
      </c>
      <c r="Q110">
        <v>3460.8</v>
      </c>
      <c r="R110" t="s">
        <v>64</v>
      </c>
      <c r="S110" t="s">
        <v>65</v>
      </c>
      <c r="T110" t="s">
        <v>115</v>
      </c>
      <c r="U110" t="s">
        <v>214</v>
      </c>
      <c r="V110" t="s">
        <v>149</v>
      </c>
      <c r="W110" t="s">
        <v>81</v>
      </c>
      <c r="X110" t="s">
        <v>381</v>
      </c>
      <c r="Y110" t="s">
        <v>199</v>
      </c>
      <c r="Z110" t="s">
        <v>52</v>
      </c>
      <c r="AA110" t="s">
        <v>661</v>
      </c>
      <c r="AB110" t="s">
        <v>3335</v>
      </c>
      <c r="AC110">
        <v>5</v>
      </c>
      <c r="AD110" t="s">
        <v>56</v>
      </c>
      <c r="AE110" t="s">
        <v>3336</v>
      </c>
      <c r="AF110" t="s">
        <v>84</v>
      </c>
      <c r="AG110" t="s">
        <v>111</v>
      </c>
      <c r="AH110" s="1">
        <v>45436</v>
      </c>
      <c r="AI110" s="1">
        <v>45440</v>
      </c>
      <c r="AJ110" s="1">
        <v>45297</v>
      </c>
      <c r="AK110" t="s">
        <v>3395</v>
      </c>
      <c r="AL110" t="s">
        <v>660</v>
      </c>
    </row>
    <row r="111" spans="1:38" x14ac:dyDescent="0.35">
      <c r="A111" t="s">
        <v>662</v>
      </c>
      <c r="B111" t="s">
        <v>520</v>
      </c>
      <c r="C111" t="s">
        <v>43</v>
      </c>
      <c r="D111" t="s">
        <v>367</v>
      </c>
      <c r="E111" t="s">
        <v>368</v>
      </c>
      <c r="F111" t="s">
        <v>46</v>
      </c>
      <c r="G111" t="s">
        <v>369</v>
      </c>
      <c r="H111">
        <v>27250</v>
      </c>
      <c r="I111">
        <f>Sales_Transactions_Raw[[#This Row],[Unit_Price]]*Sales_Transactions_Raw[[#This Row],[Quantity]]</f>
        <v>81750</v>
      </c>
      <c r="J111">
        <v>3</v>
      </c>
      <c r="K111">
        <v>20</v>
      </c>
      <c r="L111">
        <v>16350</v>
      </c>
      <c r="M111">
        <v>65400</v>
      </c>
      <c r="N111">
        <v>18</v>
      </c>
      <c r="O111">
        <v>11772</v>
      </c>
      <c r="P111">
        <v>0</v>
      </c>
      <c r="Q111">
        <v>77172</v>
      </c>
      <c r="R111" t="s">
        <v>79</v>
      </c>
      <c r="S111" t="s">
        <v>49</v>
      </c>
      <c r="T111" t="s">
        <v>136</v>
      </c>
      <c r="U111" t="s">
        <v>196</v>
      </c>
      <c r="V111" t="s">
        <v>177</v>
      </c>
      <c r="W111" t="s">
        <v>81</v>
      </c>
      <c r="X111" t="s">
        <v>381</v>
      </c>
      <c r="Y111" t="s">
        <v>199</v>
      </c>
      <c r="Z111" t="s">
        <v>52</v>
      </c>
      <c r="AA111" t="s">
        <v>664</v>
      </c>
      <c r="AB111" t="s">
        <v>3339</v>
      </c>
      <c r="AC111">
        <v>3</v>
      </c>
      <c r="AD111" t="s">
        <v>56</v>
      </c>
      <c r="AE111" t="s">
        <v>3336</v>
      </c>
      <c r="AF111" t="s">
        <v>84</v>
      </c>
      <c r="AG111" t="s">
        <v>3342</v>
      </c>
      <c r="AH111" s="1">
        <v>45250</v>
      </c>
      <c r="AI111" s="1">
        <v>45255</v>
      </c>
      <c r="AJ111" s="1">
        <v>45265</v>
      </c>
      <c r="AK111" t="s">
        <v>3405</v>
      </c>
      <c r="AL111" t="s">
        <v>663</v>
      </c>
    </row>
    <row r="112" spans="1:38" x14ac:dyDescent="0.35">
      <c r="A112" t="s">
        <v>665</v>
      </c>
      <c r="B112" t="s">
        <v>447</v>
      </c>
      <c r="C112" t="s">
        <v>43</v>
      </c>
      <c r="D112" t="s">
        <v>667</v>
      </c>
      <c r="E112" t="s">
        <v>668</v>
      </c>
      <c r="F112" t="s">
        <v>146</v>
      </c>
      <c r="G112" t="s">
        <v>195</v>
      </c>
      <c r="H112">
        <v>9030</v>
      </c>
      <c r="I112">
        <f>Sales_Transactions_Raw[[#This Row],[Unit_Price]]*Sales_Transactions_Raw[[#This Row],[Quantity]]</f>
        <v>36120</v>
      </c>
      <c r="J112">
        <v>4</v>
      </c>
      <c r="K112">
        <v>0</v>
      </c>
      <c r="L112">
        <v>0</v>
      </c>
      <c r="M112">
        <v>36120</v>
      </c>
      <c r="N112">
        <v>12</v>
      </c>
      <c r="O112">
        <v>4334.3999999999996</v>
      </c>
      <c r="P112">
        <v>0</v>
      </c>
      <c r="Q112">
        <v>40454.400000000001</v>
      </c>
      <c r="R112" t="s">
        <v>64</v>
      </c>
      <c r="S112" t="s">
        <v>107</v>
      </c>
      <c r="T112" t="s">
        <v>213</v>
      </c>
      <c r="U112" t="s">
        <v>108</v>
      </c>
      <c r="V112" t="s">
        <v>80</v>
      </c>
      <c r="W112" t="s">
        <v>81</v>
      </c>
      <c r="X112" t="s">
        <v>150</v>
      </c>
      <c r="Y112" t="s">
        <v>151</v>
      </c>
      <c r="Z112" t="s">
        <v>81</v>
      </c>
      <c r="AA112" t="s">
        <v>669</v>
      </c>
      <c r="AB112" t="s">
        <v>3344</v>
      </c>
      <c r="AC112">
        <v>3</v>
      </c>
      <c r="AD112" t="s">
        <v>179</v>
      </c>
      <c r="AE112" t="s">
        <v>3336</v>
      </c>
      <c r="AF112" t="s">
        <v>279</v>
      </c>
      <c r="AG112" t="s">
        <v>111</v>
      </c>
      <c r="AH112" s="1">
        <v>45137</v>
      </c>
      <c r="AI112" s="1">
        <v>45143</v>
      </c>
      <c r="AJ112" s="1">
        <v>45145</v>
      </c>
      <c r="AK112" t="s">
        <v>3434</v>
      </c>
      <c r="AL112" t="s">
        <v>666</v>
      </c>
    </row>
    <row r="113" spans="1:38" x14ac:dyDescent="0.35">
      <c r="A113" t="s">
        <v>670</v>
      </c>
      <c r="B113" t="s">
        <v>605</v>
      </c>
      <c r="C113" t="s">
        <v>43</v>
      </c>
      <c r="D113" t="s">
        <v>490</v>
      </c>
      <c r="E113" t="s">
        <v>91</v>
      </c>
      <c r="F113" t="s">
        <v>46</v>
      </c>
      <c r="G113" t="s">
        <v>369</v>
      </c>
      <c r="H113">
        <v>71150</v>
      </c>
      <c r="I113">
        <f>Sales_Transactions_Raw[[#This Row],[Unit_Price]]*Sales_Transactions_Raw[[#This Row],[Quantity]]</f>
        <v>142300</v>
      </c>
      <c r="J113">
        <v>2</v>
      </c>
      <c r="K113">
        <v>10</v>
      </c>
      <c r="L113">
        <v>14230</v>
      </c>
      <c r="M113">
        <v>128070</v>
      </c>
      <c r="N113">
        <v>18</v>
      </c>
      <c r="O113">
        <v>23052.6</v>
      </c>
      <c r="P113">
        <v>0</v>
      </c>
      <c r="Q113">
        <v>151122.6</v>
      </c>
      <c r="R113" t="s">
        <v>106</v>
      </c>
      <c r="S113" t="s">
        <v>93</v>
      </c>
      <c r="T113" t="s">
        <v>66</v>
      </c>
      <c r="U113" t="s">
        <v>50</v>
      </c>
      <c r="V113" t="s">
        <v>224</v>
      </c>
      <c r="W113" t="s">
        <v>95</v>
      </c>
      <c r="X113" t="s">
        <v>215</v>
      </c>
      <c r="Y113" t="s">
        <v>169</v>
      </c>
      <c r="Z113" t="s">
        <v>95</v>
      </c>
      <c r="AA113" t="s">
        <v>672</v>
      </c>
      <c r="AB113" t="s">
        <v>3344</v>
      </c>
      <c r="AC113">
        <v>2</v>
      </c>
      <c r="AD113" t="s">
        <v>56</v>
      </c>
      <c r="AE113" t="s">
        <v>3336</v>
      </c>
      <c r="AF113" t="s">
        <v>326</v>
      </c>
      <c r="AG113" t="s">
        <v>3337</v>
      </c>
      <c r="AH113" s="1">
        <v>44978</v>
      </c>
      <c r="AI113" s="1">
        <v>44979</v>
      </c>
      <c r="AJ113" s="1">
        <v>44987</v>
      </c>
      <c r="AK113" t="s">
        <v>3435</v>
      </c>
      <c r="AL113" t="s">
        <v>671</v>
      </c>
    </row>
    <row r="114" spans="1:38" x14ac:dyDescent="0.35">
      <c r="A114" t="s">
        <v>673</v>
      </c>
      <c r="B114" t="s">
        <v>414</v>
      </c>
      <c r="C114" t="s">
        <v>131</v>
      </c>
      <c r="D114" t="s">
        <v>122</v>
      </c>
      <c r="E114" t="s">
        <v>123</v>
      </c>
      <c r="F114" t="s">
        <v>46</v>
      </c>
      <c r="G114" t="s">
        <v>63</v>
      </c>
      <c r="H114">
        <v>57200</v>
      </c>
      <c r="I114">
        <f>Sales_Transactions_Raw[[#This Row],[Unit_Price]]*Sales_Transactions_Raw[[#This Row],[Quantity]]</f>
        <v>114400</v>
      </c>
      <c r="J114">
        <v>2</v>
      </c>
      <c r="K114">
        <v>10</v>
      </c>
      <c r="L114">
        <v>11440</v>
      </c>
      <c r="M114">
        <v>102960</v>
      </c>
      <c r="N114">
        <v>18</v>
      </c>
      <c r="O114">
        <v>18532.8</v>
      </c>
      <c r="P114">
        <v>0</v>
      </c>
      <c r="Q114">
        <v>121492.8</v>
      </c>
      <c r="R114" t="s">
        <v>124</v>
      </c>
      <c r="S114" t="s">
        <v>93</v>
      </c>
      <c r="T114" t="s">
        <v>115</v>
      </c>
      <c r="U114" t="s">
        <v>108</v>
      </c>
      <c r="V114" t="s">
        <v>94</v>
      </c>
      <c r="W114" t="s">
        <v>95</v>
      </c>
      <c r="X114" t="s">
        <v>599</v>
      </c>
      <c r="Y114" t="s">
        <v>319</v>
      </c>
      <c r="Z114" t="s">
        <v>95</v>
      </c>
      <c r="AA114" t="s">
        <v>675</v>
      </c>
      <c r="AB114" t="s">
        <v>3344</v>
      </c>
      <c r="AC114">
        <v>4</v>
      </c>
      <c r="AD114" t="s">
        <v>56</v>
      </c>
      <c r="AE114" t="s">
        <v>3336</v>
      </c>
      <c r="AF114" t="s">
        <v>99</v>
      </c>
      <c r="AG114" t="s">
        <v>85</v>
      </c>
      <c r="AH114" s="1">
        <v>44999</v>
      </c>
      <c r="AI114" s="1">
        <v>45006</v>
      </c>
      <c r="AJ114" s="1">
        <v>45012</v>
      </c>
      <c r="AK114" t="s">
        <v>3436</v>
      </c>
      <c r="AL114" t="s">
        <v>674</v>
      </c>
    </row>
    <row r="115" spans="1:38" x14ac:dyDescent="0.35">
      <c r="A115" t="s">
        <v>676</v>
      </c>
      <c r="B115" t="s">
        <v>235</v>
      </c>
      <c r="C115" t="s">
        <v>89</v>
      </c>
      <c r="D115" t="s">
        <v>323</v>
      </c>
      <c r="E115" t="s">
        <v>324</v>
      </c>
      <c r="F115" t="s">
        <v>146</v>
      </c>
      <c r="G115" t="s">
        <v>296</v>
      </c>
      <c r="H115">
        <v>10670</v>
      </c>
      <c r="I115">
        <f>Sales_Transactions_Raw[[#This Row],[Unit_Price]]*Sales_Transactions_Raw[[#This Row],[Quantity]]</f>
        <v>42680</v>
      </c>
      <c r="J115">
        <v>4</v>
      </c>
      <c r="K115">
        <v>10</v>
      </c>
      <c r="L115">
        <v>4268</v>
      </c>
      <c r="M115">
        <v>38412</v>
      </c>
      <c r="N115">
        <v>12</v>
      </c>
      <c r="O115">
        <v>4609.4399999999996</v>
      </c>
      <c r="P115">
        <v>0</v>
      </c>
      <c r="Q115">
        <v>43021.440000000002</v>
      </c>
      <c r="R115" t="s">
        <v>92</v>
      </c>
      <c r="S115" t="s">
        <v>93</v>
      </c>
      <c r="T115" t="s">
        <v>213</v>
      </c>
      <c r="U115" t="s">
        <v>196</v>
      </c>
      <c r="V115" t="s">
        <v>177</v>
      </c>
      <c r="W115" t="s">
        <v>81</v>
      </c>
      <c r="X115" t="s">
        <v>510</v>
      </c>
      <c r="Y115" t="s">
        <v>199</v>
      </c>
      <c r="Z115" t="s">
        <v>52</v>
      </c>
      <c r="AA115" t="s">
        <v>678</v>
      </c>
      <c r="AB115" t="s">
        <v>3340</v>
      </c>
      <c r="AC115">
        <v>4</v>
      </c>
      <c r="AD115" t="s">
        <v>179</v>
      </c>
      <c r="AE115" t="s">
        <v>206</v>
      </c>
      <c r="AF115" t="s">
        <v>72</v>
      </c>
      <c r="AG115" t="s">
        <v>58</v>
      </c>
      <c r="AH115" s="1">
        <v>45326</v>
      </c>
      <c r="AI115" s="1">
        <v>45331</v>
      </c>
      <c r="AJ115" s="1">
        <v>45340</v>
      </c>
      <c r="AK115" t="s">
        <v>3362</v>
      </c>
      <c r="AL115" t="s">
        <v>677</v>
      </c>
    </row>
    <row r="116" spans="1:38" x14ac:dyDescent="0.35">
      <c r="A116" t="s">
        <v>679</v>
      </c>
      <c r="B116" t="s">
        <v>680</v>
      </c>
      <c r="C116" t="s">
        <v>131</v>
      </c>
      <c r="D116" t="s">
        <v>274</v>
      </c>
      <c r="E116" t="s">
        <v>275</v>
      </c>
      <c r="F116" t="s">
        <v>211</v>
      </c>
      <c r="G116" t="s">
        <v>268</v>
      </c>
      <c r="H116">
        <v>15470</v>
      </c>
      <c r="I116">
        <f>Sales_Transactions_Raw[[#This Row],[Unit_Price]]*Sales_Transactions_Raw[[#This Row],[Quantity]]</f>
        <v>108290</v>
      </c>
      <c r="J116">
        <v>7</v>
      </c>
      <c r="K116">
        <v>20</v>
      </c>
      <c r="L116">
        <v>21658</v>
      </c>
      <c r="M116">
        <v>86632</v>
      </c>
      <c r="N116">
        <v>5</v>
      </c>
      <c r="O116">
        <v>4331.6000000000004</v>
      </c>
      <c r="P116">
        <v>0</v>
      </c>
      <c r="Q116">
        <v>90963.6</v>
      </c>
      <c r="R116" t="s">
        <v>124</v>
      </c>
      <c r="S116" t="s">
        <v>107</v>
      </c>
      <c r="T116" t="s">
        <v>66</v>
      </c>
      <c r="U116" t="s">
        <v>161</v>
      </c>
      <c r="V116" t="s">
        <v>80</v>
      </c>
      <c r="W116" t="s">
        <v>81</v>
      </c>
      <c r="X116" t="s">
        <v>225</v>
      </c>
      <c r="Y116" t="s">
        <v>226</v>
      </c>
      <c r="Z116" t="s">
        <v>95</v>
      </c>
      <c r="AA116" t="s">
        <v>682</v>
      </c>
      <c r="AB116" t="s">
        <v>3335</v>
      </c>
      <c r="AC116">
        <v>5</v>
      </c>
      <c r="AD116" t="s">
        <v>56</v>
      </c>
      <c r="AE116" t="s">
        <v>3336</v>
      </c>
      <c r="AF116" t="s">
        <v>57</v>
      </c>
      <c r="AG116" t="s">
        <v>85</v>
      </c>
      <c r="AH116" s="1">
        <v>45013</v>
      </c>
      <c r="AI116" s="1">
        <v>45015</v>
      </c>
      <c r="AJ116" s="1">
        <v>45340</v>
      </c>
      <c r="AK116" t="s">
        <v>3437</v>
      </c>
      <c r="AL116" t="s">
        <v>681</v>
      </c>
    </row>
    <row r="117" spans="1:38" x14ac:dyDescent="0.35">
      <c r="A117" t="s">
        <v>683</v>
      </c>
      <c r="B117" t="s">
        <v>588</v>
      </c>
      <c r="C117" t="s">
        <v>43</v>
      </c>
      <c r="D117" t="s">
        <v>144</v>
      </c>
      <c r="E117" t="s">
        <v>145</v>
      </c>
      <c r="F117" t="s">
        <v>146</v>
      </c>
      <c r="G117" t="s">
        <v>147</v>
      </c>
      <c r="H117">
        <v>2500</v>
      </c>
      <c r="I117">
        <f>Sales_Transactions_Raw[[#This Row],[Unit_Price]]*Sales_Transactions_Raw[[#This Row],[Quantity]]</f>
        <v>5000</v>
      </c>
      <c r="J117">
        <v>2</v>
      </c>
      <c r="K117">
        <v>5</v>
      </c>
      <c r="L117">
        <v>250</v>
      </c>
      <c r="M117">
        <v>4750</v>
      </c>
      <c r="N117">
        <v>12</v>
      </c>
      <c r="O117">
        <v>570</v>
      </c>
      <c r="P117">
        <v>0</v>
      </c>
      <c r="Q117">
        <v>5320</v>
      </c>
      <c r="R117" t="s">
        <v>124</v>
      </c>
      <c r="S117" t="s">
        <v>125</v>
      </c>
      <c r="T117" t="s">
        <v>66</v>
      </c>
      <c r="U117" t="s">
        <v>196</v>
      </c>
      <c r="V117" t="s">
        <v>177</v>
      </c>
      <c r="W117" t="s">
        <v>81</v>
      </c>
      <c r="X117" t="s">
        <v>556</v>
      </c>
      <c r="Y117" t="s">
        <v>481</v>
      </c>
      <c r="Z117" t="s">
        <v>52</v>
      </c>
      <c r="AA117" t="s">
        <v>685</v>
      </c>
      <c r="AB117" t="s">
        <v>3338</v>
      </c>
      <c r="AC117">
        <v>4</v>
      </c>
      <c r="AD117" t="s">
        <v>56</v>
      </c>
      <c r="AE117" t="s">
        <v>3336</v>
      </c>
      <c r="AF117" t="s">
        <v>57</v>
      </c>
      <c r="AG117" t="s">
        <v>58</v>
      </c>
      <c r="AH117" s="1">
        <v>44981</v>
      </c>
      <c r="AI117" s="1">
        <v>44984</v>
      </c>
      <c r="AJ117" s="1">
        <v>44994</v>
      </c>
      <c r="AK117" t="s">
        <v>3438</v>
      </c>
      <c r="AL117" t="s">
        <v>684</v>
      </c>
    </row>
    <row r="118" spans="1:38" x14ac:dyDescent="0.35">
      <c r="A118" t="s">
        <v>686</v>
      </c>
      <c r="B118" t="s">
        <v>687</v>
      </c>
      <c r="C118" t="s">
        <v>43</v>
      </c>
      <c r="D118" t="s">
        <v>504</v>
      </c>
      <c r="E118" t="s">
        <v>91</v>
      </c>
      <c r="F118" t="s">
        <v>134</v>
      </c>
      <c r="G118" t="s">
        <v>330</v>
      </c>
      <c r="H118">
        <v>26500</v>
      </c>
      <c r="I118">
        <f>Sales_Transactions_Raw[[#This Row],[Unit_Price]]*Sales_Transactions_Raw[[#This Row],[Quantity]]</f>
        <v>53000</v>
      </c>
      <c r="J118">
        <v>2</v>
      </c>
      <c r="K118">
        <v>10</v>
      </c>
      <c r="L118">
        <v>5300</v>
      </c>
      <c r="M118">
        <v>47700</v>
      </c>
      <c r="N118">
        <v>5</v>
      </c>
      <c r="O118">
        <v>2385</v>
      </c>
      <c r="P118">
        <v>0</v>
      </c>
      <c r="Q118">
        <v>50085</v>
      </c>
      <c r="R118" t="s">
        <v>48</v>
      </c>
      <c r="S118" t="s">
        <v>49</v>
      </c>
      <c r="T118" t="s">
        <v>66</v>
      </c>
      <c r="U118" t="s">
        <v>50</v>
      </c>
      <c r="V118" t="s">
        <v>80</v>
      </c>
      <c r="W118" t="s">
        <v>81</v>
      </c>
      <c r="X118" t="s">
        <v>243</v>
      </c>
      <c r="Y118" t="s">
        <v>244</v>
      </c>
      <c r="Z118" t="s">
        <v>70</v>
      </c>
      <c r="AA118" t="s">
        <v>689</v>
      </c>
      <c r="AB118" t="s">
        <v>3344</v>
      </c>
      <c r="AC118">
        <v>4</v>
      </c>
      <c r="AD118" t="s">
        <v>56</v>
      </c>
      <c r="AE118" t="s">
        <v>3336</v>
      </c>
      <c r="AF118" t="s">
        <v>164</v>
      </c>
      <c r="AG118" t="s">
        <v>85</v>
      </c>
      <c r="AH118" s="1">
        <v>45084</v>
      </c>
      <c r="AI118" s="1">
        <v>45091</v>
      </c>
      <c r="AJ118" s="1">
        <v>45100</v>
      </c>
      <c r="AK118" t="s">
        <v>3439</v>
      </c>
      <c r="AL118" t="s">
        <v>688</v>
      </c>
    </row>
    <row r="119" spans="1:38" x14ac:dyDescent="0.35">
      <c r="A119" t="s">
        <v>690</v>
      </c>
      <c r="B119" t="s">
        <v>691</v>
      </c>
      <c r="C119" t="s">
        <v>89</v>
      </c>
      <c r="D119" t="s">
        <v>294</v>
      </c>
      <c r="E119" t="s">
        <v>295</v>
      </c>
      <c r="F119" t="s">
        <v>146</v>
      </c>
      <c r="G119" t="s">
        <v>296</v>
      </c>
      <c r="H119">
        <v>15100</v>
      </c>
      <c r="I119">
        <f>Sales_Transactions_Raw[[#This Row],[Unit_Price]]*Sales_Transactions_Raw[[#This Row],[Quantity]]</f>
        <v>60400</v>
      </c>
      <c r="J119">
        <v>4</v>
      </c>
      <c r="K119">
        <v>5</v>
      </c>
      <c r="L119">
        <v>3020</v>
      </c>
      <c r="M119">
        <v>57380</v>
      </c>
      <c r="N119">
        <v>12</v>
      </c>
      <c r="O119">
        <v>6885.6</v>
      </c>
      <c r="P119">
        <v>0</v>
      </c>
      <c r="Q119">
        <v>64265.599999999999</v>
      </c>
      <c r="R119" t="s">
        <v>79</v>
      </c>
      <c r="S119" t="s">
        <v>65</v>
      </c>
      <c r="T119" t="s">
        <v>115</v>
      </c>
      <c r="U119" t="s">
        <v>108</v>
      </c>
      <c r="V119" t="s">
        <v>224</v>
      </c>
      <c r="W119" t="s">
        <v>95</v>
      </c>
      <c r="X119" t="s">
        <v>187</v>
      </c>
      <c r="Y119" t="s">
        <v>188</v>
      </c>
      <c r="Z119" t="s">
        <v>68</v>
      </c>
      <c r="AA119" t="s">
        <v>693</v>
      </c>
      <c r="AB119" t="s">
        <v>3335</v>
      </c>
      <c r="AC119">
        <v>4</v>
      </c>
      <c r="AD119" t="s">
        <v>56</v>
      </c>
      <c r="AE119" t="s">
        <v>3336</v>
      </c>
      <c r="AF119" t="s">
        <v>153</v>
      </c>
      <c r="AG119" t="s">
        <v>58</v>
      </c>
      <c r="AH119" s="1">
        <v>45174</v>
      </c>
      <c r="AI119" s="1">
        <v>45180</v>
      </c>
      <c r="AJ119" s="1">
        <v>45185</v>
      </c>
      <c r="AK119" t="s">
        <v>3440</v>
      </c>
      <c r="AL119" t="s">
        <v>692</v>
      </c>
    </row>
    <row r="120" spans="1:38" x14ac:dyDescent="0.35">
      <c r="A120" t="s">
        <v>694</v>
      </c>
      <c r="B120" t="s">
        <v>258</v>
      </c>
      <c r="C120" t="s">
        <v>43</v>
      </c>
      <c r="D120" t="s">
        <v>367</v>
      </c>
      <c r="E120" t="s">
        <v>368</v>
      </c>
      <c r="F120" t="s">
        <v>46</v>
      </c>
      <c r="G120" t="s">
        <v>369</v>
      </c>
      <c r="H120">
        <v>26660</v>
      </c>
      <c r="I120">
        <f>Sales_Transactions_Raw[[#This Row],[Unit_Price]]*Sales_Transactions_Raw[[#This Row],[Quantity]]</f>
        <v>266600</v>
      </c>
      <c r="J120">
        <v>10</v>
      </c>
      <c r="K120">
        <v>5</v>
      </c>
      <c r="L120">
        <v>13330</v>
      </c>
      <c r="M120">
        <v>253270</v>
      </c>
      <c r="N120">
        <v>18</v>
      </c>
      <c r="O120">
        <v>45588.6</v>
      </c>
      <c r="P120">
        <v>0</v>
      </c>
      <c r="Q120">
        <v>298858.59999999998</v>
      </c>
      <c r="R120" t="s">
        <v>79</v>
      </c>
      <c r="S120" t="s">
        <v>49</v>
      </c>
      <c r="T120" t="s">
        <v>66</v>
      </c>
      <c r="U120" t="s">
        <v>50</v>
      </c>
      <c r="V120" t="s">
        <v>67</v>
      </c>
      <c r="W120" t="s">
        <v>68</v>
      </c>
      <c r="X120" t="s">
        <v>96</v>
      </c>
      <c r="Y120" t="s">
        <v>97</v>
      </c>
      <c r="Z120" t="s">
        <v>95</v>
      </c>
      <c r="AA120" t="s">
        <v>697</v>
      </c>
      <c r="AB120" t="s">
        <v>3335</v>
      </c>
      <c r="AC120">
        <v>4</v>
      </c>
      <c r="AD120" t="s">
        <v>56</v>
      </c>
      <c r="AE120" t="s">
        <v>3336</v>
      </c>
      <c r="AF120" t="s">
        <v>84</v>
      </c>
      <c r="AG120" t="s">
        <v>111</v>
      </c>
      <c r="AH120" s="1">
        <v>45198</v>
      </c>
      <c r="AI120" s="1">
        <v>45200</v>
      </c>
      <c r="AJ120" s="1">
        <v>45209</v>
      </c>
      <c r="AK120" t="s">
        <v>3441</v>
      </c>
      <c r="AL120" t="s">
        <v>695</v>
      </c>
    </row>
    <row r="121" spans="1:38" x14ac:dyDescent="0.35">
      <c r="A121" t="s">
        <v>698</v>
      </c>
      <c r="B121" t="s">
        <v>699</v>
      </c>
      <c r="C121" t="s">
        <v>89</v>
      </c>
      <c r="D121" t="s">
        <v>420</v>
      </c>
      <c r="E121" t="s">
        <v>421</v>
      </c>
      <c r="F121" t="s">
        <v>134</v>
      </c>
      <c r="G121" t="s">
        <v>135</v>
      </c>
      <c r="H121">
        <v>3690</v>
      </c>
      <c r="I121">
        <f>Sales_Transactions_Raw[[#This Row],[Unit_Price]]*Sales_Transactions_Raw[[#This Row],[Quantity]]</f>
        <v>7380</v>
      </c>
      <c r="J121">
        <v>2</v>
      </c>
      <c r="K121">
        <v>15</v>
      </c>
      <c r="L121">
        <v>1107</v>
      </c>
      <c r="M121">
        <v>6273</v>
      </c>
      <c r="N121">
        <v>5</v>
      </c>
      <c r="O121">
        <v>313.64999999999998</v>
      </c>
      <c r="P121">
        <v>0</v>
      </c>
      <c r="Q121">
        <v>6586.65</v>
      </c>
      <c r="R121" t="s">
        <v>48</v>
      </c>
      <c r="S121" t="s">
        <v>49</v>
      </c>
      <c r="T121" t="s">
        <v>115</v>
      </c>
      <c r="U121" t="s">
        <v>50</v>
      </c>
      <c r="V121" t="s">
        <v>224</v>
      </c>
      <c r="W121" t="s">
        <v>95</v>
      </c>
      <c r="X121" t="s">
        <v>486</v>
      </c>
      <c r="Y121" t="s">
        <v>138</v>
      </c>
      <c r="Z121" t="s">
        <v>81</v>
      </c>
      <c r="AA121" t="s">
        <v>701</v>
      </c>
      <c r="AB121" t="s">
        <v>3339</v>
      </c>
      <c r="AC121">
        <v>5</v>
      </c>
      <c r="AD121" t="s">
        <v>56</v>
      </c>
      <c r="AE121" t="s">
        <v>3336</v>
      </c>
      <c r="AF121" t="s">
        <v>99</v>
      </c>
      <c r="AG121" t="s">
        <v>3337</v>
      </c>
      <c r="AH121" s="1">
        <v>44989</v>
      </c>
      <c r="AI121" s="1">
        <v>45081</v>
      </c>
      <c r="AJ121" s="1">
        <v>45032</v>
      </c>
      <c r="AK121" t="s">
        <v>3442</v>
      </c>
      <c r="AL121" t="s">
        <v>700</v>
      </c>
    </row>
    <row r="122" spans="1:38" x14ac:dyDescent="0.35">
      <c r="A122" t="s">
        <v>702</v>
      </c>
      <c r="B122" t="s">
        <v>235</v>
      </c>
      <c r="C122" t="s">
        <v>131</v>
      </c>
      <c r="D122" t="s">
        <v>704</v>
      </c>
      <c r="E122" t="s">
        <v>705</v>
      </c>
      <c r="F122" t="s">
        <v>285</v>
      </c>
      <c r="G122" t="s">
        <v>706</v>
      </c>
      <c r="H122">
        <v>300</v>
      </c>
      <c r="I122">
        <f>Sales_Transactions_Raw[[#This Row],[Unit_Price]]*Sales_Transactions_Raw[[#This Row],[Quantity]]</f>
        <v>300</v>
      </c>
      <c r="J122">
        <v>1</v>
      </c>
      <c r="K122">
        <v>10</v>
      </c>
      <c r="L122">
        <v>30</v>
      </c>
      <c r="M122">
        <v>270</v>
      </c>
      <c r="N122">
        <v>5</v>
      </c>
      <c r="O122">
        <v>13.5</v>
      </c>
      <c r="P122">
        <v>79</v>
      </c>
      <c r="Q122">
        <v>283.5</v>
      </c>
      <c r="R122" t="s">
        <v>48</v>
      </c>
      <c r="S122" t="s">
        <v>65</v>
      </c>
      <c r="T122" t="s">
        <v>66</v>
      </c>
      <c r="U122" t="s">
        <v>214</v>
      </c>
      <c r="V122" t="s">
        <v>51</v>
      </c>
      <c r="W122" t="s">
        <v>52</v>
      </c>
      <c r="X122" t="s">
        <v>556</v>
      </c>
      <c r="Y122" t="s">
        <v>481</v>
      </c>
      <c r="Z122" t="s">
        <v>52</v>
      </c>
      <c r="AA122" t="s">
        <v>707</v>
      </c>
      <c r="AB122" t="s">
        <v>3335</v>
      </c>
      <c r="AC122">
        <v>4</v>
      </c>
      <c r="AD122" t="s">
        <v>56</v>
      </c>
      <c r="AE122" t="s">
        <v>3336</v>
      </c>
      <c r="AF122" t="s">
        <v>262</v>
      </c>
      <c r="AG122" t="s">
        <v>58</v>
      </c>
      <c r="AH122" s="1">
        <v>45000</v>
      </c>
      <c r="AI122" s="1">
        <v>45001</v>
      </c>
      <c r="AJ122" s="1">
        <v>45005</v>
      </c>
      <c r="AK122" t="s">
        <v>3362</v>
      </c>
      <c r="AL122" t="s">
        <v>703</v>
      </c>
    </row>
    <row r="123" spans="1:38" x14ac:dyDescent="0.35">
      <c r="A123" t="s">
        <v>708</v>
      </c>
      <c r="B123" t="s">
        <v>453</v>
      </c>
      <c r="C123" t="s">
        <v>131</v>
      </c>
      <c r="D123" t="s">
        <v>490</v>
      </c>
      <c r="E123" t="s">
        <v>91</v>
      </c>
      <c r="F123" t="s">
        <v>46</v>
      </c>
      <c r="G123" t="s">
        <v>369</v>
      </c>
      <c r="H123">
        <v>76120</v>
      </c>
      <c r="I123">
        <f>Sales_Transactions_Raw[[#This Row],[Unit_Price]]*Sales_Transactions_Raw[[#This Row],[Quantity]]</f>
        <v>304480</v>
      </c>
      <c r="J123">
        <v>4</v>
      </c>
      <c r="K123">
        <v>0</v>
      </c>
      <c r="L123">
        <v>0</v>
      </c>
      <c r="M123">
        <v>304480</v>
      </c>
      <c r="N123">
        <v>18</v>
      </c>
      <c r="O123">
        <v>54806.400000000001</v>
      </c>
      <c r="P123">
        <v>0</v>
      </c>
      <c r="Q123">
        <v>359286.4</v>
      </c>
      <c r="R123" t="s">
        <v>106</v>
      </c>
      <c r="S123" t="s">
        <v>93</v>
      </c>
      <c r="T123" t="s">
        <v>66</v>
      </c>
      <c r="U123" t="s">
        <v>214</v>
      </c>
      <c r="V123" t="s">
        <v>116</v>
      </c>
      <c r="W123" t="s">
        <v>70</v>
      </c>
      <c r="X123" t="s">
        <v>340</v>
      </c>
      <c r="Y123" t="s">
        <v>169</v>
      </c>
      <c r="Z123" t="s">
        <v>95</v>
      </c>
      <c r="AA123" t="s">
        <v>710</v>
      </c>
      <c r="AB123" t="s">
        <v>3341</v>
      </c>
      <c r="AC123">
        <v>4</v>
      </c>
      <c r="AD123" t="s">
        <v>56</v>
      </c>
      <c r="AE123" t="s">
        <v>3336</v>
      </c>
      <c r="AF123" t="s">
        <v>217</v>
      </c>
      <c r="AG123" t="s">
        <v>3342</v>
      </c>
      <c r="AH123" s="1">
        <v>45108</v>
      </c>
      <c r="AI123" s="1">
        <v>45139</v>
      </c>
      <c r="AJ123" s="1">
        <v>45261</v>
      </c>
      <c r="AK123" t="s">
        <v>3443</v>
      </c>
      <c r="AL123" t="s">
        <v>709</v>
      </c>
    </row>
    <row r="124" spans="1:38" x14ac:dyDescent="0.35">
      <c r="A124" t="s">
        <v>711</v>
      </c>
      <c r="B124" t="s">
        <v>624</v>
      </c>
      <c r="C124" t="s">
        <v>43</v>
      </c>
      <c r="D124" t="s">
        <v>713</v>
      </c>
      <c r="E124" t="s">
        <v>714</v>
      </c>
      <c r="F124" t="s">
        <v>46</v>
      </c>
      <c r="G124" t="s">
        <v>47</v>
      </c>
      <c r="H124">
        <v>17090</v>
      </c>
      <c r="I124">
        <f>Sales_Transactions_Raw[[#This Row],[Unit_Price]]*Sales_Transactions_Raw[[#This Row],[Quantity]]</f>
        <v>68360</v>
      </c>
      <c r="J124">
        <v>4</v>
      </c>
      <c r="K124">
        <v>0</v>
      </c>
      <c r="L124">
        <v>0</v>
      </c>
      <c r="M124">
        <v>68360</v>
      </c>
      <c r="N124">
        <v>18</v>
      </c>
      <c r="O124">
        <v>12304.8</v>
      </c>
      <c r="P124">
        <v>0</v>
      </c>
      <c r="Q124">
        <v>80664.800000000003</v>
      </c>
      <c r="R124" t="s">
        <v>124</v>
      </c>
      <c r="S124" t="s">
        <v>107</v>
      </c>
      <c r="T124" t="s">
        <v>136</v>
      </c>
      <c r="U124" t="s">
        <v>108</v>
      </c>
      <c r="V124" t="s">
        <v>276</v>
      </c>
      <c r="W124" t="s">
        <v>95</v>
      </c>
      <c r="X124" t="s">
        <v>578</v>
      </c>
      <c r="Y124" t="s">
        <v>54</v>
      </c>
      <c r="Z124" t="s">
        <v>70</v>
      </c>
      <c r="AA124" t="s">
        <v>715</v>
      </c>
      <c r="AB124" t="s">
        <v>3340</v>
      </c>
      <c r="AC124">
        <v>5</v>
      </c>
      <c r="AD124" t="s">
        <v>56</v>
      </c>
      <c r="AE124" t="s">
        <v>3336</v>
      </c>
      <c r="AF124" t="s">
        <v>57</v>
      </c>
      <c r="AG124" t="s">
        <v>3337</v>
      </c>
      <c r="AH124" s="1">
        <v>45184</v>
      </c>
      <c r="AI124" s="1">
        <v>45187</v>
      </c>
      <c r="AJ124" s="1">
        <v>45196</v>
      </c>
      <c r="AK124" t="s">
        <v>3444</v>
      </c>
      <c r="AL124" t="s">
        <v>712</v>
      </c>
    </row>
    <row r="125" spans="1:38" x14ac:dyDescent="0.35">
      <c r="A125" t="s">
        <v>716</v>
      </c>
      <c r="B125" t="s">
        <v>717</v>
      </c>
      <c r="C125" t="s">
        <v>43</v>
      </c>
      <c r="D125" t="s">
        <v>90</v>
      </c>
      <c r="E125" t="s">
        <v>91</v>
      </c>
      <c r="F125" t="s">
        <v>46</v>
      </c>
      <c r="G125" t="s">
        <v>78</v>
      </c>
      <c r="H125">
        <v>96700</v>
      </c>
      <c r="I125">
        <f>Sales_Transactions_Raw[[#This Row],[Unit_Price]]*Sales_Transactions_Raw[[#This Row],[Quantity]]</f>
        <v>290100</v>
      </c>
      <c r="J125">
        <v>3</v>
      </c>
      <c r="K125">
        <v>0</v>
      </c>
      <c r="L125">
        <v>0</v>
      </c>
      <c r="M125">
        <v>290100</v>
      </c>
      <c r="N125">
        <v>18</v>
      </c>
      <c r="O125">
        <v>52218</v>
      </c>
      <c r="P125">
        <v>0</v>
      </c>
      <c r="Q125">
        <v>342318</v>
      </c>
      <c r="R125" t="s">
        <v>106</v>
      </c>
      <c r="S125" t="s">
        <v>49</v>
      </c>
      <c r="T125" t="s">
        <v>719</v>
      </c>
      <c r="U125" t="s">
        <v>108</v>
      </c>
      <c r="V125" t="s">
        <v>297</v>
      </c>
      <c r="W125" t="s">
        <v>52</v>
      </c>
      <c r="X125" t="s">
        <v>277</v>
      </c>
      <c r="Y125" t="s">
        <v>127</v>
      </c>
      <c r="Z125" t="s">
        <v>68</v>
      </c>
      <c r="AA125" t="s">
        <v>720</v>
      </c>
      <c r="AB125" t="s">
        <v>3335</v>
      </c>
      <c r="AC125">
        <v>5</v>
      </c>
      <c r="AD125" t="s">
        <v>56</v>
      </c>
      <c r="AE125" t="s">
        <v>3336</v>
      </c>
      <c r="AF125" t="s">
        <v>57</v>
      </c>
      <c r="AG125" t="s">
        <v>85</v>
      </c>
      <c r="AH125" s="1">
        <v>45152</v>
      </c>
      <c r="AI125" s="1">
        <v>45155</v>
      </c>
      <c r="AJ125" s="1">
        <v>45159</v>
      </c>
      <c r="AK125" t="s">
        <v>3445</v>
      </c>
      <c r="AL125" t="s">
        <v>718</v>
      </c>
    </row>
    <row r="126" spans="1:38" x14ac:dyDescent="0.35">
      <c r="A126" t="s">
        <v>721</v>
      </c>
      <c r="B126" t="s">
        <v>272</v>
      </c>
      <c r="C126" t="s">
        <v>43</v>
      </c>
      <c r="D126" t="s">
        <v>713</v>
      </c>
      <c r="E126" t="s">
        <v>714</v>
      </c>
      <c r="F126" t="s">
        <v>46</v>
      </c>
      <c r="G126" t="s">
        <v>47</v>
      </c>
      <c r="H126">
        <v>15900</v>
      </c>
      <c r="I126">
        <f>Sales_Transactions_Raw[[#This Row],[Unit_Price]]*Sales_Transactions_Raw[[#This Row],[Quantity]]</f>
        <v>15900</v>
      </c>
      <c r="J126">
        <v>1</v>
      </c>
      <c r="K126">
        <v>10</v>
      </c>
      <c r="L126">
        <v>1590</v>
      </c>
      <c r="M126">
        <v>14310</v>
      </c>
      <c r="N126">
        <v>18</v>
      </c>
      <c r="O126">
        <v>2575.8000000000002</v>
      </c>
      <c r="P126">
        <v>0</v>
      </c>
      <c r="Q126">
        <v>16885.8</v>
      </c>
      <c r="R126" t="s">
        <v>124</v>
      </c>
      <c r="S126" t="s">
        <v>93</v>
      </c>
      <c r="T126" t="s">
        <v>66</v>
      </c>
      <c r="U126" t="s">
        <v>214</v>
      </c>
      <c r="V126" t="s">
        <v>224</v>
      </c>
      <c r="W126" t="s">
        <v>95</v>
      </c>
      <c r="X126" t="s">
        <v>53</v>
      </c>
      <c r="Y126" t="s">
        <v>54</v>
      </c>
      <c r="Z126" t="s">
        <v>70</v>
      </c>
      <c r="AA126" t="s">
        <v>723</v>
      </c>
      <c r="AB126" t="s">
        <v>3335</v>
      </c>
      <c r="AC126">
        <v>4</v>
      </c>
      <c r="AD126" t="s">
        <v>56</v>
      </c>
      <c r="AE126" t="s">
        <v>3336</v>
      </c>
      <c r="AF126" t="s">
        <v>153</v>
      </c>
      <c r="AG126" t="s">
        <v>3337</v>
      </c>
      <c r="AH126" s="1">
        <v>45019</v>
      </c>
      <c r="AI126" s="1">
        <v>45020</v>
      </c>
      <c r="AJ126" s="1">
        <v>45159</v>
      </c>
      <c r="AK126" t="s">
        <v>3446</v>
      </c>
      <c r="AL126" t="s">
        <v>722</v>
      </c>
    </row>
    <row r="127" spans="1:38" x14ac:dyDescent="0.35">
      <c r="A127" t="s">
        <v>724</v>
      </c>
      <c r="B127" t="s">
        <v>409</v>
      </c>
      <c r="C127" t="s">
        <v>89</v>
      </c>
      <c r="D127" t="s">
        <v>230</v>
      </c>
      <c r="E127" t="s">
        <v>231</v>
      </c>
      <c r="F127" t="s">
        <v>46</v>
      </c>
      <c r="G127" t="s">
        <v>63</v>
      </c>
      <c r="H127">
        <v>114970</v>
      </c>
      <c r="I127">
        <f>Sales_Transactions_Raw[[#This Row],[Unit_Price]]*Sales_Transactions_Raw[[#This Row],[Quantity]]</f>
        <v>804790</v>
      </c>
      <c r="J127">
        <v>7</v>
      </c>
      <c r="K127">
        <v>5</v>
      </c>
      <c r="L127">
        <v>40239.5</v>
      </c>
      <c r="M127">
        <v>764550.5</v>
      </c>
      <c r="N127">
        <v>18</v>
      </c>
      <c r="O127">
        <v>137619.09</v>
      </c>
      <c r="P127">
        <v>0</v>
      </c>
      <c r="Q127">
        <v>902169.59</v>
      </c>
      <c r="R127" t="s">
        <v>92</v>
      </c>
      <c r="S127" t="s">
        <v>125</v>
      </c>
      <c r="T127" t="s">
        <v>115</v>
      </c>
      <c r="U127" t="s">
        <v>161</v>
      </c>
      <c r="V127" t="s">
        <v>269</v>
      </c>
      <c r="W127" t="s">
        <v>70</v>
      </c>
      <c r="X127" t="s">
        <v>232</v>
      </c>
      <c r="Y127" t="s">
        <v>82</v>
      </c>
      <c r="Z127" t="s">
        <v>52</v>
      </c>
      <c r="AA127" t="s">
        <v>726</v>
      </c>
      <c r="AB127" t="s">
        <v>3335</v>
      </c>
      <c r="AC127">
        <v>4</v>
      </c>
      <c r="AD127" t="s">
        <v>56</v>
      </c>
      <c r="AE127" t="s">
        <v>3336</v>
      </c>
      <c r="AF127" t="s">
        <v>262</v>
      </c>
      <c r="AG127" t="s">
        <v>58</v>
      </c>
      <c r="AH127" s="1">
        <v>45141</v>
      </c>
      <c r="AI127" s="1">
        <v>45148</v>
      </c>
      <c r="AJ127" s="1">
        <v>45153</v>
      </c>
      <c r="AK127" t="s">
        <v>3425</v>
      </c>
      <c r="AL127" t="s">
        <v>725</v>
      </c>
    </row>
    <row r="128" spans="1:38" x14ac:dyDescent="0.35">
      <c r="A128" t="s">
        <v>727</v>
      </c>
      <c r="B128" t="s">
        <v>142</v>
      </c>
      <c r="C128" t="s">
        <v>43</v>
      </c>
      <c r="D128" t="s">
        <v>310</v>
      </c>
      <c r="E128" t="s">
        <v>311</v>
      </c>
      <c r="F128" t="s">
        <v>211</v>
      </c>
      <c r="G128" t="s">
        <v>312</v>
      </c>
      <c r="H128">
        <v>12060</v>
      </c>
      <c r="I128">
        <f>Sales_Transactions_Raw[[#This Row],[Unit_Price]]*Sales_Transactions_Raw[[#This Row],[Quantity]]</f>
        <v>48240</v>
      </c>
      <c r="J128">
        <v>4</v>
      </c>
      <c r="K128">
        <v>10</v>
      </c>
      <c r="L128">
        <v>4824</v>
      </c>
      <c r="M128">
        <v>43416</v>
      </c>
      <c r="N128">
        <v>5</v>
      </c>
      <c r="O128">
        <v>2170.8000000000002</v>
      </c>
      <c r="P128">
        <v>0</v>
      </c>
      <c r="Q128">
        <v>45586.8</v>
      </c>
      <c r="R128" t="s">
        <v>160</v>
      </c>
      <c r="S128" t="s">
        <v>49</v>
      </c>
      <c r="T128" t="s">
        <v>115</v>
      </c>
      <c r="U128" t="s">
        <v>196</v>
      </c>
      <c r="V128" t="s">
        <v>276</v>
      </c>
      <c r="W128" t="s">
        <v>95</v>
      </c>
      <c r="X128" t="s">
        <v>422</v>
      </c>
      <c r="Y128" t="s">
        <v>319</v>
      </c>
      <c r="Z128" t="s">
        <v>95</v>
      </c>
      <c r="AA128" t="s">
        <v>729</v>
      </c>
      <c r="AB128" t="s">
        <v>3343</v>
      </c>
      <c r="AC128">
        <v>5</v>
      </c>
      <c r="AD128" t="s">
        <v>56</v>
      </c>
      <c r="AE128" t="s">
        <v>3336</v>
      </c>
      <c r="AF128" t="s">
        <v>153</v>
      </c>
      <c r="AG128" t="s">
        <v>111</v>
      </c>
      <c r="AH128" s="1">
        <v>45278</v>
      </c>
      <c r="AI128" s="1">
        <v>45284</v>
      </c>
      <c r="AJ128" s="1">
        <v>45291</v>
      </c>
      <c r="AK128" t="s">
        <v>3447</v>
      </c>
      <c r="AL128" t="s">
        <v>728</v>
      </c>
    </row>
    <row r="129" spans="1:38" x14ac:dyDescent="0.35">
      <c r="A129" t="s">
        <v>730</v>
      </c>
      <c r="B129" t="s">
        <v>731</v>
      </c>
      <c r="C129" t="s">
        <v>43</v>
      </c>
      <c r="D129" t="s">
        <v>294</v>
      </c>
      <c r="E129" t="s">
        <v>295</v>
      </c>
      <c r="F129" t="s">
        <v>146</v>
      </c>
      <c r="G129" t="s">
        <v>296</v>
      </c>
      <c r="H129">
        <v>14460</v>
      </c>
      <c r="I129">
        <f>Sales_Transactions_Raw[[#This Row],[Unit_Price]]*Sales_Transactions_Raw[[#This Row],[Quantity]]</f>
        <v>43380</v>
      </c>
      <c r="J129">
        <v>3</v>
      </c>
      <c r="K129">
        <v>5</v>
      </c>
      <c r="L129">
        <v>1446</v>
      </c>
      <c r="M129">
        <v>27474</v>
      </c>
      <c r="N129">
        <v>12</v>
      </c>
      <c r="O129">
        <v>3296.88</v>
      </c>
      <c r="P129">
        <v>0</v>
      </c>
      <c r="Q129">
        <v>30770.880000000001</v>
      </c>
      <c r="R129" t="s">
        <v>106</v>
      </c>
      <c r="S129" t="s">
        <v>107</v>
      </c>
      <c r="T129" t="s">
        <v>115</v>
      </c>
      <c r="U129" t="s">
        <v>214</v>
      </c>
      <c r="V129" t="s">
        <v>80</v>
      </c>
      <c r="W129" t="s">
        <v>81</v>
      </c>
      <c r="X129" t="s">
        <v>599</v>
      </c>
      <c r="Y129" t="s">
        <v>319</v>
      </c>
      <c r="Z129" t="s">
        <v>95</v>
      </c>
      <c r="AA129" t="s">
        <v>733</v>
      </c>
      <c r="AB129" t="s">
        <v>3335</v>
      </c>
      <c r="AC129">
        <v>4</v>
      </c>
      <c r="AD129" t="s">
        <v>56</v>
      </c>
      <c r="AE129" t="s">
        <v>3336</v>
      </c>
      <c r="AF129" t="s">
        <v>84</v>
      </c>
      <c r="AG129" t="s">
        <v>111</v>
      </c>
      <c r="AH129" s="1">
        <v>44931</v>
      </c>
      <c r="AI129" s="1">
        <v>44937</v>
      </c>
      <c r="AJ129" s="1">
        <v>44947</v>
      </c>
      <c r="AK129" t="s">
        <v>3448</v>
      </c>
      <c r="AL129" t="s">
        <v>732</v>
      </c>
    </row>
    <row r="130" spans="1:38" x14ac:dyDescent="0.35">
      <c r="A130" t="s">
        <v>734</v>
      </c>
      <c r="B130" t="s">
        <v>691</v>
      </c>
      <c r="C130" t="s">
        <v>43</v>
      </c>
      <c r="D130" t="s">
        <v>76</v>
      </c>
      <c r="E130" t="s">
        <v>77</v>
      </c>
      <c r="F130" t="s">
        <v>46</v>
      </c>
      <c r="G130" t="s">
        <v>78</v>
      </c>
      <c r="H130">
        <v>77120</v>
      </c>
      <c r="I130">
        <f>Sales_Transactions_Raw[[#This Row],[Unit_Price]]*Sales_Transactions_Raw[[#This Row],[Quantity]]</f>
        <v>77120</v>
      </c>
      <c r="J130">
        <v>1</v>
      </c>
      <c r="K130">
        <v>25</v>
      </c>
      <c r="L130">
        <v>19280</v>
      </c>
      <c r="M130">
        <v>57840</v>
      </c>
      <c r="N130">
        <v>18</v>
      </c>
      <c r="O130">
        <v>10411.200000000001</v>
      </c>
      <c r="P130">
        <v>0</v>
      </c>
      <c r="Q130">
        <v>68251.199999999997</v>
      </c>
      <c r="R130" t="s">
        <v>79</v>
      </c>
      <c r="S130" t="s">
        <v>49</v>
      </c>
      <c r="T130" t="s">
        <v>148</v>
      </c>
      <c r="U130" t="s">
        <v>161</v>
      </c>
      <c r="V130" t="s">
        <v>67</v>
      </c>
      <c r="W130" t="s">
        <v>68</v>
      </c>
      <c r="X130" t="s">
        <v>370</v>
      </c>
      <c r="Y130" t="s">
        <v>151</v>
      </c>
      <c r="Z130" t="s">
        <v>81</v>
      </c>
      <c r="AA130" t="s">
        <v>736</v>
      </c>
      <c r="AB130" t="s">
        <v>3335</v>
      </c>
      <c r="AC130">
        <v>5</v>
      </c>
      <c r="AD130" t="s">
        <v>56</v>
      </c>
      <c r="AE130" t="s">
        <v>3336</v>
      </c>
      <c r="AF130" t="s">
        <v>164</v>
      </c>
      <c r="AG130" t="s">
        <v>85</v>
      </c>
      <c r="AH130" s="1">
        <v>45364</v>
      </c>
      <c r="AI130" s="1">
        <v>45367</v>
      </c>
      <c r="AJ130" s="1">
        <v>45375</v>
      </c>
      <c r="AK130" t="s">
        <v>3449</v>
      </c>
      <c r="AL130" t="s">
        <v>735</v>
      </c>
    </row>
    <row r="131" spans="1:38" x14ac:dyDescent="0.35">
      <c r="A131" t="s">
        <v>737</v>
      </c>
      <c r="B131" t="s">
        <v>172</v>
      </c>
      <c r="C131" t="s">
        <v>43</v>
      </c>
      <c r="D131" t="s">
        <v>158</v>
      </c>
      <c r="E131" t="s">
        <v>159</v>
      </c>
      <c r="F131" t="s">
        <v>46</v>
      </c>
      <c r="G131" t="s">
        <v>105</v>
      </c>
      <c r="H131">
        <v>53140</v>
      </c>
      <c r="I131">
        <f>Sales_Transactions_Raw[[#This Row],[Unit_Price]]*Sales_Transactions_Raw[[#This Row],[Quantity]]</f>
        <v>159420</v>
      </c>
      <c r="J131">
        <v>3</v>
      </c>
      <c r="K131">
        <v>0</v>
      </c>
      <c r="L131">
        <v>0</v>
      </c>
      <c r="M131">
        <v>159420</v>
      </c>
      <c r="N131">
        <v>18</v>
      </c>
      <c r="O131">
        <v>28695.599999999999</v>
      </c>
      <c r="P131">
        <v>0</v>
      </c>
      <c r="Q131">
        <v>188115.6</v>
      </c>
      <c r="R131" t="s">
        <v>92</v>
      </c>
      <c r="S131" t="s">
        <v>93</v>
      </c>
      <c r="T131" t="s">
        <v>66</v>
      </c>
      <c r="U131" t="s">
        <v>214</v>
      </c>
      <c r="V131" t="s">
        <v>197</v>
      </c>
      <c r="W131" t="s">
        <v>68</v>
      </c>
      <c r="X131" t="s">
        <v>137</v>
      </c>
      <c r="Y131" t="s">
        <v>138</v>
      </c>
      <c r="Z131" t="s">
        <v>81</v>
      </c>
      <c r="AA131" t="s">
        <v>739</v>
      </c>
      <c r="AB131" t="s">
        <v>3335</v>
      </c>
      <c r="AC131">
        <v>5</v>
      </c>
      <c r="AD131" t="s">
        <v>56</v>
      </c>
      <c r="AE131" t="s">
        <v>3336</v>
      </c>
      <c r="AF131" t="s">
        <v>99</v>
      </c>
      <c r="AG131" t="s">
        <v>111</v>
      </c>
      <c r="AH131" s="1">
        <v>44929</v>
      </c>
      <c r="AI131" s="1">
        <v>44931</v>
      </c>
      <c r="AJ131" s="1">
        <v>44937</v>
      </c>
      <c r="AK131" t="s">
        <v>3450</v>
      </c>
      <c r="AL131" t="s">
        <v>738</v>
      </c>
    </row>
    <row r="132" spans="1:38" x14ac:dyDescent="0.35">
      <c r="A132" t="s">
        <v>740</v>
      </c>
      <c r="B132" t="s">
        <v>741</v>
      </c>
      <c r="C132" t="s">
        <v>157</v>
      </c>
      <c r="D132" t="s">
        <v>174</v>
      </c>
      <c r="E132" t="s">
        <v>175</v>
      </c>
      <c r="F132" t="s">
        <v>46</v>
      </c>
      <c r="G132" t="s">
        <v>176</v>
      </c>
      <c r="H132">
        <v>1540</v>
      </c>
      <c r="I132">
        <f>Sales_Transactions_Raw[[#This Row],[Unit_Price]]*Sales_Transactions_Raw[[#This Row],[Quantity]]</f>
        <v>4620</v>
      </c>
      <c r="J132">
        <v>3</v>
      </c>
      <c r="K132">
        <v>5</v>
      </c>
      <c r="L132">
        <v>385</v>
      </c>
      <c r="M132">
        <v>7315</v>
      </c>
      <c r="N132">
        <v>18</v>
      </c>
      <c r="O132">
        <v>1316.7</v>
      </c>
      <c r="P132">
        <v>0</v>
      </c>
      <c r="Q132">
        <v>8631.7000000000007</v>
      </c>
      <c r="R132" t="s">
        <v>64</v>
      </c>
      <c r="S132" t="s">
        <v>125</v>
      </c>
      <c r="T132" t="s">
        <v>66</v>
      </c>
      <c r="U132" t="s">
        <v>108</v>
      </c>
      <c r="V132" t="s">
        <v>116</v>
      </c>
      <c r="W132" t="s">
        <v>70</v>
      </c>
      <c r="X132" t="s">
        <v>277</v>
      </c>
      <c r="Y132" t="s">
        <v>127</v>
      </c>
      <c r="Z132" t="s">
        <v>68</v>
      </c>
      <c r="AA132" t="s">
        <v>743</v>
      </c>
      <c r="AB132" t="s">
        <v>3335</v>
      </c>
      <c r="AC132">
        <v>4</v>
      </c>
      <c r="AD132" t="s">
        <v>56</v>
      </c>
      <c r="AE132" t="s">
        <v>3336</v>
      </c>
      <c r="AF132" t="s">
        <v>164</v>
      </c>
      <c r="AG132" t="s">
        <v>58</v>
      </c>
      <c r="AH132" s="1">
        <v>45098</v>
      </c>
      <c r="AI132" s="1">
        <v>45103</v>
      </c>
      <c r="AJ132" s="1">
        <v>44992</v>
      </c>
      <c r="AK132" t="s">
        <v>3451</v>
      </c>
      <c r="AL132" t="s">
        <v>742</v>
      </c>
    </row>
    <row r="133" spans="1:38" x14ac:dyDescent="0.35">
      <c r="A133" t="s">
        <v>744</v>
      </c>
      <c r="B133" t="s">
        <v>731</v>
      </c>
      <c r="C133" t="s">
        <v>89</v>
      </c>
      <c r="D133" t="s">
        <v>183</v>
      </c>
      <c r="E133" t="s">
        <v>184</v>
      </c>
      <c r="F133" t="s">
        <v>185</v>
      </c>
      <c r="G133" t="s">
        <v>186</v>
      </c>
      <c r="H133">
        <v>130</v>
      </c>
      <c r="I133">
        <f>Sales_Transactions_Raw[[#This Row],[Unit_Price]]*Sales_Transactions_Raw[[#This Row],[Quantity]]</f>
        <v>260</v>
      </c>
      <c r="J133">
        <v>2</v>
      </c>
      <c r="K133">
        <v>0</v>
      </c>
      <c r="L133">
        <v>0</v>
      </c>
      <c r="M133">
        <v>260</v>
      </c>
      <c r="N133">
        <v>5</v>
      </c>
      <c r="O133">
        <v>13</v>
      </c>
      <c r="P133">
        <v>49</v>
      </c>
      <c r="Q133">
        <v>273</v>
      </c>
      <c r="R133" t="s">
        <v>106</v>
      </c>
      <c r="S133" t="s">
        <v>93</v>
      </c>
      <c r="T133" t="s">
        <v>136</v>
      </c>
      <c r="U133" t="s">
        <v>108</v>
      </c>
      <c r="V133" t="s">
        <v>177</v>
      </c>
      <c r="W133" t="s">
        <v>81</v>
      </c>
      <c r="X133" t="s">
        <v>69</v>
      </c>
      <c r="Y133" t="s">
        <v>54</v>
      </c>
      <c r="Z133" t="s">
        <v>70</v>
      </c>
      <c r="AA133" t="s">
        <v>746</v>
      </c>
      <c r="AB133" t="s">
        <v>3341</v>
      </c>
      <c r="AC133">
        <v>4</v>
      </c>
      <c r="AD133" t="s">
        <v>56</v>
      </c>
      <c r="AE133" t="s">
        <v>3336</v>
      </c>
      <c r="AF133" t="s">
        <v>57</v>
      </c>
      <c r="AG133" t="s">
        <v>58</v>
      </c>
      <c r="AH133" s="1">
        <v>45055</v>
      </c>
      <c r="AI133" s="1">
        <v>45057</v>
      </c>
      <c r="AJ133" s="1">
        <v>45061</v>
      </c>
      <c r="AK133" t="s">
        <v>3452</v>
      </c>
      <c r="AL133" t="s">
        <v>745</v>
      </c>
    </row>
    <row r="134" spans="1:38" x14ac:dyDescent="0.35">
      <c r="A134" t="s">
        <v>747</v>
      </c>
      <c r="B134" t="s">
        <v>748</v>
      </c>
      <c r="C134" t="s">
        <v>157</v>
      </c>
      <c r="D134" t="s">
        <v>406</v>
      </c>
      <c r="E134" t="s">
        <v>231</v>
      </c>
      <c r="F134" t="s">
        <v>46</v>
      </c>
      <c r="G134" t="s">
        <v>369</v>
      </c>
      <c r="H134">
        <v>89130</v>
      </c>
      <c r="I134">
        <f>Sales_Transactions_Raw[[#This Row],[Unit_Price]]*Sales_Transactions_Raw[[#This Row],[Quantity]]</f>
        <v>267390</v>
      </c>
      <c r="J134">
        <v>3</v>
      </c>
      <c r="K134">
        <v>25</v>
      </c>
      <c r="L134">
        <v>66847.5</v>
      </c>
      <c r="M134">
        <v>200542.5</v>
      </c>
      <c r="N134">
        <v>18</v>
      </c>
      <c r="O134">
        <v>36097.65</v>
      </c>
      <c r="P134">
        <v>0</v>
      </c>
      <c r="Q134">
        <v>236640.15</v>
      </c>
      <c r="R134" t="s">
        <v>92</v>
      </c>
      <c r="S134" t="s">
        <v>93</v>
      </c>
      <c r="T134" t="s">
        <v>115</v>
      </c>
      <c r="U134" t="s">
        <v>161</v>
      </c>
      <c r="V134" t="s">
        <v>116</v>
      </c>
      <c r="W134" t="s">
        <v>70</v>
      </c>
      <c r="X134" t="s">
        <v>750</v>
      </c>
      <c r="Y134" t="s">
        <v>127</v>
      </c>
      <c r="Z134" t="s">
        <v>68</v>
      </c>
      <c r="AA134" t="s">
        <v>751</v>
      </c>
      <c r="AB134" t="s">
        <v>3341</v>
      </c>
      <c r="AC134">
        <v>4</v>
      </c>
      <c r="AD134" t="s">
        <v>56</v>
      </c>
      <c r="AE134" t="s">
        <v>3336</v>
      </c>
      <c r="AF134" t="s">
        <v>217</v>
      </c>
      <c r="AG134" t="s">
        <v>85</v>
      </c>
      <c r="AH134" s="1">
        <v>45146</v>
      </c>
      <c r="AI134" s="1">
        <v>45151</v>
      </c>
      <c r="AJ134" s="1">
        <v>45160</v>
      </c>
      <c r="AK134" t="s">
        <v>3453</v>
      </c>
      <c r="AL134" t="s">
        <v>749</v>
      </c>
    </row>
    <row r="135" spans="1:38" x14ac:dyDescent="0.35">
      <c r="A135" t="s">
        <v>752</v>
      </c>
      <c r="B135" t="s">
        <v>753</v>
      </c>
      <c r="C135" t="s">
        <v>89</v>
      </c>
      <c r="D135" t="s">
        <v>62</v>
      </c>
      <c r="E135" t="s">
        <v>45</v>
      </c>
      <c r="F135" t="s">
        <v>46</v>
      </c>
      <c r="G135" t="s">
        <v>63</v>
      </c>
      <c r="H135">
        <v>58710</v>
      </c>
      <c r="I135">
        <f>Sales_Transactions_Raw[[#This Row],[Unit_Price]]*Sales_Transactions_Raw[[#This Row],[Quantity]]</f>
        <v>410970</v>
      </c>
      <c r="J135">
        <v>7</v>
      </c>
      <c r="K135">
        <v>5</v>
      </c>
      <c r="L135">
        <v>20548.5</v>
      </c>
      <c r="M135">
        <v>390421.5</v>
      </c>
      <c r="N135">
        <v>18</v>
      </c>
      <c r="O135">
        <v>70275.87</v>
      </c>
      <c r="P135">
        <v>0</v>
      </c>
      <c r="Q135">
        <v>460697.37</v>
      </c>
      <c r="R135" t="s">
        <v>48</v>
      </c>
      <c r="S135" t="s">
        <v>107</v>
      </c>
      <c r="T135" t="s">
        <v>115</v>
      </c>
      <c r="U135" t="s">
        <v>161</v>
      </c>
      <c r="V135" t="s">
        <v>80</v>
      </c>
      <c r="W135" t="s">
        <v>81</v>
      </c>
      <c r="X135" t="s">
        <v>469</v>
      </c>
      <c r="Y135" t="s">
        <v>244</v>
      </c>
      <c r="Z135" t="s">
        <v>70</v>
      </c>
      <c r="AA135" t="s">
        <v>755</v>
      </c>
      <c r="AB135" t="s">
        <v>3340</v>
      </c>
      <c r="AC135">
        <v>4</v>
      </c>
      <c r="AD135" t="s">
        <v>56</v>
      </c>
      <c r="AE135" t="s">
        <v>3336</v>
      </c>
      <c r="AF135" t="s">
        <v>153</v>
      </c>
      <c r="AG135" t="s">
        <v>85</v>
      </c>
      <c r="AH135" s="1">
        <v>45331</v>
      </c>
      <c r="AI135" s="1">
        <v>45335</v>
      </c>
      <c r="AJ135" s="1">
        <v>45338</v>
      </c>
      <c r="AK135" t="s">
        <v>3454</v>
      </c>
      <c r="AL135" t="s">
        <v>754</v>
      </c>
    </row>
    <row r="136" spans="1:38" x14ac:dyDescent="0.35">
      <c r="A136" t="s">
        <v>756</v>
      </c>
      <c r="B136" t="s">
        <v>172</v>
      </c>
      <c r="C136" t="s">
        <v>157</v>
      </c>
      <c r="D136" t="s">
        <v>317</v>
      </c>
      <c r="E136" t="s">
        <v>77</v>
      </c>
      <c r="F136" t="s">
        <v>46</v>
      </c>
      <c r="G136" t="s">
        <v>176</v>
      </c>
      <c r="H136">
        <v>31720</v>
      </c>
      <c r="I136">
        <f>Sales_Transactions_Raw[[#This Row],[Unit_Price]]*Sales_Transactions_Raw[[#This Row],[Quantity]]</f>
        <v>63440</v>
      </c>
      <c r="J136">
        <v>2</v>
      </c>
      <c r="K136">
        <v>10</v>
      </c>
      <c r="L136">
        <v>6344</v>
      </c>
      <c r="M136">
        <v>57096</v>
      </c>
      <c r="N136">
        <v>18</v>
      </c>
      <c r="O136">
        <v>10277.280000000001</v>
      </c>
      <c r="P136">
        <v>0</v>
      </c>
      <c r="Q136">
        <v>67373.279999999999</v>
      </c>
      <c r="R136" t="s">
        <v>79</v>
      </c>
      <c r="S136" t="s">
        <v>93</v>
      </c>
      <c r="T136" t="s">
        <v>213</v>
      </c>
      <c r="U136" t="s">
        <v>108</v>
      </c>
      <c r="V136" t="s">
        <v>224</v>
      </c>
      <c r="W136" t="s">
        <v>95</v>
      </c>
      <c r="X136" t="s">
        <v>306</v>
      </c>
      <c r="Y136" t="s">
        <v>97</v>
      </c>
      <c r="Z136" t="s">
        <v>95</v>
      </c>
      <c r="AA136" t="s">
        <v>758</v>
      </c>
      <c r="AB136" t="s">
        <v>3335</v>
      </c>
      <c r="AC136">
        <v>3</v>
      </c>
      <c r="AD136" t="s">
        <v>179</v>
      </c>
      <c r="AE136" t="s">
        <v>3336</v>
      </c>
      <c r="AF136" t="s">
        <v>326</v>
      </c>
      <c r="AG136" t="s">
        <v>85</v>
      </c>
      <c r="AH136" s="1">
        <v>45436</v>
      </c>
      <c r="AI136" s="1">
        <v>45440</v>
      </c>
      <c r="AJ136" s="1">
        <v>45338</v>
      </c>
      <c r="AK136" t="s">
        <v>3455</v>
      </c>
      <c r="AL136" t="s">
        <v>757</v>
      </c>
    </row>
    <row r="137" spans="1:38" x14ac:dyDescent="0.35">
      <c r="A137" t="s">
        <v>759</v>
      </c>
      <c r="B137" t="s">
        <v>741</v>
      </c>
      <c r="C137" t="s">
        <v>89</v>
      </c>
      <c r="D137" t="s">
        <v>504</v>
      </c>
      <c r="E137" t="s">
        <v>91</v>
      </c>
      <c r="F137" t="s">
        <v>134</v>
      </c>
      <c r="G137" t="s">
        <v>330</v>
      </c>
      <c r="H137">
        <v>25900</v>
      </c>
      <c r="I137">
        <f>Sales_Transactions_Raw[[#This Row],[Unit_Price]]*Sales_Transactions_Raw[[#This Row],[Quantity]]</f>
        <v>25900</v>
      </c>
      <c r="J137">
        <v>1</v>
      </c>
      <c r="K137">
        <v>0</v>
      </c>
      <c r="L137">
        <v>0</v>
      </c>
      <c r="M137">
        <v>25900</v>
      </c>
      <c r="N137">
        <v>5</v>
      </c>
      <c r="O137">
        <v>1295</v>
      </c>
      <c r="P137">
        <v>0</v>
      </c>
      <c r="Q137">
        <v>27195</v>
      </c>
      <c r="R137" t="s">
        <v>79</v>
      </c>
      <c r="S137" t="s">
        <v>65</v>
      </c>
      <c r="T137" t="s">
        <v>115</v>
      </c>
      <c r="U137" t="s">
        <v>196</v>
      </c>
      <c r="V137" t="s">
        <v>116</v>
      </c>
      <c r="W137" t="s">
        <v>70</v>
      </c>
      <c r="X137" t="s">
        <v>491</v>
      </c>
      <c r="Y137" t="s">
        <v>358</v>
      </c>
      <c r="Z137" t="s">
        <v>95</v>
      </c>
      <c r="AA137" t="s">
        <v>760</v>
      </c>
      <c r="AB137" t="s">
        <v>3340</v>
      </c>
      <c r="AC137">
        <v>3</v>
      </c>
      <c r="AD137" t="s">
        <v>56</v>
      </c>
      <c r="AE137" t="s">
        <v>3336</v>
      </c>
      <c r="AF137" t="s">
        <v>84</v>
      </c>
      <c r="AG137" t="s">
        <v>58</v>
      </c>
      <c r="AH137" s="1">
        <v>45365</v>
      </c>
      <c r="AI137" s="1">
        <v>45368</v>
      </c>
      <c r="AJ137" s="1">
        <v>45375</v>
      </c>
      <c r="AK137" t="s">
        <v>3456</v>
      </c>
      <c r="AL137" t="s">
        <v>3734</v>
      </c>
    </row>
    <row r="138" spans="1:38" x14ac:dyDescent="0.35">
      <c r="A138" t="s">
        <v>761</v>
      </c>
      <c r="B138" t="s">
        <v>343</v>
      </c>
      <c r="C138" t="s">
        <v>89</v>
      </c>
      <c r="D138" t="s">
        <v>420</v>
      </c>
      <c r="E138" t="s">
        <v>421</v>
      </c>
      <c r="F138" t="s">
        <v>134</v>
      </c>
      <c r="G138" t="s">
        <v>135</v>
      </c>
      <c r="H138">
        <v>3540</v>
      </c>
      <c r="I138">
        <f>Sales_Transactions_Raw[[#This Row],[Unit_Price]]*Sales_Transactions_Raw[[#This Row],[Quantity]]</f>
        <v>3540</v>
      </c>
      <c r="J138">
        <v>1</v>
      </c>
      <c r="K138">
        <v>10</v>
      </c>
      <c r="L138">
        <v>354</v>
      </c>
      <c r="M138">
        <v>3186</v>
      </c>
      <c r="N138">
        <v>5</v>
      </c>
      <c r="O138">
        <v>159.30000000000001</v>
      </c>
      <c r="P138">
        <v>149</v>
      </c>
      <c r="Q138">
        <v>3345.3</v>
      </c>
      <c r="R138" t="s">
        <v>106</v>
      </c>
      <c r="S138" t="s">
        <v>65</v>
      </c>
      <c r="T138" t="s">
        <v>115</v>
      </c>
      <c r="U138" t="s">
        <v>196</v>
      </c>
      <c r="V138" t="s">
        <v>242</v>
      </c>
      <c r="W138" t="s">
        <v>70</v>
      </c>
      <c r="X138" t="s">
        <v>69</v>
      </c>
      <c r="Y138" t="s">
        <v>54</v>
      </c>
      <c r="Z138" t="s">
        <v>70</v>
      </c>
      <c r="AA138" t="s">
        <v>763</v>
      </c>
      <c r="AB138" t="s">
        <v>3335</v>
      </c>
      <c r="AC138">
        <v>5</v>
      </c>
      <c r="AD138" t="s">
        <v>56</v>
      </c>
      <c r="AE138" t="s">
        <v>3336</v>
      </c>
      <c r="AF138" t="s">
        <v>227</v>
      </c>
      <c r="AG138" t="s">
        <v>58</v>
      </c>
      <c r="AH138" s="1">
        <v>45021</v>
      </c>
      <c r="AI138" s="1">
        <v>45027</v>
      </c>
      <c r="AJ138" s="1">
        <v>45030</v>
      </c>
      <c r="AK138" t="s">
        <v>3457</v>
      </c>
      <c r="AL138" t="s">
        <v>762</v>
      </c>
    </row>
    <row r="139" spans="1:38" x14ac:dyDescent="0.35">
      <c r="A139" t="s">
        <v>764</v>
      </c>
      <c r="B139" t="s">
        <v>765</v>
      </c>
      <c r="C139" t="s">
        <v>157</v>
      </c>
      <c r="D139" t="s">
        <v>103</v>
      </c>
      <c r="E139" t="s">
        <v>104</v>
      </c>
      <c r="F139" t="s">
        <v>46</v>
      </c>
      <c r="G139" t="s">
        <v>105</v>
      </c>
      <c r="H139">
        <v>33930</v>
      </c>
      <c r="I139">
        <f>Sales_Transactions_Raw[[#This Row],[Unit_Price]]*Sales_Transactions_Raw[[#This Row],[Quantity]]</f>
        <v>169650</v>
      </c>
      <c r="J139">
        <v>5</v>
      </c>
      <c r="K139">
        <v>5</v>
      </c>
      <c r="L139">
        <v>8482.5</v>
      </c>
      <c r="M139">
        <v>161167.5</v>
      </c>
      <c r="N139">
        <v>18</v>
      </c>
      <c r="O139">
        <v>29010.15</v>
      </c>
      <c r="P139">
        <v>0</v>
      </c>
      <c r="Q139">
        <v>190177.65</v>
      </c>
      <c r="R139" t="s">
        <v>124</v>
      </c>
      <c r="S139" t="s">
        <v>65</v>
      </c>
      <c r="T139" t="s">
        <v>719</v>
      </c>
      <c r="U139" t="s">
        <v>214</v>
      </c>
      <c r="V139" t="s">
        <v>51</v>
      </c>
      <c r="W139" t="s">
        <v>52</v>
      </c>
      <c r="X139" t="s">
        <v>357</v>
      </c>
      <c r="Y139" t="s">
        <v>358</v>
      </c>
      <c r="Z139" t="s">
        <v>95</v>
      </c>
      <c r="AA139" t="s">
        <v>767</v>
      </c>
      <c r="AB139" t="s">
        <v>3343</v>
      </c>
      <c r="AC139">
        <v>2</v>
      </c>
      <c r="AD139" t="s">
        <v>56</v>
      </c>
      <c r="AE139" t="s">
        <v>3336</v>
      </c>
      <c r="AF139" t="s">
        <v>140</v>
      </c>
      <c r="AG139" t="s">
        <v>3337</v>
      </c>
      <c r="AH139" s="1">
        <v>45043</v>
      </c>
      <c r="AI139" s="1">
        <v>45045</v>
      </c>
      <c r="AJ139" s="1">
        <v>45050</v>
      </c>
      <c r="AK139" t="s">
        <v>3458</v>
      </c>
      <c r="AL139" t="s">
        <v>766</v>
      </c>
    </row>
    <row r="140" spans="1:38" x14ac:dyDescent="0.35">
      <c r="A140" t="s">
        <v>768</v>
      </c>
      <c r="B140" t="s">
        <v>386</v>
      </c>
      <c r="C140" t="s">
        <v>89</v>
      </c>
      <c r="D140" t="s">
        <v>704</v>
      </c>
      <c r="E140" t="s">
        <v>705</v>
      </c>
      <c r="F140" t="s">
        <v>285</v>
      </c>
      <c r="G140" t="s">
        <v>706</v>
      </c>
      <c r="H140">
        <v>300</v>
      </c>
      <c r="I140">
        <f>Sales_Transactions_Raw[[#This Row],[Unit_Price]]*Sales_Transactions_Raw[[#This Row],[Quantity]]</f>
        <v>300</v>
      </c>
      <c r="J140">
        <v>1</v>
      </c>
      <c r="K140">
        <v>5</v>
      </c>
      <c r="L140">
        <v>15</v>
      </c>
      <c r="M140">
        <v>285</v>
      </c>
      <c r="N140">
        <v>5</v>
      </c>
      <c r="O140">
        <v>14.25</v>
      </c>
      <c r="P140">
        <v>99</v>
      </c>
      <c r="Q140">
        <v>299.25</v>
      </c>
      <c r="R140" t="s">
        <v>79</v>
      </c>
      <c r="S140" t="s">
        <v>93</v>
      </c>
      <c r="T140" t="s">
        <v>148</v>
      </c>
      <c r="U140" t="s">
        <v>50</v>
      </c>
      <c r="V140" t="s">
        <v>197</v>
      </c>
      <c r="W140" t="s">
        <v>68</v>
      </c>
      <c r="X140" t="s">
        <v>491</v>
      </c>
      <c r="Y140" t="s">
        <v>358</v>
      </c>
      <c r="Z140" t="s">
        <v>95</v>
      </c>
      <c r="AA140" t="s">
        <v>770</v>
      </c>
      <c r="AB140" t="s">
        <v>3344</v>
      </c>
      <c r="AC140">
        <v>4</v>
      </c>
      <c r="AD140" t="s">
        <v>56</v>
      </c>
      <c r="AE140" t="s">
        <v>3336</v>
      </c>
      <c r="AF140" t="s">
        <v>140</v>
      </c>
      <c r="AG140" t="s">
        <v>58</v>
      </c>
      <c r="AH140" s="1">
        <v>45168</v>
      </c>
      <c r="AI140" s="1">
        <v>45172</v>
      </c>
      <c r="AJ140" s="1">
        <v>45177</v>
      </c>
      <c r="AK140" t="s">
        <v>3459</v>
      </c>
      <c r="AL140" t="s">
        <v>769</v>
      </c>
    </row>
    <row r="141" spans="1:38" x14ac:dyDescent="0.35">
      <c r="A141" t="s">
        <v>771</v>
      </c>
      <c r="B141" t="s">
        <v>772</v>
      </c>
      <c r="C141" t="s">
        <v>43</v>
      </c>
      <c r="D141" t="s">
        <v>350</v>
      </c>
      <c r="E141" t="s">
        <v>351</v>
      </c>
      <c r="F141" t="s">
        <v>211</v>
      </c>
      <c r="G141" t="s">
        <v>352</v>
      </c>
      <c r="H141">
        <v>47010</v>
      </c>
      <c r="I141">
        <f>Sales_Transactions_Raw[[#This Row],[Unit_Price]]*Sales_Transactions_Raw[[#This Row],[Quantity]]</f>
        <v>47010</v>
      </c>
      <c r="J141">
        <v>1</v>
      </c>
      <c r="K141">
        <v>5</v>
      </c>
      <c r="L141">
        <v>2350.5</v>
      </c>
      <c r="M141">
        <v>44659.5</v>
      </c>
      <c r="N141">
        <v>5</v>
      </c>
      <c r="O141">
        <v>2232.9699999999998</v>
      </c>
      <c r="P141">
        <v>0</v>
      </c>
      <c r="Q141">
        <v>46892.47</v>
      </c>
      <c r="R141" t="s">
        <v>106</v>
      </c>
      <c r="S141" t="s">
        <v>125</v>
      </c>
      <c r="T141" t="s">
        <v>66</v>
      </c>
      <c r="U141" t="s">
        <v>161</v>
      </c>
      <c r="V141" t="s">
        <v>197</v>
      </c>
      <c r="W141" t="s">
        <v>68</v>
      </c>
      <c r="X141" t="s">
        <v>599</v>
      </c>
      <c r="Y141" t="s">
        <v>319</v>
      </c>
      <c r="Z141" t="s">
        <v>95</v>
      </c>
      <c r="AA141" t="s">
        <v>773</v>
      </c>
      <c r="AB141" t="s">
        <v>3340</v>
      </c>
      <c r="AC141">
        <v>5</v>
      </c>
      <c r="AD141" t="s">
        <v>56</v>
      </c>
      <c r="AE141" t="s">
        <v>3336</v>
      </c>
      <c r="AF141" t="s">
        <v>99</v>
      </c>
      <c r="AG141" t="s">
        <v>3337</v>
      </c>
      <c r="AH141" s="1">
        <v>45343</v>
      </c>
      <c r="AI141" s="1">
        <v>45350</v>
      </c>
      <c r="AJ141" s="1">
        <v>45352</v>
      </c>
      <c r="AK141" t="s">
        <v>3460</v>
      </c>
      <c r="AL141" t="s">
        <v>3735</v>
      </c>
    </row>
    <row r="142" spans="1:38" x14ac:dyDescent="0.35">
      <c r="A142" t="s">
        <v>774</v>
      </c>
      <c r="B142" t="s">
        <v>333</v>
      </c>
      <c r="C142" t="s">
        <v>43</v>
      </c>
      <c r="D142" t="s">
        <v>132</v>
      </c>
      <c r="E142" t="s">
        <v>133</v>
      </c>
      <c r="F142" t="s">
        <v>134</v>
      </c>
      <c r="G142" t="s">
        <v>135</v>
      </c>
      <c r="H142">
        <v>2830</v>
      </c>
      <c r="I142">
        <f>Sales_Transactions_Raw[[#This Row],[Unit_Price]]*Sales_Transactions_Raw[[#This Row],[Quantity]]</f>
        <v>2830</v>
      </c>
      <c r="J142">
        <v>1</v>
      </c>
      <c r="K142">
        <v>10</v>
      </c>
      <c r="L142">
        <v>283</v>
      </c>
      <c r="M142">
        <v>2547</v>
      </c>
      <c r="N142">
        <v>5</v>
      </c>
      <c r="O142">
        <v>127.35</v>
      </c>
      <c r="P142">
        <v>79</v>
      </c>
      <c r="Q142">
        <v>2674.35</v>
      </c>
      <c r="R142" t="s">
        <v>124</v>
      </c>
      <c r="S142" t="s">
        <v>49</v>
      </c>
      <c r="T142" t="s">
        <v>213</v>
      </c>
      <c r="U142" t="s">
        <v>196</v>
      </c>
      <c r="V142" t="s">
        <v>80</v>
      </c>
      <c r="W142" t="s">
        <v>81</v>
      </c>
      <c r="X142" t="s">
        <v>318</v>
      </c>
      <c r="Y142" t="s">
        <v>319</v>
      </c>
      <c r="Z142" t="s">
        <v>95</v>
      </c>
      <c r="AA142" t="s">
        <v>776</v>
      </c>
      <c r="AB142" t="s">
        <v>3343</v>
      </c>
      <c r="AC142">
        <v>4</v>
      </c>
      <c r="AD142" t="s">
        <v>179</v>
      </c>
      <c r="AE142" t="s">
        <v>180</v>
      </c>
      <c r="AF142" t="s">
        <v>279</v>
      </c>
      <c r="AG142" t="s">
        <v>3342</v>
      </c>
      <c r="AH142" s="1">
        <v>45329</v>
      </c>
      <c r="AI142" s="1">
        <v>45333</v>
      </c>
      <c r="AJ142" s="1">
        <v>45338</v>
      </c>
      <c r="AK142" t="s">
        <v>3461</v>
      </c>
      <c r="AL142" t="s">
        <v>775</v>
      </c>
    </row>
    <row r="143" spans="1:38" x14ac:dyDescent="0.35">
      <c r="A143" t="s">
        <v>777</v>
      </c>
      <c r="B143" t="s">
        <v>379</v>
      </c>
      <c r="C143" t="s">
        <v>43</v>
      </c>
      <c r="D143" t="s">
        <v>294</v>
      </c>
      <c r="E143" t="s">
        <v>295</v>
      </c>
      <c r="F143" t="s">
        <v>146</v>
      </c>
      <c r="G143" t="s">
        <v>296</v>
      </c>
      <c r="H143">
        <v>13360</v>
      </c>
      <c r="I143">
        <f>Sales_Transactions_Raw[[#This Row],[Unit_Price]]*Sales_Transactions_Raw[[#This Row],[Quantity]]</f>
        <v>26720</v>
      </c>
      <c r="J143">
        <v>2</v>
      </c>
      <c r="K143">
        <v>5</v>
      </c>
      <c r="L143">
        <v>1336</v>
      </c>
      <c r="M143">
        <v>25384</v>
      </c>
      <c r="N143">
        <v>12</v>
      </c>
      <c r="O143">
        <v>3046.08</v>
      </c>
      <c r="P143">
        <v>0</v>
      </c>
      <c r="Q143">
        <v>28430.080000000002</v>
      </c>
      <c r="R143" t="s">
        <v>160</v>
      </c>
      <c r="S143" t="s">
        <v>125</v>
      </c>
      <c r="T143" t="s">
        <v>115</v>
      </c>
      <c r="U143" t="s">
        <v>108</v>
      </c>
      <c r="V143" t="s">
        <v>287</v>
      </c>
      <c r="W143" t="s">
        <v>95</v>
      </c>
      <c r="X143" t="s">
        <v>243</v>
      </c>
      <c r="Y143" t="s">
        <v>244</v>
      </c>
      <c r="Z143" t="s">
        <v>70</v>
      </c>
      <c r="AA143" t="s">
        <v>779</v>
      </c>
      <c r="AB143" t="s">
        <v>3340</v>
      </c>
      <c r="AC143">
        <v>4</v>
      </c>
      <c r="AD143" t="s">
        <v>56</v>
      </c>
      <c r="AE143" t="s">
        <v>3336</v>
      </c>
      <c r="AF143" t="s">
        <v>164</v>
      </c>
      <c r="AG143" t="s">
        <v>85</v>
      </c>
      <c r="AH143" s="1">
        <v>45407</v>
      </c>
      <c r="AI143" s="1">
        <v>45409</v>
      </c>
      <c r="AJ143" s="1">
        <v>45416</v>
      </c>
      <c r="AK143" t="s">
        <v>3462</v>
      </c>
      <c r="AL143" t="s">
        <v>778</v>
      </c>
    </row>
    <row r="144" spans="1:38" x14ac:dyDescent="0.35">
      <c r="A144" t="s">
        <v>780</v>
      </c>
      <c r="B144" t="s">
        <v>781</v>
      </c>
      <c r="C144" t="s">
        <v>43</v>
      </c>
      <c r="D144" t="s">
        <v>283</v>
      </c>
      <c r="E144" t="s">
        <v>284</v>
      </c>
      <c r="F144" t="s">
        <v>285</v>
      </c>
      <c r="G144" t="s">
        <v>286</v>
      </c>
      <c r="H144">
        <v>470</v>
      </c>
      <c r="I144">
        <f>Sales_Transactions_Raw[[#This Row],[Unit_Price]]*Sales_Transactions_Raw[[#This Row],[Quantity]]</f>
        <v>9400</v>
      </c>
      <c r="J144">
        <v>20</v>
      </c>
      <c r="K144">
        <v>0</v>
      </c>
      <c r="L144">
        <v>0</v>
      </c>
      <c r="M144">
        <v>9400</v>
      </c>
      <c r="N144">
        <v>5</v>
      </c>
      <c r="O144">
        <v>470</v>
      </c>
      <c r="P144">
        <v>0</v>
      </c>
      <c r="Q144">
        <v>9870</v>
      </c>
      <c r="R144" t="s">
        <v>64</v>
      </c>
      <c r="S144" t="s">
        <v>93</v>
      </c>
      <c r="T144" t="s">
        <v>148</v>
      </c>
      <c r="U144" t="s">
        <v>108</v>
      </c>
      <c r="V144" t="s">
        <v>94</v>
      </c>
      <c r="W144" t="s">
        <v>95</v>
      </c>
      <c r="X144" t="s">
        <v>96</v>
      </c>
      <c r="Y144" t="s">
        <v>97</v>
      </c>
      <c r="Z144" t="s">
        <v>95</v>
      </c>
      <c r="AA144" t="s">
        <v>783</v>
      </c>
      <c r="AB144" t="s">
        <v>3341</v>
      </c>
      <c r="AC144">
        <v>4</v>
      </c>
      <c r="AD144" t="s">
        <v>56</v>
      </c>
      <c r="AE144" t="s">
        <v>3336</v>
      </c>
      <c r="AF144" t="s">
        <v>140</v>
      </c>
      <c r="AG144" t="s">
        <v>85</v>
      </c>
      <c r="AH144" s="1">
        <v>45247</v>
      </c>
      <c r="AI144" s="1">
        <v>45251</v>
      </c>
      <c r="AJ144" s="1">
        <v>45255</v>
      </c>
      <c r="AK144" t="s">
        <v>3463</v>
      </c>
      <c r="AL144" t="s">
        <v>782</v>
      </c>
    </row>
    <row r="145" spans="1:38" x14ac:dyDescent="0.35">
      <c r="A145" t="s">
        <v>784</v>
      </c>
      <c r="B145" t="s">
        <v>613</v>
      </c>
      <c r="C145" t="s">
        <v>131</v>
      </c>
      <c r="D145" t="s">
        <v>266</v>
      </c>
      <c r="E145" t="s">
        <v>267</v>
      </c>
      <c r="F145" t="s">
        <v>211</v>
      </c>
      <c r="G145" t="s">
        <v>268</v>
      </c>
      <c r="H145">
        <v>51310</v>
      </c>
      <c r="I145">
        <f>Sales_Transactions_Raw[[#This Row],[Unit_Price]]*Sales_Transactions_Raw[[#This Row],[Quantity]]</f>
        <v>51310</v>
      </c>
      <c r="J145">
        <v>1</v>
      </c>
      <c r="K145">
        <v>15</v>
      </c>
      <c r="L145">
        <v>7696.5</v>
      </c>
      <c r="M145">
        <v>43613.5</v>
      </c>
      <c r="N145">
        <v>5</v>
      </c>
      <c r="O145">
        <v>2180.6799999999998</v>
      </c>
      <c r="P145">
        <v>0</v>
      </c>
      <c r="Q145">
        <v>45794.18</v>
      </c>
      <c r="R145" t="s">
        <v>124</v>
      </c>
      <c r="S145" t="s">
        <v>125</v>
      </c>
      <c r="T145" t="s">
        <v>66</v>
      </c>
      <c r="U145" t="s">
        <v>50</v>
      </c>
      <c r="V145" t="s">
        <v>116</v>
      </c>
      <c r="W145" t="s">
        <v>70</v>
      </c>
      <c r="X145" t="s">
        <v>150</v>
      </c>
      <c r="Y145" t="s">
        <v>151</v>
      </c>
      <c r="Z145" t="s">
        <v>81</v>
      </c>
      <c r="AA145" t="s">
        <v>786</v>
      </c>
      <c r="AB145" t="s">
        <v>3335</v>
      </c>
      <c r="AC145">
        <v>4</v>
      </c>
      <c r="AD145" t="s">
        <v>179</v>
      </c>
      <c r="AE145" t="s">
        <v>3336</v>
      </c>
      <c r="AF145" t="s">
        <v>99</v>
      </c>
      <c r="AG145" t="s">
        <v>3337</v>
      </c>
      <c r="AH145" s="1">
        <v>45330</v>
      </c>
      <c r="AI145" s="1">
        <v>45333</v>
      </c>
      <c r="AJ145" s="1">
        <v>45336</v>
      </c>
      <c r="AK145" t="s">
        <v>3464</v>
      </c>
      <c r="AL145" t="s">
        <v>785</v>
      </c>
    </row>
    <row r="146" spans="1:38" x14ac:dyDescent="0.35">
      <c r="A146" t="s">
        <v>787</v>
      </c>
      <c r="B146" t="s">
        <v>113</v>
      </c>
      <c r="C146" t="s">
        <v>43</v>
      </c>
      <c r="D146" t="s">
        <v>317</v>
      </c>
      <c r="E146" t="s">
        <v>77</v>
      </c>
      <c r="F146" t="s">
        <v>46</v>
      </c>
      <c r="G146" t="s">
        <v>176</v>
      </c>
      <c r="H146">
        <v>31220</v>
      </c>
      <c r="I146">
        <f>Sales_Transactions_Raw[[#This Row],[Unit_Price]]*Sales_Transactions_Raw[[#This Row],[Quantity]]</f>
        <v>62440</v>
      </c>
      <c r="J146">
        <v>2</v>
      </c>
      <c r="K146">
        <v>15</v>
      </c>
      <c r="L146">
        <v>9366</v>
      </c>
      <c r="M146">
        <v>53074</v>
      </c>
      <c r="N146">
        <v>18</v>
      </c>
      <c r="O146">
        <v>9553.32</v>
      </c>
      <c r="P146">
        <v>0</v>
      </c>
      <c r="Q146">
        <v>62627.32</v>
      </c>
      <c r="R146" t="s">
        <v>124</v>
      </c>
      <c r="S146" t="s">
        <v>93</v>
      </c>
      <c r="T146" t="s">
        <v>66</v>
      </c>
      <c r="U146" t="s">
        <v>108</v>
      </c>
      <c r="V146" t="s">
        <v>269</v>
      </c>
      <c r="W146" t="s">
        <v>70</v>
      </c>
      <c r="X146" t="s">
        <v>340</v>
      </c>
      <c r="Y146" t="s">
        <v>169</v>
      </c>
      <c r="Z146" t="s">
        <v>95</v>
      </c>
      <c r="AA146" t="s">
        <v>789</v>
      </c>
      <c r="AB146" t="s">
        <v>3339</v>
      </c>
      <c r="AC146">
        <v>4</v>
      </c>
      <c r="AD146" t="s">
        <v>179</v>
      </c>
      <c r="AE146" t="s">
        <v>476</v>
      </c>
      <c r="AF146" t="s">
        <v>84</v>
      </c>
      <c r="AG146" t="s">
        <v>58</v>
      </c>
      <c r="AH146" s="1">
        <v>45324</v>
      </c>
      <c r="AI146" s="1">
        <v>45328</v>
      </c>
      <c r="AJ146" s="1">
        <v>45334</v>
      </c>
      <c r="AK146" t="s">
        <v>3465</v>
      </c>
      <c r="AL146" t="s">
        <v>788</v>
      </c>
    </row>
    <row r="147" spans="1:38" x14ac:dyDescent="0.35">
      <c r="A147" t="s">
        <v>790</v>
      </c>
      <c r="B147" t="s">
        <v>130</v>
      </c>
      <c r="C147" t="s">
        <v>43</v>
      </c>
      <c r="D147" t="s">
        <v>174</v>
      </c>
      <c r="E147" t="s">
        <v>175</v>
      </c>
      <c r="F147" t="s">
        <v>46</v>
      </c>
      <c r="G147" t="s">
        <v>176</v>
      </c>
      <c r="H147">
        <v>1560</v>
      </c>
      <c r="I147">
        <f>Sales_Transactions_Raw[[#This Row],[Unit_Price]]*Sales_Transactions_Raw[[#This Row],[Quantity]]</f>
        <v>6240</v>
      </c>
      <c r="J147">
        <v>4</v>
      </c>
      <c r="K147">
        <v>5</v>
      </c>
      <c r="L147">
        <v>312</v>
      </c>
      <c r="M147">
        <v>5928</v>
      </c>
      <c r="N147">
        <v>18</v>
      </c>
      <c r="O147">
        <v>1067.04</v>
      </c>
      <c r="P147">
        <v>0</v>
      </c>
      <c r="Q147">
        <v>6995.04</v>
      </c>
      <c r="R147" t="s">
        <v>92</v>
      </c>
      <c r="S147" t="s">
        <v>49</v>
      </c>
      <c r="T147" t="s">
        <v>136</v>
      </c>
      <c r="U147" t="s">
        <v>214</v>
      </c>
      <c r="V147" t="s">
        <v>287</v>
      </c>
      <c r="W147" t="s">
        <v>95</v>
      </c>
      <c r="X147" t="s">
        <v>357</v>
      </c>
      <c r="Y147" t="s">
        <v>358</v>
      </c>
      <c r="Z147" t="s">
        <v>95</v>
      </c>
      <c r="AA147" t="s">
        <v>792</v>
      </c>
      <c r="AB147" t="s">
        <v>3343</v>
      </c>
      <c r="AC147">
        <v>4</v>
      </c>
      <c r="AD147" t="s">
        <v>179</v>
      </c>
      <c r="AE147" t="s">
        <v>3336</v>
      </c>
      <c r="AF147" t="s">
        <v>140</v>
      </c>
      <c r="AG147" t="s">
        <v>58</v>
      </c>
      <c r="AH147" s="1">
        <v>45012</v>
      </c>
      <c r="AI147" s="1">
        <v>45016</v>
      </c>
      <c r="AJ147" s="1">
        <v>45022</v>
      </c>
      <c r="AK147" t="s">
        <v>3352</v>
      </c>
      <c r="AL147" t="s">
        <v>791</v>
      </c>
    </row>
    <row r="148" spans="1:38" x14ac:dyDescent="0.35">
      <c r="A148" t="s">
        <v>793</v>
      </c>
      <c r="B148" t="s">
        <v>315</v>
      </c>
      <c r="C148" t="s">
        <v>43</v>
      </c>
      <c r="D148" t="s">
        <v>335</v>
      </c>
      <c r="E148" t="s">
        <v>336</v>
      </c>
      <c r="F148" t="s">
        <v>134</v>
      </c>
      <c r="G148" t="s">
        <v>135</v>
      </c>
      <c r="H148">
        <v>10570</v>
      </c>
      <c r="I148">
        <f>Sales_Transactions_Raw[[#This Row],[Unit_Price]]*Sales_Transactions_Raw[[#This Row],[Quantity]]</f>
        <v>21140</v>
      </c>
      <c r="J148">
        <v>2</v>
      </c>
      <c r="K148">
        <v>10</v>
      </c>
      <c r="L148">
        <v>2114</v>
      </c>
      <c r="M148">
        <v>19026</v>
      </c>
      <c r="N148">
        <v>5</v>
      </c>
      <c r="O148">
        <v>951.3</v>
      </c>
      <c r="P148">
        <v>0</v>
      </c>
      <c r="Q148">
        <v>19977.3</v>
      </c>
      <c r="R148" t="s">
        <v>160</v>
      </c>
      <c r="S148" t="s">
        <v>93</v>
      </c>
      <c r="T148" t="s">
        <v>115</v>
      </c>
      <c r="U148" t="s">
        <v>108</v>
      </c>
      <c r="V148" t="s">
        <v>116</v>
      </c>
      <c r="W148" t="s">
        <v>70</v>
      </c>
      <c r="X148" t="s">
        <v>137</v>
      </c>
      <c r="Y148" t="s">
        <v>138</v>
      </c>
      <c r="Z148" t="s">
        <v>81</v>
      </c>
      <c r="AA148" t="s">
        <v>795</v>
      </c>
      <c r="AB148" t="s">
        <v>3344</v>
      </c>
      <c r="AC148">
        <v>4</v>
      </c>
      <c r="AD148" t="s">
        <v>56</v>
      </c>
      <c r="AE148" t="s">
        <v>3336</v>
      </c>
      <c r="AF148" t="s">
        <v>57</v>
      </c>
      <c r="AG148" t="s">
        <v>58</v>
      </c>
      <c r="AH148" s="1">
        <v>45097</v>
      </c>
      <c r="AI148" s="1">
        <v>45099</v>
      </c>
      <c r="AJ148" s="1">
        <v>45108</v>
      </c>
      <c r="AK148" t="s">
        <v>3466</v>
      </c>
      <c r="AL148" t="s">
        <v>794</v>
      </c>
    </row>
    <row r="149" spans="1:38" x14ac:dyDescent="0.35">
      <c r="A149" t="s">
        <v>796</v>
      </c>
      <c r="B149" t="s">
        <v>533</v>
      </c>
      <c r="C149" t="s">
        <v>157</v>
      </c>
      <c r="D149" t="s">
        <v>221</v>
      </c>
      <c r="E149" t="s">
        <v>222</v>
      </c>
      <c r="F149" t="s">
        <v>146</v>
      </c>
      <c r="G149" t="s">
        <v>223</v>
      </c>
      <c r="H149">
        <v>2760</v>
      </c>
      <c r="I149">
        <f>Sales_Transactions_Raw[[#This Row],[Unit_Price]]*Sales_Transactions_Raw[[#This Row],[Quantity]]</f>
        <v>5520</v>
      </c>
      <c r="J149">
        <v>2</v>
      </c>
      <c r="K149">
        <v>20</v>
      </c>
      <c r="L149">
        <v>1104</v>
      </c>
      <c r="M149">
        <v>4416</v>
      </c>
      <c r="N149">
        <v>12</v>
      </c>
      <c r="O149">
        <v>529.91999999999996</v>
      </c>
      <c r="P149">
        <v>99</v>
      </c>
      <c r="Q149">
        <v>4945.92</v>
      </c>
      <c r="R149" t="s">
        <v>106</v>
      </c>
      <c r="S149" t="s">
        <v>49</v>
      </c>
      <c r="T149" t="s">
        <v>136</v>
      </c>
      <c r="U149" t="s">
        <v>50</v>
      </c>
      <c r="V149" t="s">
        <v>297</v>
      </c>
      <c r="W149" t="s">
        <v>52</v>
      </c>
      <c r="X149" t="s">
        <v>150</v>
      </c>
      <c r="Y149" t="s">
        <v>151</v>
      </c>
      <c r="Z149" t="s">
        <v>81</v>
      </c>
      <c r="AA149" t="s">
        <v>798</v>
      </c>
      <c r="AB149" t="s">
        <v>3341</v>
      </c>
      <c r="AC149">
        <v>2</v>
      </c>
      <c r="AD149" t="s">
        <v>56</v>
      </c>
      <c r="AE149" t="s">
        <v>3336</v>
      </c>
      <c r="AF149" t="s">
        <v>84</v>
      </c>
      <c r="AG149" t="s">
        <v>58</v>
      </c>
      <c r="AH149" s="1">
        <v>45406</v>
      </c>
      <c r="AI149" s="1">
        <v>45408</v>
      </c>
      <c r="AJ149" s="1">
        <v>45414</v>
      </c>
      <c r="AK149" t="s">
        <v>3414</v>
      </c>
      <c r="AL149" t="s">
        <v>797</v>
      </c>
    </row>
    <row r="150" spans="1:38" x14ac:dyDescent="0.35">
      <c r="A150" t="s">
        <v>799</v>
      </c>
      <c r="B150" t="s">
        <v>113</v>
      </c>
      <c r="C150" t="s">
        <v>157</v>
      </c>
      <c r="D150" t="s">
        <v>209</v>
      </c>
      <c r="E150" t="s">
        <v>210</v>
      </c>
      <c r="F150" t="s">
        <v>211</v>
      </c>
      <c r="G150" t="s">
        <v>212</v>
      </c>
      <c r="H150">
        <v>4840</v>
      </c>
      <c r="I150">
        <f>Sales_Transactions_Raw[[#This Row],[Unit_Price]]*Sales_Transactions_Raw[[#This Row],[Quantity]]</f>
        <v>24200</v>
      </c>
      <c r="J150">
        <v>5</v>
      </c>
      <c r="K150">
        <v>15</v>
      </c>
      <c r="L150">
        <v>3630</v>
      </c>
      <c r="M150">
        <v>20570</v>
      </c>
      <c r="N150">
        <v>5</v>
      </c>
      <c r="O150">
        <v>1028.5</v>
      </c>
      <c r="P150">
        <v>0</v>
      </c>
      <c r="Q150">
        <v>21598.5</v>
      </c>
      <c r="R150" t="s">
        <v>106</v>
      </c>
      <c r="S150" t="s">
        <v>65</v>
      </c>
      <c r="T150" t="s">
        <v>66</v>
      </c>
      <c r="U150" t="s">
        <v>50</v>
      </c>
      <c r="V150" t="s">
        <v>116</v>
      </c>
      <c r="W150" t="s">
        <v>70</v>
      </c>
      <c r="X150" t="s">
        <v>411</v>
      </c>
      <c r="Y150" t="s">
        <v>151</v>
      </c>
      <c r="Z150" t="s">
        <v>81</v>
      </c>
      <c r="AA150" t="s">
        <v>801</v>
      </c>
      <c r="AB150" t="s">
        <v>3339</v>
      </c>
      <c r="AC150">
        <v>4</v>
      </c>
      <c r="AD150" t="s">
        <v>56</v>
      </c>
      <c r="AE150" t="s">
        <v>3336</v>
      </c>
      <c r="AF150" t="s">
        <v>72</v>
      </c>
      <c r="AG150" t="s">
        <v>85</v>
      </c>
      <c r="AH150" s="1">
        <v>44978</v>
      </c>
      <c r="AI150" s="1">
        <v>44982</v>
      </c>
      <c r="AJ150" s="1">
        <v>44991</v>
      </c>
      <c r="AK150" t="s">
        <v>3467</v>
      </c>
      <c r="AL150" t="s">
        <v>800</v>
      </c>
    </row>
    <row r="151" spans="1:38" x14ac:dyDescent="0.35">
      <c r="A151" t="s">
        <v>802</v>
      </c>
      <c r="B151" t="s">
        <v>803</v>
      </c>
      <c r="C151" t="s">
        <v>43</v>
      </c>
      <c r="D151" t="s">
        <v>667</v>
      </c>
      <c r="E151" t="s">
        <v>668</v>
      </c>
      <c r="F151" t="s">
        <v>146</v>
      </c>
      <c r="G151" t="s">
        <v>195</v>
      </c>
      <c r="H151">
        <v>9020</v>
      </c>
      <c r="I151">
        <f>Sales_Transactions_Raw[[#This Row],[Unit_Price]]*Sales_Transactions_Raw[[#This Row],[Quantity]]</f>
        <v>36080</v>
      </c>
      <c r="J151">
        <v>4</v>
      </c>
      <c r="K151">
        <v>0</v>
      </c>
      <c r="L151">
        <v>0</v>
      </c>
      <c r="M151">
        <v>36080</v>
      </c>
      <c r="N151">
        <v>12</v>
      </c>
      <c r="O151">
        <v>4329.6000000000004</v>
      </c>
      <c r="P151">
        <v>0</v>
      </c>
      <c r="Q151">
        <v>40409.599999999999</v>
      </c>
      <c r="R151" t="s">
        <v>124</v>
      </c>
      <c r="S151" t="s">
        <v>49</v>
      </c>
      <c r="T151" t="s">
        <v>115</v>
      </c>
      <c r="U151" t="s">
        <v>161</v>
      </c>
      <c r="V151" t="s">
        <v>297</v>
      </c>
      <c r="W151" t="s">
        <v>52</v>
      </c>
      <c r="X151" t="s">
        <v>150</v>
      </c>
      <c r="Y151" t="s">
        <v>151</v>
      </c>
      <c r="Z151" t="s">
        <v>81</v>
      </c>
      <c r="AA151" t="s">
        <v>805</v>
      </c>
      <c r="AB151" t="s">
        <v>3339</v>
      </c>
      <c r="AC151">
        <v>3</v>
      </c>
      <c r="AD151" t="s">
        <v>56</v>
      </c>
      <c r="AE151" t="s">
        <v>3336</v>
      </c>
      <c r="AF151" t="s">
        <v>84</v>
      </c>
      <c r="AG151" t="s">
        <v>3342</v>
      </c>
      <c r="AH151" s="1">
        <v>44957</v>
      </c>
      <c r="AI151" s="1">
        <v>44961</v>
      </c>
      <c r="AJ151" s="1">
        <v>44965</v>
      </c>
      <c r="AK151" t="s">
        <v>3468</v>
      </c>
      <c r="AL151" t="s">
        <v>804</v>
      </c>
    </row>
    <row r="152" spans="1:38" x14ac:dyDescent="0.35">
      <c r="A152" t="s">
        <v>806</v>
      </c>
      <c r="B152" t="s">
        <v>605</v>
      </c>
      <c r="C152" t="s">
        <v>157</v>
      </c>
      <c r="D152" t="s">
        <v>667</v>
      </c>
      <c r="E152" t="s">
        <v>668</v>
      </c>
      <c r="F152" t="s">
        <v>146</v>
      </c>
      <c r="G152" t="s">
        <v>195</v>
      </c>
      <c r="H152">
        <v>9370</v>
      </c>
      <c r="I152">
        <f>Sales_Transactions_Raw[[#This Row],[Unit_Price]]*Sales_Transactions_Raw[[#This Row],[Quantity]]</f>
        <v>28110</v>
      </c>
      <c r="J152">
        <v>3</v>
      </c>
      <c r="K152">
        <v>0</v>
      </c>
      <c r="L152">
        <v>0</v>
      </c>
      <c r="M152">
        <v>28110</v>
      </c>
      <c r="N152">
        <v>12</v>
      </c>
      <c r="O152">
        <v>3373.2</v>
      </c>
      <c r="P152">
        <v>0</v>
      </c>
      <c r="Q152">
        <v>31483.200000000001</v>
      </c>
      <c r="R152" t="s">
        <v>106</v>
      </c>
      <c r="S152" t="s">
        <v>107</v>
      </c>
      <c r="T152" t="s">
        <v>115</v>
      </c>
      <c r="U152" t="s">
        <v>50</v>
      </c>
      <c r="V152" t="s">
        <v>177</v>
      </c>
      <c r="W152" t="s">
        <v>81</v>
      </c>
      <c r="X152" t="s">
        <v>510</v>
      </c>
      <c r="Y152" t="s">
        <v>199</v>
      </c>
      <c r="Z152" t="s">
        <v>52</v>
      </c>
      <c r="AA152" t="s">
        <v>808</v>
      </c>
      <c r="AB152" t="s">
        <v>3338</v>
      </c>
      <c r="AC152">
        <v>4</v>
      </c>
      <c r="AD152" t="s">
        <v>56</v>
      </c>
      <c r="AE152" t="s">
        <v>3336</v>
      </c>
      <c r="AF152" t="s">
        <v>57</v>
      </c>
      <c r="AG152" t="s">
        <v>3342</v>
      </c>
      <c r="AH152" s="1">
        <v>45145</v>
      </c>
      <c r="AI152" s="1">
        <v>45146</v>
      </c>
      <c r="AJ152" s="1">
        <v>45156</v>
      </c>
      <c r="AK152" t="s">
        <v>3421</v>
      </c>
      <c r="AL152" t="s">
        <v>807</v>
      </c>
    </row>
    <row r="153" spans="1:38" x14ac:dyDescent="0.35">
      <c r="A153" t="s">
        <v>809</v>
      </c>
      <c r="B153" t="s">
        <v>142</v>
      </c>
      <c r="C153" t="s">
        <v>43</v>
      </c>
      <c r="D153" t="s">
        <v>221</v>
      </c>
      <c r="E153" t="s">
        <v>222</v>
      </c>
      <c r="F153" t="s">
        <v>146</v>
      </c>
      <c r="G153" t="s">
        <v>223</v>
      </c>
      <c r="H153">
        <v>2760</v>
      </c>
      <c r="I153">
        <f>Sales_Transactions_Raw[[#This Row],[Unit_Price]]*Sales_Transactions_Raw[[#This Row],[Quantity]]</f>
        <v>5520</v>
      </c>
      <c r="J153">
        <v>2</v>
      </c>
      <c r="K153">
        <v>0</v>
      </c>
      <c r="L153">
        <v>0</v>
      </c>
      <c r="M153">
        <v>5520</v>
      </c>
      <c r="N153">
        <v>12</v>
      </c>
      <c r="O153">
        <v>662.4</v>
      </c>
      <c r="P153">
        <v>0</v>
      </c>
      <c r="Q153">
        <v>6182.4</v>
      </c>
      <c r="R153" t="s">
        <v>48</v>
      </c>
      <c r="S153" t="s">
        <v>93</v>
      </c>
      <c r="T153" t="s">
        <v>115</v>
      </c>
      <c r="U153" t="s">
        <v>214</v>
      </c>
      <c r="V153" t="s">
        <v>67</v>
      </c>
      <c r="W153" t="s">
        <v>68</v>
      </c>
      <c r="X153" t="s">
        <v>162</v>
      </c>
      <c r="Y153" t="s">
        <v>109</v>
      </c>
      <c r="Z153" t="s">
        <v>70</v>
      </c>
      <c r="AA153" t="s">
        <v>811</v>
      </c>
      <c r="AB153" t="s">
        <v>3335</v>
      </c>
      <c r="AC153">
        <v>4</v>
      </c>
      <c r="AD153" t="s">
        <v>56</v>
      </c>
      <c r="AE153" t="s">
        <v>3336</v>
      </c>
      <c r="AF153" t="s">
        <v>279</v>
      </c>
      <c r="AG153" t="s">
        <v>58</v>
      </c>
      <c r="AH153" s="1">
        <v>45296</v>
      </c>
      <c r="AI153" s="1">
        <v>45300</v>
      </c>
      <c r="AJ153" s="1">
        <v>45303</v>
      </c>
      <c r="AK153" t="s">
        <v>3469</v>
      </c>
      <c r="AL153" t="s">
        <v>810</v>
      </c>
    </row>
    <row r="154" spans="1:38" x14ac:dyDescent="0.35">
      <c r="A154" t="s">
        <v>812</v>
      </c>
      <c r="B154" t="s">
        <v>155</v>
      </c>
      <c r="C154" t="s">
        <v>89</v>
      </c>
      <c r="D154" t="s">
        <v>303</v>
      </c>
      <c r="E154" t="s">
        <v>304</v>
      </c>
      <c r="F154" t="s">
        <v>134</v>
      </c>
      <c r="G154" t="s">
        <v>305</v>
      </c>
      <c r="H154">
        <v>35260</v>
      </c>
      <c r="I154">
        <f>Sales_Transactions_Raw[[#This Row],[Unit_Price]]*Sales_Transactions_Raw[[#This Row],[Quantity]]</f>
        <v>105780</v>
      </c>
      <c r="J154">
        <v>3</v>
      </c>
      <c r="K154">
        <v>20</v>
      </c>
      <c r="L154">
        <v>21156</v>
      </c>
      <c r="M154">
        <v>84624</v>
      </c>
      <c r="N154">
        <v>5</v>
      </c>
      <c r="O154">
        <v>4231.2</v>
      </c>
      <c r="P154">
        <v>0</v>
      </c>
      <c r="Q154">
        <v>88855.2</v>
      </c>
      <c r="R154" t="s">
        <v>48</v>
      </c>
      <c r="S154" t="s">
        <v>49</v>
      </c>
      <c r="T154" t="s">
        <v>148</v>
      </c>
      <c r="U154" t="s">
        <v>161</v>
      </c>
      <c r="V154" t="s">
        <v>177</v>
      </c>
      <c r="W154" t="s">
        <v>81</v>
      </c>
      <c r="X154" t="s">
        <v>611</v>
      </c>
      <c r="Y154" t="s">
        <v>97</v>
      </c>
      <c r="Z154" t="s">
        <v>95</v>
      </c>
      <c r="AA154" t="s">
        <v>814</v>
      </c>
      <c r="AB154" t="s">
        <v>3339</v>
      </c>
      <c r="AC154">
        <v>4</v>
      </c>
      <c r="AD154" t="s">
        <v>56</v>
      </c>
      <c r="AE154" t="s">
        <v>3336</v>
      </c>
      <c r="AF154" t="s">
        <v>57</v>
      </c>
      <c r="AG154" t="s">
        <v>3342</v>
      </c>
      <c r="AH154" s="1">
        <v>45424</v>
      </c>
      <c r="AI154" s="1">
        <v>45425</v>
      </c>
      <c r="AJ154" s="1">
        <v>45429</v>
      </c>
      <c r="AK154" t="s">
        <v>3470</v>
      </c>
      <c r="AL154" t="s">
        <v>813</v>
      </c>
    </row>
    <row r="155" spans="1:38" x14ac:dyDescent="0.35">
      <c r="A155" t="s">
        <v>815</v>
      </c>
      <c r="B155" t="s">
        <v>554</v>
      </c>
      <c r="C155" t="s">
        <v>43</v>
      </c>
      <c r="D155" t="s">
        <v>62</v>
      </c>
      <c r="E155" t="s">
        <v>45</v>
      </c>
      <c r="F155" t="s">
        <v>46</v>
      </c>
      <c r="G155" t="s">
        <v>63</v>
      </c>
      <c r="H155">
        <v>65940</v>
      </c>
      <c r="I155">
        <f>Sales_Transactions_Raw[[#This Row],[Unit_Price]]*Sales_Transactions_Raw[[#This Row],[Quantity]]</f>
        <v>131880</v>
      </c>
      <c r="J155">
        <v>2</v>
      </c>
      <c r="K155">
        <v>0</v>
      </c>
      <c r="L155">
        <v>0</v>
      </c>
      <c r="M155">
        <v>131880</v>
      </c>
      <c r="N155">
        <v>18</v>
      </c>
      <c r="O155">
        <v>23738.400000000001</v>
      </c>
      <c r="P155">
        <v>0</v>
      </c>
      <c r="Q155">
        <v>155618.4</v>
      </c>
      <c r="R155" t="s">
        <v>48</v>
      </c>
      <c r="S155" t="s">
        <v>65</v>
      </c>
      <c r="T155" t="s">
        <v>213</v>
      </c>
      <c r="U155" t="s">
        <v>196</v>
      </c>
      <c r="V155" t="s">
        <v>242</v>
      </c>
      <c r="W155" t="s">
        <v>70</v>
      </c>
      <c r="X155" t="s">
        <v>162</v>
      </c>
      <c r="Y155" t="s">
        <v>109</v>
      </c>
      <c r="Z155" t="s">
        <v>70</v>
      </c>
      <c r="AA155" t="s">
        <v>817</v>
      </c>
      <c r="AB155" t="s">
        <v>3341</v>
      </c>
      <c r="AC155">
        <v>4</v>
      </c>
      <c r="AD155" t="s">
        <v>179</v>
      </c>
      <c r="AE155" t="s">
        <v>818</v>
      </c>
      <c r="AF155" t="s">
        <v>164</v>
      </c>
      <c r="AG155" t="s">
        <v>3342</v>
      </c>
      <c r="AH155" s="1">
        <v>44981</v>
      </c>
      <c r="AI155" s="1">
        <v>44986</v>
      </c>
      <c r="AJ155" s="1">
        <v>44996</v>
      </c>
      <c r="AK155" t="s">
        <v>3471</v>
      </c>
      <c r="AL155" t="s">
        <v>816</v>
      </c>
    </row>
    <row r="156" spans="1:38" x14ac:dyDescent="0.35">
      <c r="A156" t="s">
        <v>819</v>
      </c>
      <c r="B156" t="s">
        <v>166</v>
      </c>
      <c r="C156" t="s">
        <v>43</v>
      </c>
      <c r="D156" t="s">
        <v>283</v>
      </c>
      <c r="E156" t="s">
        <v>284</v>
      </c>
      <c r="F156" t="s">
        <v>285</v>
      </c>
      <c r="G156" t="s">
        <v>286</v>
      </c>
      <c r="H156">
        <v>420</v>
      </c>
      <c r="I156">
        <f>Sales_Transactions_Raw[[#This Row],[Unit_Price]]*Sales_Transactions_Raw[[#This Row],[Quantity]]</f>
        <v>840</v>
      </c>
      <c r="J156">
        <v>2</v>
      </c>
      <c r="K156">
        <v>0</v>
      </c>
      <c r="L156">
        <v>0</v>
      </c>
      <c r="M156">
        <v>840</v>
      </c>
      <c r="N156">
        <v>5</v>
      </c>
      <c r="O156">
        <v>42</v>
      </c>
      <c r="P156">
        <v>149</v>
      </c>
      <c r="Q156">
        <v>882</v>
      </c>
      <c r="R156" t="s">
        <v>79</v>
      </c>
      <c r="S156" t="s">
        <v>93</v>
      </c>
      <c r="T156" t="s">
        <v>66</v>
      </c>
      <c r="U156" t="s">
        <v>108</v>
      </c>
      <c r="V156" t="s">
        <v>242</v>
      </c>
      <c r="W156" t="s">
        <v>70</v>
      </c>
      <c r="X156" t="s">
        <v>626</v>
      </c>
      <c r="Y156" t="s">
        <v>289</v>
      </c>
      <c r="Z156" t="s">
        <v>52</v>
      </c>
      <c r="AA156" t="s">
        <v>821</v>
      </c>
      <c r="AB156" t="s">
        <v>3335</v>
      </c>
      <c r="AC156">
        <v>4</v>
      </c>
      <c r="AD156" t="s">
        <v>56</v>
      </c>
      <c r="AE156" t="s">
        <v>3336</v>
      </c>
      <c r="AF156" t="s">
        <v>164</v>
      </c>
      <c r="AG156" t="s">
        <v>85</v>
      </c>
      <c r="AH156" s="1">
        <v>45169</v>
      </c>
      <c r="AI156" s="1">
        <v>45173</v>
      </c>
      <c r="AJ156" s="1">
        <v>45183</v>
      </c>
      <c r="AK156" t="s">
        <v>3355</v>
      </c>
      <c r="AL156" t="s">
        <v>820</v>
      </c>
    </row>
    <row r="157" spans="1:38" x14ac:dyDescent="0.35">
      <c r="A157" t="s">
        <v>822</v>
      </c>
      <c r="B157" t="s">
        <v>741</v>
      </c>
      <c r="C157" t="s">
        <v>43</v>
      </c>
      <c r="D157" t="s">
        <v>391</v>
      </c>
      <c r="E157" t="s">
        <v>392</v>
      </c>
      <c r="F157" t="s">
        <v>46</v>
      </c>
      <c r="G157" t="s">
        <v>176</v>
      </c>
      <c r="H157">
        <v>9310</v>
      </c>
      <c r="I157">
        <f>Sales_Transactions_Raw[[#This Row],[Unit_Price]]*Sales_Transactions_Raw[[#This Row],[Quantity]]</f>
        <v>27930</v>
      </c>
      <c r="J157">
        <v>3</v>
      </c>
      <c r="K157">
        <v>0</v>
      </c>
      <c r="L157">
        <v>0</v>
      </c>
      <c r="M157">
        <v>27930</v>
      </c>
      <c r="N157">
        <v>18</v>
      </c>
      <c r="O157">
        <v>5027.3999999999996</v>
      </c>
      <c r="P157">
        <v>0</v>
      </c>
      <c r="Q157">
        <v>32957.4</v>
      </c>
      <c r="R157" t="s">
        <v>106</v>
      </c>
      <c r="S157" t="s">
        <v>49</v>
      </c>
      <c r="T157" t="s">
        <v>66</v>
      </c>
      <c r="U157" t="s">
        <v>50</v>
      </c>
      <c r="V157" t="s">
        <v>67</v>
      </c>
      <c r="W157" t="s">
        <v>68</v>
      </c>
      <c r="X157" t="s">
        <v>556</v>
      </c>
      <c r="Y157" t="s">
        <v>481</v>
      </c>
      <c r="Z157" t="s">
        <v>52</v>
      </c>
      <c r="AA157" t="s">
        <v>824</v>
      </c>
      <c r="AB157" t="s">
        <v>3338</v>
      </c>
      <c r="AC157">
        <v>5</v>
      </c>
      <c r="AD157" t="s">
        <v>56</v>
      </c>
      <c r="AE157" t="s">
        <v>3336</v>
      </c>
      <c r="AF157" t="s">
        <v>84</v>
      </c>
      <c r="AG157" t="s">
        <v>58</v>
      </c>
      <c r="AH157" s="1">
        <v>45449</v>
      </c>
      <c r="AI157" s="1">
        <v>45452</v>
      </c>
      <c r="AJ157" s="1">
        <v>45454</v>
      </c>
      <c r="AK157" t="s">
        <v>3451</v>
      </c>
      <c r="AL157" t="s">
        <v>823</v>
      </c>
    </row>
    <row r="158" spans="1:38" x14ac:dyDescent="0.35">
      <c r="A158" t="s">
        <v>825</v>
      </c>
      <c r="B158" t="s">
        <v>772</v>
      </c>
      <c r="C158" t="s">
        <v>89</v>
      </c>
      <c r="D158" t="s">
        <v>266</v>
      </c>
      <c r="E158" t="s">
        <v>267</v>
      </c>
      <c r="F158" t="s">
        <v>211</v>
      </c>
      <c r="G158" t="s">
        <v>268</v>
      </c>
      <c r="H158">
        <v>57740</v>
      </c>
      <c r="I158">
        <f>Sales_Transactions_Raw[[#This Row],[Unit_Price]]*Sales_Transactions_Raw[[#This Row],[Quantity]]</f>
        <v>346440</v>
      </c>
      <c r="J158">
        <v>6</v>
      </c>
      <c r="K158">
        <v>25</v>
      </c>
      <c r="L158">
        <v>86610</v>
      </c>
      <c r="M158">
        <v>259830</v>
      </c>
      <c r="N158">
        <v>5</v>
      </c>
      <c r="O158">
        <v>12991.5</v>
      </c>
      <c r="P158">
        <v>0</v>
      </c>
      <c r="Q158">
        <v>272821.5</v>
      </c>
      <c r="R158" t="s">
        <v>92</v>
      </c>
      <c r="S158" t="s">
        <v>49</v>
      </c>
      <c r="T158" t="s">
        <v>115</v>
      </c>
      <c r="U158" t="s">
        <v>161</v>
      </c>
      <c r="V158" t="s">
        <v>297</v>
      </c>
      <c r="W158" t="s">
        <v>52</v>
      </c>
      <c r="X158" t="s">
        <v>469</v>
      </c>
      <c r="Y158" t="s">
        <v>244</v>
      </c>
      <c r="Z158" t="s">
        <v>70</v>
      </c>
      <c r="AA158" t="s">
        <v>827</v>
      </c>
      <c r="AB158" t="s">
        <v>3339</v>
      </c>
      <c r="AC158">
        <v>4</v>
      </c>
      <c r="AD158" t="s">
        <v>56</v>
      </c>
      <c r="AE158" t="s">
        <v>3336</v>
      </c>
      <c r="AF158" t="s">
        <v>153</v>
      </c>
      <c r="AG158" t="s">
        <v>58</v>
      </c>
      <c r="AH158" s="1">
        <v>45312</v>
      </c>
      <c r="AI158" s="1">
        <v>45319</v>
      </c>
      <c r="AJ158" s="1">
        <v>45326</v>
      </c>
      <c r="AK158" t="s">
        <v>3472</v>
      </c>
      <c r="AL158" t="s">
        <v>826</v>
      </c>
    </row>
    <row r="159" spans="1:38" x14ac:dyDescent="0.35">
      <c r="A159" t="s">
        <v>828</v>
      </c>
      <c r="B159" t="s">
        <v>829</v>
      </c>
      <c r="C159" t="s">
        <v>43</v>
      </c>
      <c r="D159" t="s">
        <v>317</v>
      </c>
      <c r="E159" t="s">
        <v>77</v>
      </c>
      <c r="F159" t="s">
        <v>46</v>
      </c>
      <c r="G159" t="s">
        <v>176</v>
      </c>
      <c r="H159">
        <v>27600</v>
      </c>
      <c r="I159">
        <f>Sales_Transactions_Raw[[#This Row],[Unit_Price]]*Sales_Transactions_Raw[[#This Row],[Quantity]]</f>
        <v>193200</v>
      </c>
      <c r="J159">
        <v>7</v>
      </c>
      <c r="K159">
        <v>5</v>
      </c>
      <c r="L159">
        <v>9660</v>
      </c>
      <c r="M159">
        <v>183540</v>
      </c>
      <c r="N159">
        <v>18</v>
      </c>
      <c r="O159">
        <v>33037.199999999997</v>
      </c>
      <c r="P159">
        <v>0</v>
      </c>
      <c r="Q159">
        <v>216577.2</v>
      </c>
      <c r="R159" t="s">
        <v>64</v>
      </c>
      <c r="S159" t="s">
        <v>65</v>
      </c>
      <c r="T159" t="s">
        <v>66</v>
      </c>
      <c r="U159" t="s">
        <v>196</v>
      </c>
      <c r="V159" t="s">
        <v>287</v>
      </c>
      <c r="W159" t="s">
        <v>95</v>
      </c>
      <c r="X159" t="s">
        <v>150</v>
      </c>
      <c r="Y159" t="s">
        <v>151</v>
      </c>
      <c r="Z159" t="s">
        <v>81</v>
      </c>
      <c r="AB159" t="s">
        <v>3335</v>
      </c>
      <c r="AC159">
        <v>5</v>
      </c>
      <c r="AD159" t="s">
        <v>56</v>
      </c>
      <c r="AE159" t="s">
        <v>3336</v>
      </c>
      <c r="AF159" t="s">
        <v>227</v>
      </c>
      <c r="AG159" t="s">
        <v>85</v>
      </c>
      <c r="AH159" s="1">
        <v>45472</v>
      </c>
      <c r="AI159" s="1">
        <v>45477</v>
      </c>
      <c r="AJ159" s="1">
        <v>45483</v>
      </c>
      <c r="AK159" t="s">
        <v>3473</v>
      </c>
      <c r="AL159" t="s">
        <v>830</v>
      </c>
    </row>
    <row r="160" spans="1:38" x14ac:dyDescent="0.35">
      <c r="A160" t="s">
        <v>831</v>
      </c>
      <c r="B160" t="s">
        <v>832</v>
      </c>
      <c r="C160" t="s">
        <v>43</v>
      </c>
      <c r="D160" t="s">
        <v>103</v>
      </c>
      <c r="E160" t="s">
        <v>104</v>
      </c>
      <c r="F160" t="s">
        <v>46</v>
      </c>
      <c r="G160" t="s">
        <v>105</v>
      </c>
      <c r="H160">
        <v>33520</v>
      </c>
      <c r="I160">
        <f>Sales_Transactions_Raw[[#This Row],[Unit_Price]]*Sales_Transactions_Raw[[#This Row],[Quantity]]</f>
        <v>100560</v>
      </c>
      <c r="J160">
        <v>3</v>
      </c>
      <c r="K160">
        <v>0</v>
      </c>
      <c r="L160">
        <v>0</v>
      </c>
      <c r="M160">
        <v>100560</v>
      </c>
      <c r="N160">
        <v>18</v>
      </c>
      <c r="O160">
        <v>18100.8</v>
      </c>
      <c r="P160">
        <v>0</v>
      </c>
      <c r="Q160">
        <v>118660.8</v>
      </c>
      <c r="R160" t="s">
        <v>124</v>
      </c>
      <c r="S160" t="s">
        <v>65</v>
      </c>
      <c r="T160" t="s">
        <v>66</v>
      </c>
      <c r="U160" t="s">
        <v>161</v>
      </c>
      <c r="V160" t="s">
        <v>269</v>
      </c>
      <c r="W160" t="s">
        <v>70</v>
      </c>
      <c r="X160" t="s">
        <v>204</v>
      </c>
      <c r="Y160" t="s">
        <v>118</v>
      </c>
      <c r="Z160" t="s">
        <v>70</v>
      </c>
      <c r="AA160" t="s">
        <v>834</v>
      </c>
      <c r="AB160" t="s">
        <v>3335</v>
      </c>
      <c r="AC160">
        <v>4</v>
      </c>
      <c r="AD160" t="s">
        <v>179</v>
      </c>
      <c r="AE160" t="s">
        <v>818</v>
      </c>
      <c r="AF160" t="s">
        <v>217</v>
      </c>
      <c r="AG160" t="s">
        <v>3337</v>
      </c>
      <c r="AH160" s="1">
        <v>45171</v>
      </c>
      <c r="AI160" s="1">
        <v>45174</v>
      </c>
      <c r="AJ160" s="1">
        <v>45176</v>
      </c>
      <c r="AK160" t="s">
        <v>3474</v>
      </c>
      <c r="AL160" t="s">
        <v>833</v>
      </c>
    </row>
    <row r="161" spans="1:38" x14ac:dyDescent="0.35">
      <c r="A161" t="s">
        <v>835</v>
      </c>
      <c r="B161" t="s">
        <v>414</v>
      </c>
      <c r="C161" t="s">
        <v>43</v>
      </c>
      <c r="D161" t="s">
        <v>345</v>
      </c>
      <c r="E161" t="s">
        <v>346</v>
      </c>
      <c r="F161" t="s">
        <v>46</v>
      </c>
      <c r="G161" t="s">
        <v>63</v>
      </c>
      <c r="H161">
        <v>123420</v>
      </c>
      <c r="I161">
        <f>Sales_Transactions_Raw[[#This Row],[Unit_Price]]*Sales_Transactions_Raw[[#This Row],[Quantity]]</f>
        <v>123420</v>
      </c>
      <c r="J161">
        <v>1</v>
      </c>
      <c r="K161">
        <v>15</v>
      </c>
      <c r="L161">
        <v>18513</v>
      </c>
      <c r="M161">
        <v>104907</v>
      </c>
      <c r="N161">
        <v>18</v>
      </c>
      <c r="O161">
        <v>18883.259999999998</v>
      </c>
      <c r="P161">
        <v>0</v>
      </c>
      <c r="Q161">
        <v>123790.26</v>
      </c>
      <c r="R161" t="s">
        <v>48</v>
      </c>
      <c r="S161" t="s">
        <v>49</v>
      </c>
      <c r="T161" t="s">
        <v>115</v>
      </c>
      <c r="U161" t="s">
        <v>108</v>
      </c>
      <c r="V161" t="s">
        <v>197</v>
      </c>
      <c r="W161" t="s">
        <v>68</v>
      </c>
      <c r="X161" t="s">
        <v>556</v>
      </c>
      <c r="Y161" t="s">
        <v>481</v>
      </c>
      <c r="Z161" t="s">
        <v>52</v>
      </c>
      <c r="AA161" t="s">
        <v>837</v>
      </c>
      <c r="AB161" t="s">
        <v>3339</v>
      </c>
      <c r="AC161">
        <v>4</v>
      </c>
      <c r="AD161" t="s">
        <v>56</v>
      </c>
      <c r="AE161" t="s">
        <v>3336</v>
      </c>
      <c r="AF161" t="s">
        <v>326</v>
      </c>
      <c r="AG161" t="s">
        <v>111</v>
      </c>
      <c r="AH161" s="1">
        <v>45125</v>
      </c>
      <c r="AI161" s="1">
        <v>45130</v>
      </c>
      <c r="AJ161" s="1">
        <v>45134</v>
      </c>
      <c r="AK161" t="s">
        <v>3388</v>
      </c>
      <c r="AL161" t="s">
        <v>836</v>
      </c>
    </row>
    <row r="162" spans="1:38" x14ac:dyDescent="0.35">
      <c r="A162" t="s">
        <v>838</v>
      </c>
      <c r="B162" t="s">
        <v>101</v>
      </c>
      <c r="C162" t="s">
        <v>43</v>
      </c>
      <c r="D162" t="s">
        <v>294</v>
      </c>
      <c r="E162" t="s">
        <v>295</v>
      </c>
      <c r="F162" t="s">
        <v>146</v>
      </c>
      <c r="G162" t="s">
        <v>296</v>
      </c>
      <c r="H162">
        <v>13360</v>
      </c>
      <c r="I162">
        <f>Sales_Transactions_Raw[[#This Row],[Unit_Price]]*Sales_Transactions_Raw[[#This Row],[Quantity]]</f>
        <v>40080</v>
      </c>
      <c r="J162">
        <v>3</v>
      </c>
      <c r="K162">
        <v>5</v>
      </c>
      <c r="L162">
        <v>1336</v>
      </c>
      <c r="M162">
        <v>25384</v>
      </c>
      <c r="N162">
        <v>12</v>
      </c>
      <c r="O162">
        <v>3046.08</v>
      </c>
      <c r="P162">
        <v>0</v>
      </c>
      <c r="Q162">
        <v>28430.080000000002</v>
      </c>
      <c r="R162" t="s">
        <v>106</v>
      </c>
      <c r="S162" t="s">
        <v>125</v>
      </c>
      <c r="T162" t="s">
        <v>136</v>
      </c>
      <c r="U162" t="s">
        <v>161</v>
      </c>
      <c r="V162" t="s">
        <v>269</v>
      </c>
      <c r="W162" t="s">
        <v>70</v>
      </c>
      <c r="X162" t="s">
        <v>237</v>
      </c>
      <c r="Y162" t="s">
        <v>138</v>
      </c>
      <c r="Z162" t="s">
        <v>81</v>
      </c>
      <c r="AA162" t="s">
        <v>840</v>
      </c>
      <c r="AB162" t="s">
        <v>3341</v>
      </c>
      <c r="AC162">
        <v>3</v>
      </c>
      <c r="AD162" t="s">
        <v>56</v>
      </c>
      <c r="AE162" t="s">
        <v>3336</v>
      </c>
      <c r="AF162" t="s">
        <v>140</v>
      </c>
      <c r="AG162" t="s">
        <v>3342</v>
      </c>
      <c r="AH162" s="1">
        <v>45125</v>
      </c>
      <c r="AI162" s="1">
        <v>45130</v>
      </c>
      <c r="AJ162" s="1">
        <v>45157</v>
      </c>
      <c r="AK162" t="s">
        <v>3475</v>
      </c>
      <c r="AL162" t="s">
        <v>839</v>
      </c>
    </row>
    <row r="163" spans="1:38" x14ac:dyDescent="0.35">
      <c r="A163" t="s">
        <v>841</v>
      </c>
      <c r="B163" t="s">
        <v>842</v>
      </c>
      <c r="C163" t="s">
        <v>89</v>
      </c>
      <c r="D163" t="s">
        <v>90</v>
      </c>
      <c r="E163" t="s">
        <v>91</v>
      </c>
      <c r="F163" t="s">
        <v>46</v>
      </c>
      <c r="G163" t="s">
        <v>78</v>
      </c>
      <c r="H163">
        <v>89390</v>
      </c>
      <c r="I163">
        <f>Sales_Transactions_Raw[[#This Row],[Unit_Price]]*Sales_Transactions_Raw[[#This Row],[Quantity]]</f>
        <v>625730</v>
      </c>
      <c r="J163">
        <v>7</v>
      </c>
      <c r="K163">
        <v>0</v>
      </c>
      <c r="L163">
        <v>0</v>
      </c>
      <c r="M163">
        <v>625730</v>
      </c>
      <c r="N163">
        <v>18</v>
      </c>
      <c r="O163">
        <v>112631.4</v>
      </c>
      <c r="P163">
        <v>0</v>
      </c>
      <c r="Q163">
        <v>738361.4</v>
      </c>
      <c r="R163" t="s">
        <v>64</v>
      </c>
      <c r="S163" t="s">
        <v>125</v>
      </c>
      <c r="T163" t="s">
        <v>115</v>
      </c>
      <c r="U163" t="s">
        <v>196</v>
      </c>
      <c r="V163" t="s">
        <v>197</v>
      </c>
      <c r="W163" t="s">
        <v>68</v>
      </c>
      <c r="X163" t="s">
        <v>381</v>
      </c>
      <c r="Y163" t="s">
        <v>199</v>
      </c>
      <c r="Z163" t="s">
        <v>52</v>
      </c>
      <c r="AA163" t="s">
        <v>844</v>
      </c>
      <c r="AB163" t="s">
        <v>3335</v>
      </c>
      <c r="AC163">
        <v>3</v>
      </c>
      <c r="AD163" t="s">
        <v>56</v>
      </c>
      <c r="AE163" t="s">
        <v>3336</v>
      </c>
      <c r="AF163" t="s">
        <v>217</v>
      </c>
      <c r="AG163" t="s">
        <v>3342</v>
      </c>
      <c r="AH163" s="1">
        <v>45371</v>
      </c>
      <c r="AI163" s="1">
        <v>45377</v>
      </c>
      <c r="AJ163" s="1">
        <v>45380</v>
      </c>
      <c r="AK163" t="s">
        <v>3476</v>
      </c>
      <c r="AL163" t="s">
        <v>843</v>
      </c>
    </row>
    <row r="164" spans="1:38" x14ac:dyDescent="0.35">
      <c r="A164" t="s">
        <v>845</v>
      </c>
      <c r="B164" t="s">
        <v>687</v>
      </c>
      <c r="C164" t="s">
        <v>43</v>
      </c>
      <c r="D164" t="s">
        <v>391</v>
      </c>
      <c r="E164" t="s">
        <v>392</v>
      </c>
      <c r="F164" t="s">
        <v>46</v>
      </c>
      <c r="G164" t="s">
        <v>176</v>
      </c>
      <c r="H164">
        <v>10620</v>
      </c>
      <c r="I164">
        <f>Sales_Transactions_Raw[[#This Row],[Unit_Price]]*Sales_Transactions_Raw[[#This Row],[Quantity]]</f>
        <v>21240</v>
      </c>
      <c r="J164">
        <v>2</v>
      </c>
      <c r="K164">
        <v>10</v>
      </c>
      <c r="L164">
        <v>2124</v>
      </c>
      <c r="M164">
        <v>19116</v>
      </c>
      <c r="N164">
        <v>18</v>
      </c>
      <c r="O164">
        <v>3440.88</v>
      </c>
      <c r="P164">
        <v>0</v>
      </c>
      <c r="Q164">
        <v>22556.880000000001</v>
      </c>
      <c r="R164" t="s">
        <v>92</v>
      </c>
      <c r="S164" t="s">
        <v>125</v>
      </c>
      <c r="T164" t="s">
        <v>213</v>
      </c>
      <c r="U164" t="s">
        <v>50</v>
      </c>
      <c r="V164" t="s">
        <v>51</v>
      </c>
      <c r="W164" t="s">
        <v>52</v>
      </c>
      <c r="X164" t="s">
        <v>69</v>
      </c>
      <c r="Y164" t="s">
        <v>54</v>
      </c>
      <c r="Z164" t="s">
        <v>70</v>
      </c>
      <c r="AA164" t="s">
        <v>847</v>
      </c>
      <c r="AB164" t="s">
        <v>3340</v>
      </c>
      <c r="AC164">
        <v>4</v>
      </c>
      <c r="AD164" t="s">
        <v>179</v>
      </c>
      <c r="AE164" t="s">
        <v>818</v>
      </c>
      <c r="AF164" t="s">
        <v>84</v>
      </c>
      <c r="AG164" t="s">
        <v>58</v>
      </c>
      <c r="AH164" s="1">
        <v>45389</v>
      </c>
      <c r="AI164" s="1">
        <v>45396</v>
      </c>
      <c r="AJ164" s="1">
        <v>45401</v>
      </c>
      <c r="AK164" t="s">
        <v>3439</v>
      </c>
      <c r="AL164" t="s">
        <v>846</v>
      </c>
    </row>
    <row r="165" spans="1:38" x14ac:dyDescent="0.35">
      <c r="A165" t="s">
        <v>848</v>
      </c>
      <c r="B165" t="s">
        <v>461</v>
      </c>
      <c r="C165" t="s">
        <v>43</v>
      </c>
      <c r="D165" t="s">
        <v>44</v>
      </c>
      <c r="E165" t="s">
        <v>45</v>
      </c>
      <c r="F165" t="s">
        <v>46</v>
      </c>
      <c r="G165" t="s">
        <v>47</v>
      </c>
      <c r="H165">
        <v>12100</v>
      </c>
      <c r="I165">
        <f>Sales_Transactions_Raw[[#This Row],[Unit_Price]]*Sales_Transactions_Raw[[#This Row],[Quantity]]</f>
        <v>12100</v>
      </c>
      <c r="J165">
        <v>1</v>
      </c>
      <c r="K165">
        <v>15</v>
      </c>
      <c r="L165">
        <v>1815</v>
      </c>
      <c r="M165">
        <v>10285</v>
      </c>
      <c r="N165">
        <v>18</v>
      </c>
      <c r="O165">
        <v>1851.3</v>
      </c>
      <c r="P165">
        <v>0</v>
      </c>
      <c r="Q165">
        <v>12136.3</v>
      </c>
      <c r="R165" t="s">
        <v>124</v>
      </c>
      <c r="S165" t="s">
        <v>93</v>
      </c>
      <c r="T165" t="s">
        <v>136</v>
      </c>
      <c r="U165" t="s">
        <v>50</v>
      </c>
      <c r="V165" t="s">
        <v>149</v>
      </c>
      <c r="W165" t="s">
        <v>81</v>
      </c>
      <c r="X165" t="s">
        <v>162</v>
      </c>
      <c r="Y165" t="s">
        <v>109</v>
      </c>
      <c r="Z165" t="s">
        <v>70</v>
      </c>
      <c r="AA165" t="s">
        <v>850</v>
      </c>
      <c r="AB165" t="s">
        <v>3335</v>
      </c>
      <c r="AC165">
        <v>4</v>
      </c>
      <c r="AD165" t="s">
        <v>56</v>
      </c>
      <c r="AE165" t="s">
        <v>3336</v>
      </c>
      <c r="AF165" t="s">
        <v>227</v>
      </c>
      <c r="AG165" t="s">
        <v>85</v>
      </c>
      <c r="AH165" s="1">
        <v>45068</v>
      </c>
      <c r="AI165" s="1">
        <v>45075</v>
      </c>
      <c r="AJ165" s="1">
        <v>45144</v>
      </c>
      <c r="AK165" t="s">
        <v>3477</v>
      </c>
      <c r="AL165" t="s">
        <v>849</v>
      </c>
    </row>
    <row r="166" spans="1:38" x14ac:dyDescent="0.35">
      <c r="A166" t="s">
        <v>851</v>
      </c>
      <c r="B166" t="s">
        <v>355</v>
      </c>
      <c r="C166" t="s">
        <v>43</v>
      </c>
      <c r="D166" t="s">
        <v>402</v>
      </c>
      <c r="E166" t="s">
        <v>403</v>
      </c>
      <c r="F166" t="s">
        <v>146</v>
      </c>
      <c r="G166" t="s">
        <v>223</v>
      </c>
      <c r="H166">
        <v>1960</v>
      </c>
      <c r="I166">
        <f>Sales_Transactions_Raw[[#This Row],[Unit_Price]]*Sales_Transactions_Raw[[#This Row],[Quantity]]</f>
        <v>1960</v>
      </c>
      <c r="J166">
        <v>1</v>
      </c>
      <c r="K166">
        <v>10</v>
      </c>
      <c r="L166">
        <v>196</v>
      </c>
      <c r="M166">
        <v>1764</v>
      </c>
      <c r="N166">
        <v>12</v>
      </c>
      <c r="O166">
        <v>211.68</v>
      </c>
      <c r="P166">
        <v>79</v>
      </c>
      <c r="Q166">
        <v>1975.68</v>
      </c>
      <c r="R166" t="s">
        <v>92</v>
      </c>
      <c r="S166" t="s">
        <v>107</v>
      </c>
      <c r="T166" t="s">
        <v>115</v>
      </c>
      <c r="U166" t="s">
        <v>161</v>
      </c>
      <c r="V166" t="s">
        <v>80</v>
      </c>
      <c r="W166" t="s">
        <v>81</v>
      </c>
      <c r="X166" t="s">
        <v>237</v>
      </c>
      <c r="Y166" t="s">
        <v>138</v>
      </c>
      <c r="Z166" t="s">
        <v>81</v>
      </c>
      <c r="AA166" t="s">
        <v>853</v>
      </c>
      <c r="AB166" t="s">
        <v>3335</v>
      </c>
      <c r="AC166">
        <v>5</v>
      </c>
      <c r="AD166" t="s">
        <v>56</v>
      </c>
      <c r="AE166" t="s">
        <v>3336</v>
      </c>
      <c r="AF166" t="s">
        <v>140</v>
      </c>
      <c r="AG166" t="s">
        <v>3342</v>
      </c>
      <c r="AH166" s="1">
        <v>45084</v>
      </c>
      <c r="AI166" s="1">
        <v>45087</v>
      </c>
      <c r="AJ166" s="1">
        <v>45144</v>
      </c>
      <c r="AK166" t="s">
        <v>3379</v>
      </c>
      <c r="AL166" t="s">
        <v>852</v>
      </c>
    </row>
    <row r="167" spans="1:38" x14ac:dyDescent="0.35">
      <c r="A167" t="s">
        <v>854</v>
      </c>
      <c r="B167" t="s">
        <v>315</v>
      </c>
      <c r="C167" t="s">
        <v>157</v>
      </c>
      <c r="D167" t="s">
        <v>90</v>
      </c>
      <c r="E167" t="s">
        <v>91</v>
      </c>
      <c r="F167" t="s">
        <v>46</v>
      </c>
      <c r="G167" t="s">
        <v>78</v>
      </c>
      <c r="H167">
        <v>91590</v>
      </c>
      <c r="I167">
        <f>Sales_Transactions_Raw[[#This Row],[Unit_Price]]*Sales_Transactions_Raw[[#This Row],[Quantity]]</f>
        <v>366360</v>
      </c>
      <c r="J167">
        <v>4</v>
      </c>
      <c r="K167">
        <v>0</v>
      </c>
      <c r="L167">
        <v>0</v>
      </c>
      <c r="M167">
        <v>366360</v>
      </c>
      <c r="N167">
        <v>18</v>
      </c>
      <c r="O167">
        <v>65944.800000000003</v>
      </c>
      <c r="P167">
        <v>0</v>
      </c>
      <c r="Q167">
        <v>432304.8</v>
      </c>
      <c r="R167" t="s">
        <v>79</v>
      </c>
      <c r="S167" t="s">
        <v>93</v>
      </c>
      <c r="T167" t="s">
        <v>115</v>
      </c>
      <c r="U167" t="s">
        <v>50</v>
      </c>
      <c r="V167" t="s">
        <v>242</v>
      </c>
      <c r="W167" t="s">
        <v>70</v>
      </c>
      <c r="X167" t="s">
        <v>626</v>
      </c>
      <c r="Y167" t="s">
        <v>289</v>
      </c>
      <c r="Z167" t="s">
        <v>52</v>
      </c>
      <c r="AA167" t="s">
        <v>856</v>
      </c>
      <c r="AB167" t="s">
        <v>3341</v>
      </c>
      <c r="AC167">
        <v>4</v>
      </c>
      <c r="AD167" t="s">
        <v>56</v>
      </c>
      <c r="AE167" t="s">
        <v>3336</v>
      </c>
      <c r="AF167" t="s">
        <v>57</v>
      </c>
      <c r="AG167" t="s">
        <v>111</v>
      </c>
      <c r="AH167" s="1">
        <v>45244</v>
      </c>
      <c r="AI167" s="1">
        <v>45249</v>
      </c>
      <c r="AJ167" s="1">
        <v>45254</v>
      </c>
      <c r="AK167" t="s">
        <v>3372</v>
      </c>
      <c r="AL167" t="s">
        <v>855</v>
      </c>
    </row>
    <row r="168" spans="1:38" x14ac:dyDescent="0.35">
      <c r="A168" t="s">
        <v>857</v>
      </c>
      <c r="B168" t="s">
        <v>858</v>
      </c>
      <c r="C168" t="s">
        <v>157</v>
      </c>
      <c r="D168" t="s">
        <v>375</v>
      </c>
      <c r="E168" t="s">
        <v>376</v>
      </c>
      <c r="F168" t="s">
        <v>146</v>
      </c>
      <c r="G168" t="s">
        <v>147</v>
      </c>
      <c r="H168">
        <v>8870</v>
      </c>
      <c r="I168">
        <f>Sales_Transactions_Raw[[#This Row],[Unit_Price]]*Sales_Transactions_Raw[[#This Row],[Quantity]]</f>
        <v>26610</v>
      </c>
      <c r="J168">
        <v>3</v>
      </c>
      <c r="K168">
        <v>0</v>
      </c>
      <c r="L168">
        <v>0</v>
      </c>
      <c r="M168">
        <v>44350</v>
      </c>
      <c r="N168">
        <v>12</v>
      </c>
      <c r="O168">
        <v>5322</v>
      </c>
      <c r="P168">
        <v>0</v>
      </c>
      <c r="Q168">
        <v>49672</v>
      </c>
      <c r="R168" t="s">
        <v>79</v>
      </c>
      <c r="S168" t="s">
        <v>93</v>
      </c>
      <c r="T168" t="s">
        <v>115</v>
      </c>
      <c r="U168" t="s">
        <v>108</v>
      </c>
      <c r="V168" t="s">
        <v>297</v>
      </c>
      <c r="W168" t="s">
        <v>52</v>
      </c>
      <c r="X168" t="s">
        <v>469</v>
      </c>
      <c r="Y168" t="s">
        <v>244</v>
      </c>
      <c r="Z168" t="s">
        <v>70</v>
      </c>
      <c r="AA168" t="s">
        <v>860</v>
      </c>
      <c r="AB168" t="s">
        <v>3340</v>
      </c>
      <c r="AC168">
        <v>4</v>
      </c>
      <c r="AD168" t="s">
        <v>56</v>
      </c>
      <c r="AE168" t="s">
        <v>3336</v>
      </c>
      <c r="AF168" t="s">
        <v>326</v>
      </c>
      <c r="AG168" t="s">
        <v>58</v>
      </c>
      <c r="AH168" s="1">
        <v>45005</v>
      </c>
      <c r="AI168" s="1">
        <v>45012</v>
      </c>
      <c r="AJ168" s="1">
        <v>45015</v>
      </c>
      <c r="AK168" t="s">
        <v>3713</v>
      </c>
      <c r="AL168" t="s">
        <v>859</v>
      </c>
    </row>
    <row r="169" spans="1:38" x14ac:dyDescent="0.35">
      <c r="A169" t="s">
        <v>861</v>
      </c>
      <c r="B169" t="s">
        <v>862</v>
      </c>
      <c r="C169" t="s">
        <v>157</v>
      </c>
      <c r="D169" t="s">
        <v>323</v>
      </c>
      <c r="E169" t="s">
        <v>324</v>
      </c>
      <c r="F169" t="s">
        <v>146</v>
      </c>
      <c r="G169" t="s">
        <v>296</v>
      </c>
      <c r="H169">
        <v>10210</v>
      </c>
      <c r="I169">
        <f>Sales_Transactions_Raw[[#This Row],[Unit_Price]]*Sales_Transactions_Raw[[#This Row],[Quantity]]</f>
        <v>20420</v>
      </c>
      <c r="J169">
        <v>2</v>
      </c>
      <c r="K169">
        <v>0</v>
      </c>
      <c r="L169">
        <v>0</v>
      </c>
      <c r="M169">
        <v>20420</v>
      </c>
      <c r="N169">
        <v>12</v>
      </c>
      <c r="O169">
        <v>2450.4</v>
      </c>
      <c r="P169">
        <v>0</v>
      </c>
      <c r="Q169">
        <v>22870.400000000001</v>
      </c>
      <c r="R169" t="s">
        <v>106</v>
      </c>
      <c r="S169" t="s">
        <v>49</v>
      </c>
      <c r="T169" t="s">
        <v>136</v>
      </c>
      <c r="U169" t="s">
        <v>214</v>
      </c>
      <c r="V169" t="s">
        <v>287</v>
      </c>
      <c r="W169" t="s">
        <v>95</v>
      </c>
      <c r="X169" t="s">
        <v>298</v>
      </c>
      <c r="Y169" t="s">
        <v>151</v>
      </c>
      <c r="Z169" t="s">
        <v>81</v>
      </c>
      <c r="AA169" t="s">
        <v>864</v>
      </c>
      <c r="AB169" t="s">
        <v>3344</v>
      </c>
      <c r="AC169">
        <v>5</v>
      </c>
      <c r="AD169" t="s">
        <v>56</v>
      </c>
      <c r="AE169" t="s">
        <v>3336</v>
      </c>
      <c r="AF169" t="s">
        <v>164</v>
      </c>
      <c r="AG169" t="s">
        <v>3337</v>
      </c>
      <c r="AH169" s="1">
        <v>45462</v>
      </c>
      <c r="AI169" s="1">
        <v>45012</v>
      </c>
      <c r="AJ169" s="1">
        <v>45015</v>
      </c>
      <c r="AK169" t="s">
        <v>3478</v>
      </c>
      <c r="AL169" t="s">
        <v>863</v>
      </c>
    </row>
    <row r="170" spans="1:38" x14ac:dyDescent="0.35">
      <c r="A170" t="s">
        <v>865</v>
      </c>
      <c r="B170" t="s">
        <v>699</v>
      </c>
      <c r="C170" t="s">
        <v>89</v>
      </c>
      <c r="D170" t="s">
        <v>867</v>
      </c>
      <c r="E170" t="s">
        <v>868</v>
      </c>
      <c r="F170" t="s">
        <v>285</v>
      </c>
      <c r="G170" t="s">
        <v>869</v>
      </c>
      <c r="H170">
        <v>180</v>
      </c>
      <c r="I170">
        <f>Sales_Transactions_Raw[[#This Row],[Unit_Price]]*Sales_Transactions_Raw[[#This Row],[Quantity]]</f>
        <v>1440</v>
      </c>
      <c r="J170">
        <v>8</v>
      </c>
      <c r="K170">
        <v>0</v>
      </c>
      <c r="L170">
        <v>0</v>
      </c>
      <c r="M170">
        <v>1440</v>
      </c>
      <c r="N170">
        <v>5</v>
      </c>
      <c r="O170">
        <v>72</v>
      </c>
      <c r="P170">
        <v>49</v>
      </c>
      <c r="Q170">
        <v>1512</v>
      </c>
      <c r="R170" t="s">
        <v>64</v>
      </c>
      <c r="S170" t="s">
        <v>93</v>
      </c>
      <c r="T170" t="s">
        <v>66</v>
      </c>
      <c r="U170" t="s">
        <v>214</v>
      </c>
      <c r="V170" t="s">
        <v>269</v>
      </c>
      <c r="W170" t="s">
        <v>70</v>
      </c>
      <c r="X170" t="s">
        <v>626</v>
      </c>
      <c r="Y170" t="s">
        <v>289</v>
      </c>
      <c r="Z170" t="s">
        <v>52</v>
      </c>
      <c r="AA170" t="s">
        <v>870</v>
      </c>
      <c r="AB170" t="s">
        <v>3344</v>
      </c>
      <c r="AC170">
        <v>4</v>
      </c>
      <c r="AD170" t="s">
        <v>56</v>
      </c>
      <c r="AE170" t="s">
        <v>3336</v>
      </c>
      <c r="AF170" t="s">
        <v>217</v>
      </c>
      <c r="AG170" t="s">
        <v>85</v>
      </c>
      <c r="AH170" s="1">
        <v>45031</v>
      </c>
      <c r="AI170" s="1">
        <v>45037</v>
      </c>
      <c r="AJ170" s="1">
        <v>45047</v>
      </c>
      <c r="AK170" t="s">
        <v>3442</v>
      </c>
      <c r="AL170" t="s">
        <v>866</v>
      </c>
    </row>
    <row r="171" spans="1:38" x14ac:dyDescent="0.35">
      <c r="A171" t="s">
        <v>871</v>
      </c>
      <c r="B171" t="s">
        <v>858</v>
      </c>
      <c r="C171" t="s">
        <v>43</v>
      </c>
      <c r="D171" t="s">
        <v>441</v>
      </c>
      <c r="E171" t="s">
        <v>442</v>
      </c>
      <c r="F171" t="s">
        <v>46</v>
      </c>
      <c r="G171" t="s">
        <v>369</v>
      </c>
      <c r="H171">
        <v>67420</v>
      </c>
      <c r="I171">
        <f>Sales_Transactions_Raw[[#This Row],[Unit_Price]]*Sales_Transactions_Raw[[#This Row],[Quantity]]</f>
        <v>67420</v>
      </c>
      <c r="J171">
        <v>1</v>
      </c>
      <c r="K171">
        <v>5</v>
      </c>
      <c r="L171">
        <v>3371</v>
      </c>
      <c r="M171">
        <v>64049</v>
      </c>
      <c r="N171">
        <v>18</v>
      </c>
      <c r="O171">
        <v>11528.82</v>
      </c>
      <c r="P171">
        <v>0</v>
      </c>
      <c r="Q171">
        <v>75577.820000000007</v>
      </c>
      <c r="R171" t="s">
        <v>79</v>
      </c>
      <c r="S171" t="s">
        <v>49</v>
      </c>
      <c r="T171" t="s">
        <v>115</v>
      </c>
      <c r="U171" t="s">
        <v>214</v>
      </c>
      <c r="V171" t="s">
        <v>197</v>
      </c>
      <c r="W171" t="s">
        <v>68</v>
      </c>
      <c r="X171" t="s">
        <v>381</v>
      </c>
      <c r="Y171" t="s">
        <v>199</v>
      </c>
      <c r="Z171" t="s">
        <v>52</v>
      </c>
      <c r="AA171" t="s">
        <v>873</v>
      </c>
      <c r="AB171" t="s">
        <v>3335</v>
      </c>
      <c r="AC171">
        <v>5</v>
      </c>
      <c r="AD171" t="s">
        <v>56</v>
      </c>
      <c r="AE171" t="s">
        <v>3336</v>
      </c>
      <c r="AF171" t="s">
        <v>326</v>
      </c>
      <c r="AG171" t="s">
        <v>3342</v>
      </c>
      <c r="AH171" s="1">
        <v>45351</v>
      </c>
      <c r="AI171" s="1">
        <v>45357</v>
      </c>
      <c r="AJ171" s="1">
        <v>45363</v>
      </c>
      <c r="AK171" t="s">
        <v>3479</v>
      </c>
      <c r="AL171" t="s">
        <v>872</v>
      </c>
    </row>
    <row r="172" spans="1:38" x14ac:dyDescent="0.35">
      <c r="A172" t="s">
        <v>874</v>
      </c>
      <c r="B172" t="s">
        <v>875</v>
      </c>
      <c r="C172" t="s">
        <v>43</v>
      </c>
      <c r="D172" t="s">
        <v>249</v>
      </c>
      <c r="E172" t="s">
        <v>250</v>
      </c>
      <c r="F172" t="s">
        <v>211</v>
      </c>
      <c r="G172" t="s">
        <v>251</v>
      </c>
      <c r="H172">
        <v>19020</v>
      </c>
      <c r="I172">
        <f>Sales_Transactions_Raw[[#This Row],[Unit_Price]]*Sales_Transactions_Raw[[#This Row],[Quantity]]</f>
        <v>38040</v>
      </c>
      <c r="J172">
        <v>2</v>
      </c>
      <c r="K172">
        <v>15</v>
      </c>
      <c r="L172">
        <v>5706</v>
      </c>
      <c r="M172">
        <v>32334</v>
      </c>
      <c r="N172">
        <v>5</v>
      </c>
      <c r="O172">
        <v>1616.7</v>
      </c>
      <c r="P172">
        <v>0</v>
      </c>
      <c r="Q172">
        <v>33950.699999999997</v>
      </c>
      <c r="R172" t="s">
        <v>160</v>
      </c>
      <c r="S172" t="s">
        <v>107</v>
      </c>
      <c r="T172" t="s">
        <v>213</v>
      </c>
      <c r="U172" t="s">
        <v>214</v>
      </c>
      <c r="V172" t="s">
        <v>276</v>
      </c>
      <c r="W172" t="s">
        <v>95</v>
      </c>
      <c r="X172" t="s">
        <v>126</v>
      </c>
      <c r="Y172" t="s">
        <v>127</v>
      </c>
      <c r="Z172" t="s">
        <v>68</v>
      </c>
      <c r="AA172" t="s">
        <v>877</v>
      </c>
      <c r="AB172" t="s">
        <v>3335</v>
      </c>
      <c r="AC172">
        <v>4</v>
      </c>
      <c r="AD172" t="s">
        <v>179</v>
      </c>
      <c r="AE172" t="s">
        <v>3336</v>
      </c>
      <c r="AF172" t="s">
        <v>164</v>
      </c>
      <c r="AG172" t="s">
        <v>85</v>
      </c>
      <c r="AH172" s="1">
        <v>45086</v>
      </c>
      <c r="AI172" s="1">
        <v>45093</v>
      </c>
      <c r="AJ172" s="1">
        <v>45102</v>
      </c>
      <c r="AK172" t="s">
        <v>3480</v>
      </c>
      <c r="AL172" t="s">
        <v>876</v>
      </c>
    </row>
    <row r="173" spans="1:38" x14ac:dyDescent="0.35">
      <c r="A173" t="s">
        <v>878</v>
      </c>
      <c r="B173" t="s">
        <v>680</v>
      </c>
      <c r="C173" t="s">
        <v>43</v>
      </c>
      <c r="D173" t="s">
        <v>350</v>
      </c>
      <c r="E173" t="s">
        <v>351</v>
      </c>
      <c r="F173" t="s">
        <v>211</v>
      </c>
      <c r="G173" t="s">
        <v>352</v>
      </c>
      <c r="H173">
        <v>43140</v>
      </c>
      <c r="I173">
        <f>Sales_Transactions_Raw[[#This Row],[Unit_Price]]*Sales_Transactions_Raw[[#This Row],[Quantity]]</f>
        <v>172560</v>
      </c>
      <c r="J173">
        <v>4</v>
      </c>
      <c r="K173">
        <v>0</v>
      </c>
      <c r="L173">
        <v>0</v>
      </c>
      <c r="M173">
        <v>172560</v>
      </c>
      <c r="N173">
        <v>5</v>
      </c>
      <c r="O173">
        <v>8628</v>
      </c>
      <c r="P173">
        <v>0</v>
      </c>
      <c r="Q173">
        <v>181188</v>
      </c>
      <c r="R173" t="s">
        <v>64</v>
      </c>
      <c r="S173" t="s">
        <v>65</v>
      </c>
      <c r="T173" t="s">
        <v>136</v>
      </c>
      <c r="U173" t="s">
        <v>214</v>
      </c>
      <c r="V173" t="s">
        <v>297</v>
      </c>
      <c r="W173" t="s">
        <v>52</v>
      </c>
      <c r="X173" t="s">
        <v>298</v>
      </c>
      <c r="Y173" t="s">
        <v>151</v>
      </c>
      <c r="Z173" t="s">
        <v>81</v>
      </c>
      <c r="AA173" t="s">
        <v>880</v>
      </c>
      <c r="AB173" t="s">
        <v>3338</v>
      </c>
      <c r="AC173">
        <v>4</v>
      </c>
      <c r="AD173" t="s">
        <v>56</v>
      </c>
      <c r="AE173" t="s">
        <v>3336</v>
      </c>
      <c r="AF173" t="s">
        <v>164</v>
      </c>
      <c r="AG173" t="s">
        <v>85</v>
      </c>
      <c r="AH173" s="1">
        <v>44929</v>
      </c>
      <c r="AI173" s="1">
        <v>45110</v>
      </c>
      <c r="AJ173" s="1">
        <v>45000</v>
      </c>
      <c r="AK173" t="s">
        <v>3437</v>
      </c>
      <c r="AL173" t="s">
        <v>879</v>
      </c>
    </row>
    <row r="174" spans="1:38" x14ac:dyDescent="0.35">
      <c r="A174" t="s">
        <v>881</v>
      </c>
      <c r="B174" t="s">
        <v>155</v>
      </c>
      <c r="C174" t="s">
        <v>43</v>
      </c>
      <c r="D174" t="s">
        <v>406</v>
      </c>
      <c r="E174" t="s">
        <v>231</v>
      </c>
      <c r="F174" t="s">
        <v>46</v>
      </c>
      <c r="G174" t="s">
        <v>369</v>
      </c>
      <c r="H174">
        <v>90360</v>
      </c>
      <c r="I174">
        <f>Sales_Transactions_Raw[[#This Row],[Unit_Price]]*Sales_Transactions_Raw[[#This Row],[Quantity]]</f>
        <v>361440</v>
      </c>
      <c r="J174">
        <v>4</v>
      </c>
      <c r="K174">
        <v>10</v>
      </c>
      <c r="L174">
        <v>36144</v>
      </c>
      <c r="M174">
        <v>325296</v>
      </c>
      <c r="N174">
        <v>18</v>
      </c>
      <c r="O174">
        <v>58553.279999999999</v>
      </c>
      <c r="P174">
        <v>0</v>
      </c>
      <c r="Q174">
        <v>383849.28</v>
      </c>
      <c r="R174" t="s">
        <v>48</v>
      </c>
      <c r="S174" t="s">
        <v>49</v>
      </c>
      <c r="T174" t="s">
        <v>66</v>
      </c>
      <c r="U174" t="s">
        <v>196</v>
      </c>
      <c r="V174" t="s">
        <v>67</v>
      </c>
      <c r="W174" t="s">
        <v>68</v>
      </c>
      <c r="X174" t="s">
        <v>505</v>
      </c>
      <c r="Y174" t="s">
        <v>118</v>
      </c>
      <c r="Z174" t="s">
        <v>70</v>
      </c>
      <c r="AA174" t="s">
        <v>883</v>
      </c>
      <c r="AB174" t="s">
        <v>3343</v>
      </c>
      <c r="AC174">
        <v>4</v>
      </c>
      <c r="AD174" t="s">
        <v>56</v>
      </c>
      <c r="AE174" t="s">
        <v>3336</v>
      </c>
      <c r="AF174" t="s">
        <v>84</v>
      </c>
      <c r="AG174" t="s">
        <v>85</v>
      </c>
      <c r="AH174" s="1">
        <v>45430</v>
      </c>
      <c r="AI174" s="1">
        <v>45431</v>
      </c>
      <c r="AJ174" s="1">
        <v>45434</v>
      </c>
      <c r="AK174" t="s">
        <v>3481</v>
      </c>
      <c r="AL174" t="s">
        <v>882</v>
      </c>
    </row>
    <row r="175" spans="1:38" x14ac:dyDescent="0.35">
      <c r="A175" t="s">
        <v>884</v>
      </c>
      <c r="B175" t="s">
        <v>373</v>
      </c>
      <c r="C175" t="s">
        <v>89</v>
      </c>
      <c r="D175" t="s">
        <v>193</v>
      </c>
      <c r="E175" t="s">
        <v>194</v>
      </c>
      <c r="F175" t="s">
        <v>146</v>
      </c>
      <c r="G175" t="s">
        <v>195</v>
      </c>
      <c r="H175">
        <v>3120</v>
      </c>
      <c r="I175">
        <f>Sales_Transactions_Raw[[#This Row],[Unit_Price]]*Sales_Transactions_Raw[[#This Row],[Quantity]]</f>
        <v>12480</v>
      </c>
      <c r="J175">
        <v>4</v>
      </c>
      <c r="K175">
        <v>5</v>
      </c>
      <c r="L175">
        <v>624</v>
      </c>
      <c r="M175">
        <v>11856</v>
      </c>
      <c r="N175">
        <v>12</v>
      </c>
      <c r="O175">
        <v>1422.72</v>
      </c>
      <c r="P175">
        <v>0</v>
      </c>
      <c r="Q175">
        <v>13278.72</v>
      </c>
      <c r="R175" t="s">
        <v>92</v>
      </c>
      <c r="S175" t="s">
        <v>93</v>
      </c>
      <c r="T175" t="s">
        <v>115</v>
      </c>
      <c r="U175" t="s">
        <v>161</v>
      </c>
      <c r="V175" t="s">
        <v>197</v>
      </c>
      <c r="W175" t="s">
        <v>68</v>
      </c>
      <c r="X175" t="s">
        <v>215</v>
      </c>
      <c r="Y175" t="s">
        <v>169</v>
      </c>
      <c r="Z175" t="s">
        <v>95</v>
      </c>
      <c r="AA175" t="s">
        <v>886</v>
      </c>
      <c r="AB175" t="s">
        <v>3335</v>
      </c>
      <c r="AC175">
        <v>4</v>
      </c>
      <c r="AD175" t="s">
        <v>56</v>
      </c>
      <c r="AE175" t="s">
        <v>3336</v>
      </c>
      <c r="AF175" t="s">
        <v>326</v>
      </c>
      <c r="AG175" t="s">
        <v>3342</v>
      </c>
      <c r="AH175" s="1">
        <v>45272</v>
      </c>
      <c r="AI175" s="1">
        <v>45277</v>
      </c>
      <c r="AJ175" s="1">
        <v>45285</v>
      </c>
      <c r="AK175" t="s">
        <v>3668</v>
      </c>
      <c r="AL175" t="s">
        <v>885</v>
      </c>
    </row>
    <row r="176" spans="1:38" x14ac:dyDescent="0.35">
      <c r="A176" t="s">
        <v>887</v>
      </c>
      <c r="B176" t="s">
        <v>842</v>
      </c>
      <c r="C176" t="s">
        <v>89</v>
      </c>
      <c r="D176" t="s">
        <v>183</v>
      </c>
      <c r="E176" t="s">
        <v>184</v>
      </c>
      <c r="F176" t="s">
        <v>185</v>
      </c>
      <c r="G176" t="s">
        <v>186</v>
      </c>
      <c r="H176">
        <v>130</v>
      </c>
      <c r="I176">
        <f>Sales_Transactions_Raw[[#This Row],[Unit_Price]]*Sales_Transactions_Raw[[#This Row],[Quantity]]</f>
        <v>780</v>
      </c>
      <c r="J176">
        <v>6</v>
      </c>
      <c r="K176">
        <v>15</v>
      </c>
      <c r="L176">
        <v>117</v>
      </c>
      <c r="M176">
        <v>663</v>
      </c>
      <c r="N176">
        <v>5</v>
      </c>
      <c r="O176">
        <v>33.15</v>
      </c>
      <c r="P176">
        <v>49</v>
      </c>
      <c r="Q176">
        <v>696.15</v>
      </c>
      <c r="R176" t="s">
        <v>106</v>
      </c>
      <c r="S176" t="s">
        <v>65</v>
      </c>
      <c r="T176" t="s">
        <v>115</v>
      </c>
      <c r="U176" t="s">
        <v>196</v>
      </c>
      <c r="V176" t="s">
        <v>149</v>
      </c>
      <c r="W176" t="s">
        <v>81</v>
      </c>
      <c r="X176" t="s">
        <v>204</v>
      </c>
      <c r="Y176" t="s">
        <v>118</v>
      </c>
      <c r="Z176" t="s">
        <v>70</v>
      </c>
      <c r="AA176" t="s">
        <v>889</v>
      </c>
      <c r="AB176" t="s">
        <v>3335</v>
      </c>
      <c r="AC176">
        <v>5</v>
      </c>
      <c r="AD176" t="s">
        <v>179</v>
      </c>
      <c r="AE176" t="s">
        <v>476</v>
      </c>
      <c r="AF176" t="s">
        <v>99</v>
      </c>
      <c r="AG176" t="s">
        <v>3342</v>
      </c>
      <c r="AH176" s="1">
        <v>45321</v>
      </c>
      <c r="AI176" s="1">
        <v>45324</v>
      </c>
      <c r="AJ176" s="1">
        <v>45329</v>
      </c>
      <c r="AK176" t="s">
        <v>3482</v>
      </c>
      <c r="AL176" t="s">
        <v>888</v>
      </c>
    </row>
    <row r="177" spans="1:38" x14ac:dyDescent="0.35">
      <c r="A177" t="s">
        <v>890</v>
      </c>
      <c r="B177" t="s">
        <v>41</v>
      </c>
      <c r="C177" t="s">
        <v>157</v>
      </c>
      <c r="D177" t="s">
        <v>466</v>
      </c>
      <c r="E177" t="s">
        <v>467</v>
      </c>
      <c r="F177" t="s">
        <v>185</v>
      </c>
      <c r="G177" t="s">
        <v>468</v>
      </c>
      <c r="H177">
        <v>560</v>
      </c>
      <c r="I177">
        <f>Sales_Transactions_Raw[[#This Row],[Unit_Price]]*Sales_Transactions_Raw[[#This Row],[Quantity]]</f>
        <v>560</v>
      </c>
      <c r="J177">
        <v>1</v>
      </c>
      <c r="K177">
        <v>0</v>
      </c>
      <c r="L177">
        <v>0</v>
      </c>
      <c r="M177">
        <v>560</v>
      </c>
      <c r="N177">
        <v>5</v>
      </c>
      <c r="O177">
        <v>28</v>
      </c>
      <c r="P177">
        <v>79</v>
      </c>
      <c r="Q177">
        <v>588</v>
      </c>
      <c r="R177" t="s">
        <v>79</v>
      </c>
      <c r="S177" t="s">
        <v>107</v>
      </c>
      <c r="T177" t="s">
        <v>66</v>
      </c>
      <c r="U177" t="s">
        <v>196</v>
      </c>
      <c r="V177" t="s">
        <v>224</v>
      </c>
      <c r="W177" t="s">
        <v>95</v>
      </c>
      <c r="X177" t="s">
        <v>491</v>
      </c>
      <c r="Y177" t="s">
        <v>358</v>
      </c>
      <c r="Z177" t="s">
        <v>95</v>
      </c>
      <c r="AA177" t="s">
        <v>892</v>
      </c>
      <c r="AB177" t="s">
        <v>3343</v>
      </c>
      <c r="AC177">
        <v>5</v>
      </c>
      <c r="AD177" t="s">
        <v>179</v>
      </c>
      <c r="AE177" t="s">
        <v>476</v>
      </c>
      <c r="AF177" t="s">
        <v>164</v>
      </c>
      <c r="AG177" t="s">
        <v>445</v>
      </c>
      <c r="AH177" s="1">
        <v>45374</v>
      </c>
      <c r="AI177" s="1">
        <v>45324</v>
      </c>
      <c r="AJ177" s="1">
        <v>45386</v>
      </c>
      <c r="AK177" t="s">
        <v>3345</v>
      </c>
      <c r="AL177" t="s">
        <v>891</v>
      </c>
    </row>
    <row r="178" spans="1:38" x14ac:dyDescent="0.35">
      <c r="A178" t="s">
        <v>893</v>
      </c>
      <c r="B178" t="s">
        <v>862</v>
      </c>
      <c r="C178" t="s">
        <v>43</v>
      </c>
      <c r="D178" t="s">
        <v>193</v>
      </c>
      <c r="E178" t="s">
        <v>194</v>
      </c>
      <c r="F178" t="s">
        <v>146</v>
      </c>
      <c r="G178" t="s">
        <v>195</v>
      </c>
      <c r="H178">
        <v>3380</v>
      </c>
      <c r="I178">
        <f>Sales_Transactions_Raw[[#This Row],[Unit_Price]]*Sales_Transactions_Raw[[#This Row],[Quantity]]</f>
        <v>13520</v>
      </c>
      <c r="J178">
        <v>4</v>
      </c>
      <c r="K178">
        <v>20</v>
      </c>
      <c r="L178">
        <v>2704</v>
      </c>
      <c r="M178">
        <v>10816</v>
      </c>
      <c r="N178">
        <v>12</v>
      </c>
      <c r="O178">
        <v>1297.92</v>
      </c>
      <c r="P178">
        <v>0</v>
      </c>
      <c r="Q178">
        <v>12113.92</v>
      </c>
      <c r="R178" t="s">
        <v>64</v>
      </c>
      <c r="S178" t="s">
        <v>65</v>
      </c>
      <c r="T178" t="s">
        <v>115</v>
      </c>
      <c r="U178" t="s">
        <v>214</v>
      </c>
      <c r="V178" t="s">
        <v>149</v>
      </c>
      <c r="W178" t="s">
        <v>81</v>
      </c>
      <c r="X178" t="s">
        <v>306</v>
      </c>
      <c r="Y178" t="s">
        <v>97</v>
      </c>
      <c r="Z178" t="s">
        <v>95</v>
      </c>
      <c r="AA178" t="s">
        <v>895</v>
      </c>
      <c r="AB178" t="s">
        <v>3335</v>
      </c>
      <c r="AC178">
        <v>4</v>
      </c>
      <c r="AD178" t="s">
        <v>56</v>
      </c>
      <c r="AE178" t="s">
        <v>3336</v>
      </c>
      <c r="AF178" t="s">
        <v>57</v>
      </c>
      <c r="AG178" t="s">
        <v>58</v>
      </c>
      <c r="AH178" s="1">
        <v>45312</v>
      </c>
      <c r="AI178" s="1">
        <v>45313</v>
      </c>
      <c r="AJ178" s="1">
        <v>45320</v>
      </c>
      <c r="AK178" t="s">
        <v>3478</v>
      </c>
      <c r="AL178" t="s">
        <v>894</v>
      </c>
    </row>
    <row r="179" spans="1:38" x14ac:dyDescent="0.35">
      <c r="A179" t="s">
        <v>896</v>
      </c>
      <c r="B179" t="s">
        <v>581</v>
      </c>
      <c r="C179" t="s">
        <v>43</v>
      </c>
      <c r="D179" t="s">
        <v>402</v>
      </c>
      <c r="E179" t="s">
        <v>403</v>
      </c>
      <c r="F179" t="s">
        <v>146</v>
      </c>
      <c r="G179" t="s">
        <v>223</v>
      </c>
      <c r="H179">
        <v>1860</v>
      </c>
      <c r="I179">
        <f>Sales_Transactions_Raw[[#This Row],[Unit_Price]]*Sales_Transactions_Raw[[#This Row],[Quantity]]</f>
        <v>1860</v>
      </c>
      <c r="J179">
        <v>1</v>
      </c>
      <c r="K179">
        <v>5</v>
      </c>
      <c r="L179">
        <v>93</v>
      </c>
      <c r="M179">
        <v>1767</v>
      </c>
      <c r="N179">
        <v>12</v>
      </c>
      <c r="O179">
        <v>212.04</v>
      </c>
      <c r="P179">
        <v>149</v>
      </c>
      <c r="Q179">
        <v>1979.04</v>
      </c>
      <c r="R179" t="s">
        <v>79</v>
      </c>
      <c r="S179" t="s">
        <v>65</v>
      </c>
      <c r="T179" t="s">
        <v>115</v>
      </c>
      <c r="U179" t="s">
        <v>50</v>
      </c>
      <c r="V179" t="s">
        <v>224</v>
      </c>
      <c r="W179" t="s">
        <v>95</v>
      </c>
      <c r="X179" t="s">
        <v>204</v>
      </c>
      <c r="Y179" t="s">
        <v>118</v>
      </c>
      <c r="Z179" t="s">
        <v>70</v>
      </c>
      <c r="AA179" t="s">
        <v>897</v>
      </c>
      <c r="AB179" t="s">
        <v>3335</v>
      </c>
      <c r="AC179">
        <v>3</v>
      </c>
      <c r="AD179" t="s">
        <v>56</v>
      </c>
      <c r="AE179" t="s">
        <v>3336</v>
      </c>
      <c r="AF179" t="s">
        <v>99</v>
      </c>
      <c r="AG179" t="s">
        <v>85</v>
      </c>
      <c r="AH179" s="1">
        <v>45078</v>
      </c>
      <c r="AI179" s="1">
        <v>45082</v>
      </c>
      <c r="AJ179" s="1">
        <v>45090</v>
      </c>
      <c r="AK179" t="s">
        <v>3417</v>
      </c>
      <c r="AL179" t="s">
        <v>3736</v>
      </c>
    </row>
    <row r="180" spans="1:38" x14ac:dyDescent="0.35">
      <c r="A180" t="s">
        <v>898</v>
      </c>
      <c r="B180" t="s">
        <v>254</v>
      </c>
      <c r="C180" t="s">
        <v>43</v>
      </c>
      <c r="D180" t="s">
        <v>345</v>
      </c>
      <c r="E180" t="s">
        <v>346</v>
      </c>
      <c r="F180" t="s">
        <v>46</v>
      </c>
      <c r="G180" t="s">
        <v>63</v>
      </c>
      <c r="H180">
        <v>130670</v>
      </c>
      <c r="I180">
        <f>Sales_Transactions_Raw[[#This Row],[Unit_Price]]*Sales_Transactions_Raw[[#This Row],[Quantity]]</f>
        <v>653350</v>
      </c>
      <c r="J180">
        <v>5</v>
      </c>
      <c r="K180">
        <v>10</v>
      </c>
      <c r="L180">
        <v>65335</v>
      </c>
      <c r="M180">
        <v>588015</v>
      </c>
      <c r="N180">
        <v>18</v>
      </c>
      <c r="O180">
        <v>105842.7</v>
      </c>
      <c r="P180">
        <v>0</v>
      </c>
      <c r="Q180">
        <v>693857.7</v>
      </c>
      <c r="R180" t="s">
        <v>106</v>
      </c>
      <c r="S180" t="s">
        <v>107</v>
      </c>
      <c r="T180" t="s">
        <v>115</v>
      </c>
      <c r="U180" t="s">
        <v>50</v>
      </c>
      <c r="V180" t="s">
        <v>67</v>
      </c>
      <c r="W180" t="s">
        <v>696</v>
      </c>
      <c r="X180" t="s">
        <v>370</v>
      </c>
      <c r="Y180" t="s">
        <v>151</v>
      </c>
      <c r="Z180" t="s">
        <v>81</v>
      </c>
      <c r="AA180" t="s">
        <v>900</v>
      </c>
      <c r="AB180" t="s">
        <v>3335</v>
      </c>
      <c r="AC180">
        <v>4</v>
      </c>
      <c r="AD180" t="s">
        <v>56</v>
      </c>
      <c r="AE180" t="s">
        <v>3336</v>
      </c>
      <c r="AF180" t="s">
        <v>164</v>
      </c>
      <c r="AG180" t="s">
        <v>85</v>
      </c>
      <c r="AH180" s="1">
        <v>45116</v>
      </c>
      <c r="AI180" s="1">
        <v>45120</v>
      </c>
      <c r="AJ180" s="1">
        <v>45122</v>
      </c>
      <c r="AK180" t="s">
        <v>3700</v>
      </c>
      <c r="AL180" t="s">
        <v>899</v>
      </c>
    </row>
    <row r="181" spans="1:38" x14ac:dyDescent="0.35">
      <c r="A181" t="s">
        <v>901</v>
      </c>
      <c r="B181" t="s">
        <v>207</v>
      </c>
      <c r="C181" t="s">
        <v>89</v>
      </c>
      <c r="D181" t="s">
        <v>630</v>
      </c>
      <c r="E181" t="s">
        <v>450</v>
      </c>
      <c r="F181" t="s">
        <v>134</v>
      </c>
      <c r="G181" t="s">
        <v>497</v>
      </c>
      <c r="H181">
        <v>44440</v>
      </c>
      <c r="I181">
        <f>Sales_Transactions_Raw[[#This Row],[Unit_Price]]*Sales_Transactions_Raw[[#This Row],[Quantity]]</f>
        <v>44440</v>
      </c>
      <c r="J181">
        <v>1</v>
      </c>
      <c r="K181">
        <v>0</v>
      </c>
      <c r="L181">
        <v>0</v>
      </c>
      <c r="M181">
        <v>44440</v>
      </c>
      <c r="N181">
        <v>5</v>
      </c>
      <c r="O181">
        <v>2222</v>
      </c>
      <c r="P181">
        <v>0</v>
      </c>
      <c r="Q181">
        <v>46662</v>
      </c>
      <c r="R181" t="s">
        <v>48</v>
      </c>
      <c r="S181" t="s">
        <v>49</v>
      </c>
      <c r="T181" t="s">
        <v>148</v>
      </c>
      <c r="U181" t="s">
        <v>50</v>
      </c>
      <c r="V181" t="s">
        <v>297</v>
      </c>
      <c r="W181" t="s">
        <v>52</v>
      </c>
      <c r="X181" t="s">
        <v>381</v>
      </c>
      <c r="Y181" t="s">
        <v>199</v>
      </c>
      <c r="Z181" t="s">
        <v>52</v>
      </c>
      <c r="AA181" t="s">
        <v>903</v>
      </c>
      <c r="AB181" t="s">
        <v>3335</v>
      </c>
      <c r="AC181">
        <v>4</v>
      </c>
      <c r="AD181" t="s">
        <v>56</v>
      </c>
      <c r="AE181" t="s">
        <v>3336</v>
      </c>
      <c r="AF181" t="s">
        <v>140</v>
      </c>
      <c r="AG181" t="s">
        <v>58</v>
      </c>
      <c r="AH181" s="1">
        <v>45449</v>
      </c>
      <c r="AI181" s="1">
        <v>45451</v>
      </c>
      <c r="AJ181" s="1">
        <v>45454</v>
      </c>
      <c r="AK181" t="s">
        <v>3360</v>
      </c>
      <c r="AL181" t="s">
        <v>902</v>
      </c>
    </row>
    <row r="182" spans="1:38" x14ac:dyDescent="0.35">
      <c r="A182" t="s">
        <v>904</v>
      </c>
      <c r="B182" t="s">
        <v>461</v>
      </c>
      <c r="C182" t="s">
        <v>157</v>
      </c>
      <c r="D182" t="s">
        <v>375</v>
      </c>
      <c r="E182" t="s">
        <v>376</v>
      </c>
      <c r="F182" t="s">
        <v>146</v>
      </c>
      <c r="G182" t="s">
        <v>147</v>
      </c>
      <c r="H182">
        <v>8670</v>
      </c>
      <c r="I182">
        <f>Sales_Transactions_Raw[[#This Row],[Unit_Price]]*Sales_Transactions_Raw[[#This Row],[Quantity]]</f>
        <v>17340</v>
      </c>
      <c r="J182">
        <v>2</v>
      </c>
      <c r="K182">
        <v>20</v>
      </c>
      <c r="L182">
        <v>3468</v>
      </c>
      <c r="M182">
        <v>13872</v>
      </c>
      <c r="N182">
        <v>12</v>
      </c>
      <c r="O182">
        <v>1664.64</v>
      </c>
      <c r="P182">
        <v>0</v>
      </c>
      <c r="Q182">
        <v>15536.64</v>
      </c>
      <c r="R182" t="s">
        <v>79</v>
      </c>
      <c r="S182" t="s">
        <v>65</v>
      </c>
      <c r="T182" t="s">
        <v>115</v>
      </c>
      <c r="U182" t="s">
        <v>161</v>
      </c>
      <c r="V182" t="s">
        <v>116</v>
      </c>
      <c r="W182" t="s">
        <v>70</v>
      </c>
      <c r="X182" t="s">
        <v>397</v>
      </c>
      <c r="Y182" t="s">
        <v>226</v>
      </c>
      <c r="Z182" t="s">
        <v>95</v>
      </c>
      <c r="AA182" t="s">
        <v>906</v>
      </c>
      <c r="AB182" t="s">
        <v>3341</v>
      </c>
      <c r="AC182">
        <v>3</v>
      </c>
      <c r="AD182" t="s">
        <v>56</v>
      </c>
      <c r="AE182" t="s">
        <v>3336</v>
      </c>
      <c r="AF182" t="s">
        <v>227</v>
      </c>
      <c r="AG182" t="s">
        <v>3337</v>
      </c>
      <c r="AH182" s="1">
        <v>45264</v>
      </c>
      <c r="AI182" s="1">
        <v>45270</v>
      </c>
      <c r="AJ182" s="1">
        <v>45273</v>
      </c>
      <c r="AK182" t="s">
        <v>3483</v>
      </c>
      <c r="AL182" t="s">
        <v>905</v>
      </c>
    </row>
    <row r="183" spans="1:38" x14ac:dyDescent="0.35">
      <c r="A183" t="s">
        <v>907</v>
      </c>
      <c r="B183" t="s">
        <v>588</v>
      </c>
      <c r="C183" t="s">
        <v>157</v>
      </c>
      <c r="D183" t="s">
        <v>303</v>
      </c>
      <c r="E183" t="s">
        <v>304</v>
      </c>
      <c r="F183" t="s">
        <v>134</v>
      </c>
      <c r="G183" t="s">
        <v>305</v>
      </c>
      <c r="H183">
        <v>40960</v>
      </c>
      <c r="I183">
        <f>Sales_Transactions_Raw[[#This Row],[Unit_Price]]*Sales_Transactions_Raw[[#This Row],[Quantity]]</f>
        <v>40960</v>
      </c>
      <c r="J183">
        <v>1</v>
      </c>
      <c r="K183">
        <v>15</v>
      </c>
      <c r="L183">
        <v>6144</v>
      </c>
      <c r="M183">
        <v>34816</v>
      </c>
      <c r="N183">
        <v>5</v>
      </c>
      <c r="O183">
        <v>1740.8</v>
      </c>
      <c r="P183">
        <v>0</v>
      </c>
      <c r="Q183">
        <v>36556.800000000003</v>
      </c>
      <c r="R183" t="s">
        <v>92</v>
      </c>
      <c r="S183" t="s">
        <v>93</v>
      </c>
      <c r="T183" t="s">
        <v>115</v>
      </c>
      <c r="U183" t="s">
        <v>50</v>
      </c>
      <c r="V183" t="s">
        <v>197</v>
      </c>
      <c r="W183" t="s">
        <v>696</v>
      </c>
      <c r="X183" t="s">
        <v>370</v>
      </c>
      <c r="Y183" t="s">
        <v>151</v>
      </c>
      <c r="Z183" t="s">
        <v>81</v>
      </c>
      <c r="AA183" t="s">
        <v>909</v>
      </c>
      <c r="AB183" t="s">
        <v>3341</v>
      </c>
      <c r="AC183">
        <v>2</v>
      </c>
      <c r="AD183" t="s">
        <v>56</v>
      </c>
      <c r="AE183" t="s">
        <v>3336</v>
      </c>
      <c r="AF183" t="s">
        <v>57</v>
      </c>
      <c r="AG183" t="s">
        <v>3337</v>
      </c>
      <c r="AH183" s="1">
        <v>45182</v>
      </c>
      <c r="AI183" s="1">
        <v>45188</v>
      </c>
      <c r="AJ183" s="1">
        <v>45196</v>
      </c>
      <c r="AK183" t="s">
        <v>3438</v>
      </c>
      <c r="AL183" t="s">
        <v>908</v>
      </c>
    </row>
    <row r="184" spans="1:38" x14ac:dyDescent="0.35">
      <c r="A184" t="s">
        <v>910</v>
      </c>
      <c r="B184" t="s">
        <v>842</v>
      </c>
      <c r="C184" t="s">
        <v>157</v>
      </c>
      <c r="D184" t="s">
        <v>667</v>
      </c>
      <c r="E184" t="s">
        <v>668</v>
      </c>
      <c r="F184" t="s">
        <v>146</v>
      </c>
      <c r="G184" t="s">
        <v>195</v>
      </c>
      <c r="H184">
        <v>9550</v>
      </c>
      <c r="I184">
        <f>Sales_Transactions_Raw[[#This Row],[Unit_Price]]*Sales_Transactions_Raw[[#This Row],[Quantity]]</f>
        <v>38200</v>
      </c>
      <c r="J184">
        <v>4</v>
      </c>
      <c r="K184">
        <v>10</v>
      </c>
      <c r="L184">
        <v>3820</v>
      </c>
      <c r="M184">
        <v>34380</v>
      </c>
      <c r="N184">
        <v>12</v>
      </c>
      <c r="O184">
        <v>4125.6000000000004</v>
      </c>
      <c r="P184">
        <v>0</v>
      </c>
      <c r="Q184">
        <v>38505.599999999999</v>
      </c>
      <c r="R184" t="s">
        <v>79</v>
      </c>
      <c r="S184" t="s">
        <v>125</v>
      </c>
      <c r="T184" t="s">
        <v>115</v>
      </c>
      <c r="U184" t="s">
        <v>214</v>
      </c>
      <c r="V184" t="s">
        <v>242</v>
      </c>
      <c r="W184" t="s">
        <v>70</v>
      </c>
      <c r="X184" t="s">
        <v>150</v>
      </c>
      <c r="Y184" t="s">
        <v>151</v>
      </c>
      <c r="Z184" t="s">
        <v>81</v>
      </c>
      <c r="AA184" t="s">
        <v>912</v>
      </c>
      <c r="AB184" t="s">
        <v>3335</v>
      </c>
      <c r="AC184">
        <v>3</v>
      </c>
      <c r="AD184" t="s">
        <v>56</v>
      </c>
      <c r="AE184" t="s">
        <v>3336</v>
      </c>
      <c r="AF184" t="s">
        <v>262</v>
      </c>
      <c r="AG184" t="s">
        <v>3342</v>
      </c>
      <c r="AH184" s="1">
        <v>44970</v>
      </c>
      <c r="AI184" s="1">
        <v>44975</v>
      </c>
      <c r="AJ184" s="1">
        <v>44984</v>
      </c>
      <c r="AK184" t="s">
        <v>3484</v>
      </c>
      <c r="AL184" t="s">
        <v>911</v>
      </c>
    </row>
    <row r="185" spans="1:38" x14ac:dyDescent="0.35">
      <c r="A185" t="s">
        <v>913</v>
      </c>
      <c r="B185" t="s">
        <v>272</v>
      </c>
      <c r="C185" t="s">
        <v>43</v>
      </c>
      <c r="D185" t="s">
        <v>406</v>
      </c>
      <c r="E185" t="s">
        <v>231</v>
      </c>
      <c r="F185" t="s">
        <v>46</v>
      </c>
      <c r="G185" t="s">
        <v>369</v>
      </c>
      <c r="H185">
        <v>88710</v>
      </c>
      <c r="I185">
        <f>Sales_Transactions_Raw[[#This Row],[Unit_Price]]*Sales_Transactions_Raw[[#This Row],[Quantity]]</f>
        <v>620970</v>
      </c>
      <c r="J185">
        <v>7</v>
      </c>
      <c r="K185">
        <v>20</v>
      </c>
      <c r="L185">
        <v>124194</v>
      </c>
      <c r="M185">
        <v>496776</v>
      </c>
      <c r="N185">
        <v>18</v>
      </c>
      <c r="O185">
        <v>89419.68</v>
      </c>
      <c r="P185">
        <v>0</v>
      </c>
      <c r="Q185">
        <v>586195.67999999993</v>
      </c>
      <c r="R185" t="s">
        <v>106</v>
      </c>
      <c r="S185" t="s">
        <v>125</v>
      </c>
      <c r="T185" t="s">
        <v>115</v>
      </c>
      <c r="U185" t="s">
        <v>214</v>
      </c>
      <c r="V185" t="s">
        <v>276</v>
      </c>
      <c r="W185" t="s">
        <v>95</v>
      </c>
      <c r="X185" t="s">
        <v>204</v>
      </c>
      <c r="Y185" t="s">
        <v>118</v>
      </c>
      <c r="Z185" t="s">
        <v>70</v>
      </c>
      <c r="AA185" t="s">
        <v>915</v>
      </c>
      <c r="AB185" t="s">
        <v>3335</v>
      </c>
      <c r="AC185">
        <v>3</v>
      </c>
      <c r="AD185" t="s">
        <v>56</v>
      </c>
      <c r="AE185" t="s">
        <v>3336</v>
      </c>
      <c r="AF185" t="s">
        <v>227</v>
      </c>
      <c r="AG185" t="s">
        <v>3337</v>
      </c>
      <c r="AH185" s="1">
        <v>45430</v>
      </c>
      <c r="AI185" s="1">
        <v>45432</v>
      </c>
      <c r="AJ185" s="1">
        <v>45435</v>
      </c>
      <c r="AK185" t="s">
        <v>3446</v>
      </c>
      <c r="AL185" t="s">
        <v>914</v>
      </c>
    </row>
    <row r="186" spans="1:38" x14ac:dyDescent="0.35">
      <c r="A186" t="s">
        <v>916</v>
      </c>
      <c r="B186" t="s">
        <v>605</v>
      </c>
      <c r="C186" t="s">
        <v>43</v>
      </c>
      <c r="D186" t="s">
        <v>230</v>
      </c>
      <c r="E186" t="s">
        <v>231</v>
      </c>
      <c r="F186" t="s">
        <v>46</v>
      </c>
      <c r="G186" t="s">
        <v>63</v>
      </c>
      <c r="H186">
        <v>118290</v>
      </c>
      <c r="I186">
        <f>Sales_Transactions_Raw[[#This Row],[Unit_Price]]*Sales_Transactions_Raw[[#This Row],[Quantity]]</f>
        <v>118290</v>
      </c>
      <c r="J186">
        <v>1</v>
      </c>
      <c r="K186">
        <v>0</v>
      </c>
      <c r="L186">
        <v>0</v>
      </c>
      <c r="M186">
        <v>118290</v>
      </c>
      <c r="N186">
        <v>18</v>
      </c>
      <c r="O186">
        <v>21292.2</v>
      </c>
      <c r="P186">
        <v>0</v>
      </c>
      <c r="Q186">
        <v>139582.20000000001</v>
      </c>
      <c r="R186" t="s">
        <v>124</v>
      </c>
      <c r="S186" t="s">
        <v>107</v>
      </c>
      <c r="T186" t="s">
        <v>136</v>
      </c>
      <c r="U186" t="s">
        <v>108</v>
      </c>
      <c r="V186" t="s">
        <v>197</v>
      </c>
      <c r="W186" t="s">
        <v>68</v>
      </c>
      <c r="X186" t="s">
        <v>204</v>
      </c>
      <c r="Y186" t="s">
        <v>118</v>
      </c>
      <c r="Z186" t="s">
        <v>70</v>
      </c>
      <c r="AA186" t="s">
        <v>918</v>
      </c>
      <c r="AB186" t="s">
        <v>3335</v>
      </c>
      <c r="AC186">
        <v>4</v>
      </c>
      <c r="AD186" t="s">
        <v>56</v>
      </c>
      <c r="AE186" t="s">
        <v>3336</v>
      </c>
      <c r="AF186" t="s">
        <v>84</v>
      </c>
      <c r="AG186" t="s">
        <v>3342</v>
      </c>
      <c r="AH186" s="1">
        <v>44948</v>
      </c>
      <c r="AI186" s="1">
        <v>44950</v>
      </c>
      <c r="AJ186" s="1">
        <v>44954</v>
      </c>
      <c r="AK186" t="s">
        <v>3485</v>
      </c>
      <c r="AL186" t="s">
        <v>917</v>
      </c>
    </row>
    <row r="187" spans="1:38" x14ac:dyDescent="0.35">
      <c r="A187" t="s">
        <v>919</v>
      </c>
      <c r="B187" t="s">
        <v>920</v>
      </c>
      <c r="C187" t="s">
        <v>43</v>
      </c>
      <c r="D187" t="s">
        <v>367</v>
      </c>
      <c r="E187" t="s">
        <v>368</v>
      </c>
      <c r="F187" t="s">
        <v>46</v>
      </c>
      <c r="G187" t="s">
        <v>369</v>
      </c>
      <c r="H187">
        <v>27330</v>
      </c>
      <c r="I187">
        <f>Sales_Transactions_Raw[[#This Row],[Unit_Price]]*Sales_Transactions_Raw[[#This Row],[Quantity]]</f>
        <v>27330</v>
      </c>
      <c r="J187">
        <v>1</v>
      </c>
      <c r="K187">
        <v>5</v>
      </c>
      <c r="L187">
        <v>1366.5</v>
      </c>
      <c r="M187">
        <v>25963.5</v>
      </c>
      <c r="N187">
        <v>18</v>
      </c>
      <c r="O187">
        <v>4673.43</v>
      </c>
      <c r="P187">
        <v>0</v>
      </c>
      <c r="Q187">
        <v>30636.93</v>
      </c>
      <c r="R187" t="s">
        <v>79</v>
      </c>
      <c r="S187" t="s">
        <v>49</v>
      </c>
      <c r="T187" t="s">
        <v>115</v>
      </c>
      <c r="U187" t="s">
        <v>108</v>
      </c>
      <c r="V187" t="s">
        <v>276</v>
      </c>
      <c r="W187" t="s">
        <v>95</v>
      </c>
      <c r="X187" t="s">
        <v>922</v>
      </c>
      <c r="Y187" t="s">
        <v>199</v>
      </c>
      <c r="Z187" t="s">
        <v>52</v>
      </c>
      <c r="AA187" t="s">
        <v>923</v>
      </c>
      <c r="AB187" t="s">
        <v>3339</v>
      </c>
      <c r="AC187">
        <v>4</v>
      </c>
      <c r="AD187" t="s">
        <v>56</v>
      </c>
      <c r="AE187" t="s">
        <v>3336</v>
      </c>
      <c r="AF187" t="s">
        <v>99</v>
      </c>
      <c r="AG187" t="s">
        <v>85</v>
      </c>
      <c r="AH187" s="1">
        <v>44979</v>
      </c>
      <c r="AI187" s="1">
        <v>44982</v>
      </c>
      <c r="AJ187" s="1">
        <v>44985</v>
      </c>
      <c r="AK187" t="s">
        <v>3486</v>
      </c>
      <c r="AL187" t="s">
        <v>921</v>
      </c>
    </row>
    <row r="188" spans="1:38" x14ac:dyDescent="0.35">
      <c r="A188" t="s">
        <v>924</v>
      </c>
      <c r="B188" t="s">
        <v>447</v>
      </c>
      <c r="C188" t="s">
        <v>157</v>
      </c>
      <c r="D188" t="s">
        <v>345</v>
      </c>
      <c r="E188" t="s">
        <v>346</v>
      </c>
      <c r="F188" t="s">
        <v>46</v>
      </c>
      <c r="G188" t="s">
        <v>63</v>
      </c>
      <c r="H188">
        <v>129420</v>
      </c>
      <c r="I188">
        <f>Sales_Transactions_Raw[[#This Row],[Unit_Price]]*Sales_Transactions_Raw[[#This Row],[Quantity]]</f>
        <v>129420</v>
      </c>
      <c r="J188">
        <v>1</v>
      </c>
      <c r="K188">
        <v>0</v>
      </c>
      <c r="L188">
        <v>0</v>
      </c>
      <c r="M188">
        <v>129420</v>
      </c>
      <c r="N188">
        <v>18</v>
      </c>
      <c r="O188">
        <v>23295.599999999999</v>
      </c>
      <c r="P188">
        <v>0</v>
      </c>
      <c r="Q188">
        <v>152715.6</v>
      </c>
      <c r="R188" t="s">
        <v>160</v>
      </c>
      <c r="S188" t="s">
        <v>125</v>
      </c>
      <c r="T188" t="s">
        <v>115</v>
      </c>
      <c r="U188" t="s">
        <v>50</v>
      </c>
      <c r="V188" t="s">
        <v>242</v>
      </c>
      <c r="W188" t="s">
        <v>70</v>
      </c>
      <c r="X188" t="s">
        <v>510</v>
      </c>
      <c r="Y188" t="s">
        <v>199</v>
      </c>
      <c r="Z188" t="s">
        <v>52</v>
      </c>
      <c r="AA188" t="s">
        <v>926</v>
      </c>
      <c r="AB188" t="s">
        <v>3344</v>
      </c>
      <c r="AC188">
        <v>5</v>
      </c>
      <c r="AD188" t="s">
        <v>56</v>
      </c>
      <c r="AE188" t="s">
        <v>3336</v>
      </c>
      <c r="AF188" t="s">
        <v>262</v>
      </c>
      <c r="AG188" t="s">
        <v>111</v>
      </c>
      <c r="AH188" s="1">
        <v>45278</v>
      </c>
      <c r="AI188" s="1">
        <v>45281</v>
      </c>
      <c r="AJ188" s="1">
        <v>45290</v>
      </c>
      <c r="AK188" t="s">
        <v>3434</v>
      </c>
      <c r="AL188" t="s">
        <v>925</v>
      </c>
    </row>
    <row r="189" spans="1:38" x14ac:dyDescent="0.35">
      <c r="A189" t="s">
        <v>927</v>
      </c>
      <c r="B189" t="s">
        <v>559</v>
      </c>
      <c r="C189" t="s">
        <v>89</v>
      </c>
      <c r="D189" t="s">
        <v>466</v>
      </c>
      <c r="E189" t="s">
        <v>467</v>
      </c>
      <c r="F189" t="s">
        <v>185</v>
      </c>
      <c r="G189" t="s">
        <v>468</v>
      </c>
      <c r="H189">
        <v>560</v>
      </c>
      <c r="I189">
        <f>Sales_Transactions_Raw[[#This Row],[Unit_Price]]*Sales_Transactions_Raw[[#This Row],[Quantity]]</f>
        <v>560</v>
      </c>
      <c r="J189">
        <v>1</v>
      </c>
      <c r="K189">
        <v>0</v>
      </c>
      <c r="L189">
        <v>0</v>
      </c>
      <c r="M189">
        <v>560</v>
      </c>
      <c r="N189">
        <v>5</v>
      </c>
      <c r="O189">
        <v>28</v>
      </c>
      <c r="P189">
        <v>79</v>
      </c>
      <c r="Q189">
        <v>588</v>
      </c>
      <c r="R189" t="s">
        <v>64</v>
      </c>
      <c r="S189" t="s">
        <v>49</v>
      </c>
      <c r="T189" t="s">
        <v>115</v>
      </c>
      <c r="U189" t="s">
        <v>196</v>
      </c>
      <c r="V189" t="s">
        <v>177</v>
      </c>
      <c r="W189" t="s">
        <v>81</v>
      </c>
      <c r="X189" t="s">
        <v>381</v>
      </c>
      <c r="Y189" t="s">
        <v>199</v>
      </c>
      <c r="Z189" t="s">
        <v>52</v>
      </c>
      <c r="AA189" t="s">
        <v>929</v>
      </c>
      <c r="AB189" t="s">
        <v>3343</v>
      </c>
      <c r="AC189">
        <v>2</v>
      </c>
      <c r="AD189" t="s">
        <v>56</v>
      </c>
      <c r="AE189" t="s">
        <v>3336</v>
      </c>
      <c r="AF189" t="s">
        <v>57</v>
      </c>
      <c r="AG189" t="s">
        <v>85</v>
      </c>
      <c r="AH189" s="1">
        <v>45237</v>
      </c>
      <c r="AI189" s="1">
        <v>45244</v>
      </c>
      <c r="AJ189" s="1">
        <v>45249</v>
      </c>
      <c r="AK189" t="s">
        <v>3487</v>
      </c>
      <c r="AL189" t="s">
        <v>928</v>
      </c>
    </row>
    <row r="190" spans="1:38" x14ac:dyDescent="0.35">
      <c r="A190" t="s">
        <v>930</v>
      </c>
      <c r="B190" t="s">
        <v>588</v>
      </c>
      <c r="C190" t="s">
        <v>43</v>
      </c>
      <c r="D190" t="s">
        <v>209</v>
      </c>
      <c r="E190" t="s">
        <v>210</v>
      </c>
      <c r="F190" t="s">
        <v>211</v>
      </c>
      <c r="G190" t="s">
        <v>212</v>
      </c>
      <c r="H190">
        <v>4720</v>
      </c>
      <c r="I190">
        <f>Sales_Transactions_Raw[[#This Row],[Unit_Price]]*Sales_Transactions_Raw[[#This Row],[Quantity]]</f>
        <v>14160</v>
      </c>
      <c r="J190">
        <v>3</v>
      </c>
      <c r="K190">
        <v>15</v>
      </c>
      <c r="L190">
        <v>2124</v>
      </c>
      <c r="M190">
        <v>12036</v>
      </c>
      <c r="N190">
        <v>5</v>
      </c>
      <c r="O190">
        <v>601.79999999999995</v>
      </c>
      <c r="P190">
        <v>0</v>
      </c>
      <c r="Q190">
        <v>12637.8</v>
      </c>
      <c r="R190" t="s">
        <v>48</v>
      </c>
      <c r="S190" t="s">
        <v>93</v>
      </c>
      <c r="T190" t="s">
        <v>115</v>
      </c>
      <c r="U190" t="s">
        <v>196</v>
      </c>
      <c r="V190" t="s">
        <v>51</v>
      </c>
      <c r="W190" t="s">
        <v>52</v>
      </c>
      <c r="X190" t="s">
        <v>198</v>
      </c>
      <c r="Y190" t="s">
        <v>199</v>
      </c>
      <c r="Z190" t="s">
        <v>52</v>
      </c>
      <c r="AA190" t="s">
        <v>932</v>
      </c>
      <c r="AB190" t="s">
        <v>3343</v>
      </c>
      <c r="AC190">
        <v>5</v>
      </c>
      <c r="AD190" t="s">
        <v>56</v>
      </c>
      <c r="AE190" t="s">
        <v>3336</v>
      </c>
      <c r="AF190" t="s">
        <v>99</v>
      </c>
      <c r="AG190" t="s">
        <v>111</v>
      </c>
      <c r="AH190" s="1">
        <v>45379</v>
      </c>
      <c r="AI190" s="1">
        <v>45381</v>
      </c>
      <c r="AJ190" s="1">
        <v>45388</v>
      </c>
      <c r="AK190" t="s">
        <v>3438</v>
      </c>
      <c r="AL190" t="s">
        <v>931</v>
      </c>
    </row>
    <row r="191" spans="1:38" x14ac:dyDescent="0.35">
      <c r="A191" t="s">
        <v>933</v>
      </c>
      <c r="B191" t="s">
        <v>333</v>
      </c>
      <c r="C191" t="s">
        <v>43</v>
      </c>
      <c r="D191" t="s">
        <v>44</v>
      </c>
      <c r="E191" t="s">
        <v>45</v>
      </c>
      <c r="F191" t="s">
        <v>46</v>
      </c>
      <c r="G191" t="s">
        <v>47</v>
      </c>
      <c r="H191">
        <v>12970</v>
      </c>
      <c r="I191">
        <f>Sales_Transactions_Raw[[#This Row],[Unit_Price]]*Sales_Transactions_Raw[[#This Row],[Quantity]]</f>
        <v>12970</v>
      </c>
      <c r="J191">
        <v>1</v>
      </c>
      <c r="K191">
        <v>5</v>
      </c>
      <c r="L191">
        <v>648.5</v>
      </c>
      <c r="M191">
        <v>12321.5</v>
      </c>
      <c r="N191">
        <v>18</v>
      </c>
      <c r="O191">
        <v>2217.87</v>
      </c>
      <c r="P191">
        <v>0</v>
      </c>
      <c r="Q191">
        <v>14539.369999999999</v>
      </c>
      <c r="R191" t="s">
        <v>48</v>
      </c>
      <c r="S191" t="s">
        <v>49</v>
      </c>
      <c r="T191" t="s">
        <v>66</v>
      </c>
      <c r="U191" t="s">
        <v>161</v>
      </c>
      <c r="V191" t="s">
        <v>224</v>
      </c>
      <c r="W191" t="s">
        <v>95</v>
      </c>
      <c r="X191" t="s">
        <v>362</v>
      </c>
      <c r="Y191" t="s">
        <v>118</v>
      </c>
      <c r="Z191" t="s">
        <v>70</v>
      </c>
      <c r="AA191" t="s">
        <v>935</v>
      </c>
      <c r="AB191" t="s">
        <v>3335</v>
      </c>
      <c r="AC191">
        <v>5</v>
      </c>
      <c r="AD191" t="s">
        <v>56</v>
      </c>
      <c r="AE191" t="s">
        <v>3336</v>
      </c>
      <c r="AF191" t="s">
        <v>140</v>
      </c>
      <c r="AG191" t="s">
        <v>58</v>
      </c>
      <c r="AH191" s="1">
        <v>44940</v>
      </c>
      <c r="AI191" s="1">
        <v>44947</v>
      </c>
      <c r="AJ191" s="1">
        <v>44949</v>
      </c>
      <c r="AK191" t="s">
        <v>3488</v>
      </c>
      <c r="AL191" t="s">
        <v>934</v>
      </c>
    </row>
    <row r="192" spans="1:38" x14ac:dyDescent="0.35">
      <c r="A192" t="s">
        <v>936</v>
      </c>
      <c r="B192" t="s">
        <v>478</v>
      </c>
      <c r="C192" t="s">
        <v>43</v>
      </c>
      <c r="D192" t="s">
        <v>249</v>
      </c>
      <c r="E192" t="s">
        <v>250</v>
      </c>
      <c r="F192" t="s">
        <v>211</v>
      </c>
      <c r="G192" t="s">
        <v>251</v>
      </c>
      <c r="H192">
        <v>18090</v>
      </c>
      <c r="I192">
        <f>Sales_Transactions_Raw[[#This Row],[Unit_Price]]*Sales_Transactions_Raw[[#This Row],[Quantity]]</f>
        <v>18090</v>
      </c>
      <c r="J192">
        <v>1</v>
      </c>
      <c r="K192">
        <v>10</v>
      </c>
      <c r="L192">
        <v>1809</v>
      </c>
      <c r="M192">
        <v>16281</v>
      </c>
      <c r="N192">
        <v>5</v>
      </c>
      <c r="O192">
        <v>814.05</v>
      </c>
      <c r="P192">
        <v>0</v>
      </c>
      <c r="Q192">
        <v>17095.05</v>
      </c>
      <c r="R192" t="s">
        <v>48</v>
      </c>
      <c r="S192" t="s">
        <v>125</v>
      </c>
      <c r="T192" t="s">
        <v>66</v>
      </c>
      <c r="U192" t="s">
        <v>50</v>
      </c>
      <c r="V192" t="s">
        <v>116</v>
      </c>
      <c r="W192" t="s">
        <v>70</v>
      </c>
      <c r="X192" t="s">
        <v>422</v>
      </c>
      <c r="Y192" t="s">
        <v>319</v>
      </c>
      <c r="Z192" t="s">
        <v>95</v>
      </c>
      <c r="AA192" t="s">
        <v>938</v>
      </c>
      <c r="AB192" t="s">
        <v>3338</v>
      </c>
      <c r="AC192">
        <v>3</v>
      </c>
      <c r="AD192" t="s">
        <v>56</v>
      </c>
      <c r="AE192" t="s">
        <v>3336</v>
      </c>
      <c r="AF192" t="s">
        <v>99</v>
      </c>
      <c r="AG192" t="s">
        <v>111</v>
      </c>
      <c r="AH192" s="1">
        <v>45296</v>
      </c>
      <c r="AI192" s="1">
        <v>45297</v>
      </c>
      <c r="AJ192" s="1">
        <v>45299</v>
      </c>
      <c r="AK192" t="s">
        <v>3398</v>
      </c>
      <c r="AL192" t="s">
        <v>937</v>
      </c>
    </row>
    <row r="193" spans="1:38" x14ac:dyDescent="0.35">
      <c r="A193" t="s">
        <v>939</v>
      </c>
      <c r="B193" t="s">
        <v>940</v>
      </c>
      <c r="C193" t="s">
        <v>43</v>
      </c>
      <c r="D193" t="s">
        <v>144</v>
      </c>
      <c r="E193" t="s">
        <v>145</v>
      </c>
      <c r="F193" t="s">
        <v>146</v>
      </c>
      <c r="G193" t="s">
        <v>147</v>
      </c>
      <c r="H193">
        <v>2470</v>
      </c>
      <c r="I193">
        <f>Sales_Transactions_Raw[[#This Row],[Unit_Price]]*Sales_Transactions_Raw[[#This Row],[Quantity]]</f>
        <v>7410</v>
      </c>
      <c r="J193">
        <v>3</v>
      </c>
      <c r="K193">
        <v>10</v>
      </c>
      <c r="L193">
        <v>741</v>
      </c>
      <c r="M193">
        <v>6669</v>
      </c>
      <c r="N193">
        <v>12</v>
      </c>
      <c r="O193">
        <v>800.28</v>
      </c>
      <c r="P193">
        <v>0</v>
      </c>
      <c r="Q193">
        <v>7469.28</v>
      </c>
      <c r="R193" t="s">
        <v>64</v>
      </c>
      <c r="S193" t="s">
        <v>49</v>
      </c>
      <c r="T193" t="s">
        <v>66</v>
      </c>
      <c r="U193" t="s">
        <v>108</v>
      </c>
      <c r="V193" t="s">
        <v>269</v>
      </c>
      <c r="W193" t="s">
        <v>70</v>
      </c>
      <c r="X193" t="s">
        <v>510</v>
      </c>
      <c r="Y193" t="s">
        <v>199</v>
      </c>
      <c r="Z193" t="s">
        <v>52</v>
      </c>
      <c r="AA193" t="s">
        <v>942</v>
      </c>
      <c r="AB193" t="s">
        <v>3341</v>
      </c>
      <c r="AC193">
        <v>3</v>
      </c>
      <c r="AD193" t="s">
        <v>56</v>
      </c>
      <c r="AE193" t="s">
        <v>3336</v>
      </c>
      <c r="AF193" t="s">
        <v>262</v>
      </c>
      <c r="AG193" t="s">
        <v>58</v>
      </c>
      <c r="AH193" s="1">
        <v>45472</v>
      </c>
      <c r="AI193" s="1">
        <v>45477</v>
      </c>
      <c r="AJ193" s="1">
        <v>45482</v>
      </c>
      <c r="AK193" t="s">
        <v>3489</v>
      </c>
      <c r="AL193" t="s">
        <v>941</v>
      </c>
    </row>
    <row r="194" spans="1:38" x14ac:dyDescent="0.35">
      <c r="A194" t="s">
        <v>943</v>
      </c>
      <c r="B194" t="s">
        <v>944</v>
      </c>
      <c r="C194" t="s">
        <v>131</v>
      </c>
      <c r="D194" t="s">
        <v>402</v>
      </c>
      <c r="E194" t="s">
        <v>403</v>
      </c>
      <c r="F194" t="s">
        <v>146</v>
      </c>
      <c r="G194" t="s">
        <v>223</v>
      </c>
      <c r="H194">
        <v>1930</v>
      </c>
      <c r="I194">
        <f>Sales_Transactions_Raw[[#This Row],[Unit_Price]]*Sales_Transactions_Raw[[#This Row],[Quantity]]</f>
        <v>7720</v>
      </c>
      <c r="J194">
        <v>4</v>
      </c>
      <c r="K194">
        <v>5</v>
      </c>
      <c r="L194">
        <v>386</v>
      </c>
      <c r="M194">
        <v>7334</v>
      </c>
      <c r="N194">
        <v>12</v>
      </c>
      <c r="O194">
        <v>880.08</v>
      </c>
      <c r="P194">
        <v>0</v>
      </c>
      <c r="Q194">
        <v>8214.08</v>
      </c>
      <c r="R194" t="s">
        <v>106</v>
      </c>
      <c r="S194" t="s">
        <v>65</v>
      </c>
      <c r="T194" t="s">
        <v>115</v>
      </c>
      <c r="U194" t="s">
        <v>196</v>
      </c>
      <c r="V194" t="s">
        <v>80</v>
      </c>
      <c r="W194" t="s">
        <v>81</v>
      </c>
      <c r="X194" t="s">
        <v>397</v>
      </c>
      <c r="Y194" t="s">
        <v>226</v>
      </c>
      <c r="Z194" t="s">
        <v>95</v>
      </c>
      <c r="AA194" t="s">
        <v>946</v>
      </c>
      <c r="AB194" t="s">
        <v>3340</v>
      </c>
      <c r="AC194">
        <v>4</v>
      </c>
      <c r="AD194" t="s">
        <v>56</v>
      </c>
      <c r="AE194" t="s">
        <v>3336</v>
      </c>
      <c r="AF194" t="s">
        <v>99</v>
      </c>
      <c r="AG194" t="s">
        <v>3337</v>
      </c>
      <c r="AH194" s="1">
        <v>45113</v>
      </c>
      <c r="AI194" s="1">
        <v>45117</v>
      </c>
      <c r="AJ194" s="1">
        <v>45121</v>
      </c>
      <c r="AK194" t="s">
        <v>3490</v>
      </c>
      <c r="AL194" t="s">
        <v>945</v>
      </c>
    </row>
    <row r="195" spans="1:38" x14ac:dyDescent="0.35">
      <c r="A195" t="s">
        <v>947</v>
      </c>
      <c r="B195" t="s">
        <v>948</v>
      </c>
      <c r="C195" t="s">
        <v>157</v>
      </c>
      <c r="D195" t="s">
        <v>303</v>
      </c>
      <c r="E195" t="s">
        <v>304</v>
      </c>
      <c r="F195" t="s">
        <v>134</v>
      </c>
      <c r="G195" t="s">
        <v>305</v>
      </c>
      <c r="H195">
        <v>39700</v>
      </c>
      <c r="I195">
        <f>Sales_Transactions_Raw[[#This Row],[Unit_Price]]*Sales_Transactions_Raw[[#This Row],[Quantity]]</f>
        <v>79400</v>
      </c>
      <c r="J195">
        <v>2</v>
      </c>
      <c r="K195">
        <v>5</v>
      </c>
      <c r="L195">
        <v>3970</v>
      </c>
      <c r="M195">
        <v>75430</v>
      </c>
      <c r="N195">
        <v>5</v>
      </c>
      <c r="O195">
        <v>3771.5</v>
      </c>
      <c r="P195">
        <v>0</v>
      </c>
      <c r="Q195">
        <v>79201.5</v>
      </c>
      <c r="R195" t="s">
        <v>48</v>
      </c>
      <c r="S195" t="s">
        <v>107</v>
      </c>
      <c r="T195" t="s">
        <v>115</v>
      </c>
      <c r="U195" t="s">
        <v>108</v>
      </c>
      <c r="V195" t="s">
        <v>276</v>
      </c>
      <c r="W195" t="s">
        <v>95</v>
      </c>
      <c r="X195" t="s">
        <v>232</v>
      </c>
      <c r="Y195" t="s">
        <v>82</v>
      </c>
      <c r="Z195" t="s">
        <v>52</v>
      </c>
      <c r="AA195" t="s">
        <v>950</v>
      </c>
      <c r="AB195" t="s">
        <v>3340</v>
      </c>
      <c r="AC195">
        <v>4</v>
      </c>
      <c r="AD195" t="s">
        <v>56</v>
      </c>
      <c r="AE195" t="s">
        <v>3336</v>
      </c>
      <c r="AF195" t="s">
        <v>72</v>
      </c>
      <c r="AG195" t="s">
        <v>58</v>
      </c>
      <c r="AH195" s="1">
        <v>45126</v>
      </c>
      <c r="AI195" s="1">
        <v>45129</v>
      </c>
      <c r="AJ195" s="1">
        <v>45132</v>
      </c>
      <c r="AK195" t="s">
        <v>3491</v>
      </c>
      <c r="AL195" t="s">
        <v>949</v>
      </c>
    </row>
    <row r="196" spans="1:38" x14ac:dyDescent="0.35">
      <c r="A196" t="s">
        <v>951</v>
      </c>
      <c r="B196" t="s">
        <v>687</v>
      </c>
      <c r="C196" t="s">
        <v>43</v>
      </c>
      <c r="D196" t="s">
        <v>713</v>
      </c>
      <c r="E196" t="s">
        <v>714</v>
      </c>
      <c r="F196" t="s">
        <v>46</v>
      </c>
      <c r="G196" t="s">
        <v>47</v>
      </c>
      <c r="H196">
        <v>15270</v>
      </c>
      <c r="I196">
        <f>Sales_Transactions_Raw[[#This Row],[Unit_Price]]*Sales_Transactions_Raw[[#This Row],[Quantity]]</f>
        <v>15270</v>
      </c>
      <c r="J196">
        <v>1</v>
      </c>
      <c r="K196">
        <v>10</v>
      </c>
      <c r="L196">
        <v>1527</v>
      </c>
      <c r="M196">
        <v>13743</v>
      </c>
      <c r="N196">
        <v>18</v>
      </c>
      <c r="O196">
        <v>2473.7399999999998</v>
      </c>
      <c r="P196">
        <v>0</v>
      </c>
      <c r="Q196">
        <v>16216.74</v>
      </c>
      <c r="R196" t="s">
        <v>64</v>
      </c>
      <c r="S196" t="s">
        <v>49</v>
      </c>
      <c r="T196" t="s">
        <v>115</v>
      </c>
      <c r="U196" t="s">
        <v>50</v>
      </c>
      <c r="V196" t="s">
        <v>80</v>
      </c>
      <c r="W196" t="s">
        <v>81</v>
      </c>
      <c r="X196" t="s">
        <v>505</v>
      </c>
      <c r="Y196" t="s">
        <v>118</v>
      </c>
      <c r="Z196" t="s">
        <v>70</v>
      </c>
      <c r="AA196" t="s">
        <v>953</v>
      </c>
      <c r="AB196" t="s">
        <v>3335</v>
      </c>
      <c r="AC196">
        <v>5</v>
      </c>
      <c r="AD196" t="s">
        <v>56</v>
      </c>
      <c r="AE196" t="s">
        <v>3336</v>
      </c>
      <c r="AF196" t="s">
        <v>326</v>
      </c>
      <c r="AG196" t="s">
        <v>3342</v>
      </c>
      <c r="AH196" s="1">
        <v>45401</v>
      </c>
      <c r="AI196" s="1">
        <v>45402</v>
      </c>
      <c r="AJ196" s="1">
        <v>45405</v>
      </c>
      <c r="AK196" t="s">
        <v>3492</v>
      </c>
      <c r="AL196" t="s">
        <v>952</v>
      </c>
    </row>
    <row r="197" spans="1:38" x14ac:dyDescent="0.35">
      <c r="A197" t="s">
        <v>954</v>
      </c>
      <c r="B197" t="s">
        <v>803</v>
      </c>
      <c r="C197" t="s">
        <v>157</v>
      </c>
      <c r="D197" t="s">
        <v>956</v>
      </c>
      <c r="E197" t="s">
        <v>957</v>
      </c>
      <c r="F197" t="s">
        <v>46</v>
      </c>
      <c r="G197" t="s">
        <v>147</v>
      </c>
      <c r="H197">
        <v>8980</v>
      </c>
      <c r="I197">
        <f>Sales_Transactions_Raw[[#This Row],[Unit_Price]]*Sales_Transactions_Raw[[#This Row],[Quantity]]</f>
        <v>89800</v>
      </c>
      <c r="J197">
        <v>10</v>
      </c>
      <c r="K197">
        <v>5</v>
      </c>
      <c r="L197">
        <v>4490</v>
      </c>
      <c r="M197">
        <v>85310</v>
      </c>
      <c r="N197">
        <v>18</v>
      </c>
      <c r="O197">
        <v>15355.8</v>
      </c>
      <c r="P197">
        <v>0</v>
      </c>
      <c r="Q197">
        <v>100665.8</v>
      </c>
      <c r="R197" t="s">
        <v>124</v>
      </c>
      <c r="S197" t="s">
        <v>107</v>
      </c>
      <c r="T197" t="s">
        <v>115</v>
      </c>
      <c r="U197" t="s">
        <v>214</v>
      </c>
      <c r="V197" t="s">
        <v>177</v>
      </c>
      <c r="W197" t="s">
        <v>81</v>
      </c>
      <c r="X197" t="s">
        <v>215</v>
      </c>
      <c r="Y197" t="s">
        <v>169</v>
      </c>
      <c r="Z197" t="s">
        <v>95</v>
      </c>
      <c r="AA197" t="s">
        <v>958</v>
      </c>
      <c r="AB197" t="s">
        <v>3335</v>
      </c>
      <c r="AC197">
        <v>3</v>
      </c>
      <c r="AD197" t="s">
        <v>56</v>
      </c>
      <c r="AE197" t="s">
        <v>3336</v>
      </c>
      <c r="AF197" t="s">
        <v>227</v>
      </c>
      <c r="AG197" t="s">
        <v>85</v>
      </c>
      <c r="AH197" s="1">
        <v>45379</v>
      </c>
      <c r="AI197" s="1">
        <v>45355</v>
      </c>
      <c r="AJ197" s="1">
        <v>45477</v>
      </c>
      <c r="AK197" t="s">
        <v>3493</v>
      </c>
      <c r="AL197" t="s">
        <v>955</v>
      </c>
    </row>
    <row r="198" spans="1:38" x14ac:dyDescent="0.35">
      <c r="A198" t="s">
        <v>959</v>
      </c>
      <c r="B198" t="s">
        <v>960</v>
      </c>
      <c r="C198" t="s">
        <v>89</v>
      </c>
      <c r="D198" t="s">
        <v>630</v>
      </c>
      <c r="E198" t="s">
        <v>450</v>
      </c>
      <c r="F198" t="s">
        <v>134</v>
      </c>
      <c r="G198" t="s">
        <v>497</v>
      </c>
      <c r="H198">
        <v>48350</v>
      </c>
      <c r="I198">
        <f>Sales_Transactions_Raw[[#This Row],[Unit_Price]]*Sales_Transactions_Raw[[#This Row],[Quantity]]</f>
        <v>96700</v>
      </c>
      <c r="J198">
        <v>2</v>
      </c>
      <c r="K198">
        <v>20</v>
      </c>
      <c r="L198">
        <v>19340</v>
      </c>
      <c r="M198">
        <v>77360</v>
      </c>
      <c r="N198">
        <v>5</v>
      </c>
      <c r="O198">
        <v>3868</v>
      </c>
      <c r="P198">
        <v>0</v>
      </c>
      <c r="Q198">
        <v>81228</v>
      </c>
      <c r="R198" t="s">
        <v>48</v>
      </c>
      <c r="S198" t="s">
        <v>125</v>
      </c>
      <c r="T198" t="s">
        <v>115</v>
      </c>
      <c r="U198" t="s">
        <v>50</v>
      </c>
      <c r="V198" t="s">
        <v>242</v>
      </c>
      <c r="W198" t="s">
        <v>70</v>
      </c>
      <c r="X198" t="s">
        <v>422</v>
      </c>
      <c r="Y198" t="s">
        <v>319</v>
      </c>
      <c r="Z198" t="s">
        <v>95</v>
      </c>
      <c r="AA198" t="s">
        <v>962</v>
      </c>
      <c r="AB198" t="s">
        <v>3339</v>
      </c>
      <c r="AC198">
        <v>5</v>
      </c>
      <c r="AD198" t="s">
        <v>56</v>
      </c>
      <c r="AE198" t="s">
        <v>3336</v>
      </c>
      <c r="AF198" t="s">
        <v>227</v>
      </c>
      <c r="AG198" t="s">
        <v>3342</v>
      </c>
      <c r="AH198" s="1">
        <v>45424</v>
      </c>
      <c r="AI198" s="1">
        <v>45426</v>
      </c>
      <c r="AJ198" s="1">
        <v>45435</v>
      </c>
      <c r="AK198" t="s">
        <v>3494</v>
      </c>
      <c r="AL198" t="s">
        <v>961</v>
      </c>
    </row>
    <row r="199" spans="1:38" x14ac:dyDescent="0.35">
      <c r="A199" t="s">
        <v>963</v>
      </c>
      <c r="B199" t="s">
        <v>453</v>
      </c>
      <c r="C199" t="s">
        <v>43</v>
      </c>
      <c r="D199" t="s">
        <v>183</v>
      </c>
      <c r="E199" t="s">
        <v>184</v>
      </c>
      <c r="F199" t="s">
        <v>185</v>
      </c>
      <c r="G199" t="s">
        <v>186</v>
      </c>
      <c r="H199">
        <v>110</v>
      </c>
      <c r="I199">
        <f>Sales_Transactions_Raw[[#This Row],[Unit_Price]]*Sales_Transactions_Raw[[#This Row],[Quantity]]</f>
        <v>770</v>
      </c>
      <c r="J199">
        <v>7</v>
      </c>
      <c r="K199">
        <v>15</v>
      </c>
      <c r="L199">
        <v>115.5</v>
      </c>
      <c r="M199">
        <v>654.5</v>
      </c>
      <c r="N199">
        <v>5</v>
      </c>
      <c r="O199">
        <v>32.729999999999997</v>
      </c>
      <c r="P199">
        <v>79</v>
      </c>
      <c r="Q199">
        <v>687.23</v>
      </c>
      <c r="R199" t="s">
        <v>106</v>
      </c>
      <c r="S199" t="s">
        <v>125</v>
      </c>
      <c r="T199" t="s">
        <v>115</v>
      </c>
      <c r="U199" t="s">
        <v>108</v>
      </c>
      <c r="V199" t="s">
        <v>297</v>
      </c>
      <c r="W199" t="s">
        <v>52</v>
      </c>
      <c r="X199" t="s">
        <v>225</v>
      </c>
      <c r="Y199" t="s">
        <v>226</v>
      </c>
      <c r="Z199" t="s">
        <v>95</v>
      </c>
      <c r="AA199" t="s">
        <v>965</v>
      </c>
      <c r="AB199" t="s">
        <v>3343</v>
      </c>
      <c r="AC199">
        <v>5</v>
      </c>
      <c r="AD199" t="s">
        <v>56</v>
      </c>
      <c r="AE199" t="s">
        <v>3336</v>
      </c>
      <c r="AF199" t="s">
        <v>99</v>
      </c>
      <c r="AG199" t="s">
        <v>445</v>
      </c>
      <c r="AH199" s="1">
        <v>45325</v>
      </c>
      <c r="AI199" s="1">
        <v>45332</v>
      </c>
      <c r="AJ199" s="1">
        <v>45334</v>
      </c>
      <c r="AK199" t="s">
        <v>3495</v>
      </c>
      <c r="AL199" t="s">
        <v>964</v>
      </c>
    </row>
    <row r="200" spans="1:38" x14ac:dyDescent="0.35">
      <c r="A200" t="s">
        <v>966</v>
      </c>
      <c r="B200" t="s">
        <v>272</v>
      </c>
      <c r="C200" t="s">
        <v>43</v>
      </c>
      <c r="D200" t="s">
        <v>144</v>
      </c>
      <c r="E200" t="s">
        <v>145</v>
      </c>
      <c r="F200" t="s">
        <v>146</v>
      </c>
      <c r="G200" t="s">
        <v>147</v>
      </c>
      <c r="H200">
        <v>2520</v>
      </c>
      <c r="I200">
        <f>Sales_Transactions_Raw[[#This Row],[Unit_Price]]*Sales_Transactions_Raw[[#This Row],[Quantity]]</f>
        <v>5040</v>
      </c>
      <c r="J200">
        <v>2</v>
      </c>
      <c r="K200">
        <v>0</v>
      </c>
      <c r="L200">
        <v>0</v>
      </c>
      <c r="M200">
        <v>5040</v>
      </c>
      <c r="N200">
        <v>12</v>
      </c>
      <c r="O200">
        <v>604.79999999999995</v>
      </c>
      <c r="P200">
        <v>0</v>
      </c>
      <c r="Q200">
        <v>5644.8</v>
      </c>
      <c r="R200" t="s">
        <v>92</v>
      </c>
      <c r="S200" t="s">
        <v>93</v>
      </c>
      <c r="T200" t="s">
        <v>115</v>
      </c>
      <c r="U200" t="s">
        <v>196</v>
      </c>
      <c r="V200" t="s">
        <v>94</v>
      </c>
      <c r="W200" t="s">
        <v>95</v>
      </c>
      <c r="X200" t="s">
        <v>225</v>
      </c>
      <c r="Y200" t="s">
        <v>226</v>
      </c>
      <c r="Z200" t="s">
        <v>95</v>
      </c>
      <c r="AA200" t="s">
        <v>968</v>
      </c>
      <c r="AB200" t="s">
        <v>3335</v>
      </c>
      <c r="AC200">
        <v>5</v>
      </c>
      <c r="AD200" t="s">
        <v>56</v>
      </c>
      <c r="AE200" t="s">
        <v>3336</v>
      </c>
      <c r="AF200" t="s">
        <v>57</v>
      </c>
      <c r="AG200" t="s">
        <v>3342</v>
      </c>
      <c r="AH200" s="1">
        <v>45270</v>
      </c>
      <c r="AI200" s="1">
        <v>45271</v>
      </c>
      <c r="AJ200" s="1">
        <v>45275</v>
      </c>
      <c r="AK200" t="s">
        <v>3446</v>
      </c>
      <c r="AL200" t="s">
        <v>967</v>
      </c>
    </row>
    <row r="201" spans="1:38" x14ac:dyDescent="0.35">
      <c r="A201" t="s">
        <v>969</v>
      </c>
      <c r="B201" t="s">
        <v>533</v>
      </c>
      <c r="C201" t="s">
        <v>157</v>
      </c>
      <c r="D201" t="s">
        <v>971</v>
      </c>
      <c r="E201" t="s">
        <v>972</v>
      </c>
      <c r="F201" t="s">
        <v>146</v>
      </c>
      <c r="G201" t="s">
        <v>195</v>
      </c>
      <c r="H201">
        <v>1700</v>
      </c>
      <c r="I201">
        <f>Sales_Transactions_Raw[[#This Row],[Unit_Price]]*Sales_Transactions_Raw[[#This Row],[Quantity]]</f>
        <v>1700</v>
      </c>
      <c r="J201">
        <v>1</v>
      </c>
      <c r="K201">
        <v>0</v>
      </c>
      <c r="L201">
        <v>0</v>
      </c>
      <c r="M201">
        <v>1700</v>
      </c>
      <c r="N201">
        <v>12</v>
      </c>
      <c r="O201">
        <v>204</v>
      </c>
      <c r="P201">
        <v>49</v>
      </c>
      <c r="Q201">
        <v>1904</v>
      </c>
      <c r="R201" t="s">
        <v>92</v>
      </c>
      <c r="S201" t="s">
        <v>107</v>
      </c>
      <c r="T201" t="s">
        <v>115</v>
      </c>
      <c r="U201" t="s">
        <v>50</v>
      </c>
      <c r="V201" t="s">
        <v>177</v>
      </c>
      <c r="W201" t="s">
        <v>81</v>
      </c>
      <c r="X201" t="s">
        <v>306</v>
      </c>
      <c r="Y201" t="s">
        <v>97</v>
      </c>
      <c r="Z201" t="s">
        <v>95</v>
      </c>
      <c r="AB201" t="s">
        <v>3344</v>
      </c>
      <c r="AC201">
        <v>3</v>
      </c>
      <c r="AD201" t="s">
        <v>179</v>
      </c>
      <c r="AE201" t="s">
        <v>818</v>
      </c>
      <c r="AF201" t="s">
        <v>99</v>
      </c>
      <c r="AG201" t="s">
        <v>85</v>
      </c>
      <c r="AH201" s="1">
        <v>45197</v>
      </c>
      <c r="AI201" s="1">
        <v>45200</v>
      </c>
      <c r="AJ201" s="1">
        <v>45208</v>
      </c>
      <c r="AK201" t="s">
        <v>3414</v>
      </c>
      <c r="AL201" t="s">
        <v>970</v>
      </c>
    </row>
    <row r="202" spans="1:38" x14ac:dyDescent="0.35">
      <c r="A202" t="s">
        <v>973</v>
      </c>
      <c r="B202" t="s">
        <v>559</v>
      </c>
      <c r="C202" t="s">
        <v>43</v>
      </c>
      <c r="D202" t="s">
        <v>144</v>
      </c>
      <c r="E202" t="s">
        <v>145</v>
      </c>
      <c r="F202" t="s">
        <v>146</v>
      </c>
      <c r="G202" t="s">
        <v>147</v>
      </c>
      <c r="H202">
        <v>2610</v>
      </c>
      <c r="I202">
        <f>Sales_Transactions_Raw[[#This Row],[Unit_Price]]*Sales_Transactions_Raw[[#This Row],[Quantity]]</f>
        <v>7830</v>
      </c>
      <c r="J202">
        <v>3</v>
      </c>
      <c r="K202">
        <v>0</v>
      </c>
      <c r="L202">
        <v>0</v>
      </c>
      <c r="M202">
        <v>7830</v>
      </c>
      <c r="N202">
        <v>12</v>
      </c>
      <c r="O202">
        <v>939.6</v>
      </c>
      <c r="P202">
        <v>0</v>
      </c>
      <c r="Q202">
        <v>8769.6</v>
      </c>
      <c r="R202" t="s">
        <v>48</v>
      </c>
      <c r="S202" t="s">
        <v>125</v>
      </c>
      <c r="T202" t="s">
        <v>66</v>
      </c>
      <c r="U202" t="s">
        <v>214</v>
      </c>
      <c r="V202" t="s">
        <v>242</v>
      </c>
      <c r="W202" t="s">
        <v>70</v>
      </c>
      <c r="X202" t="s">
        <v>243</v>
      </c>
      <c r="Y202" t="s">
        <v>244</v>
      </c>
      <c r="Z202" t="s">
        <v>70</v>
      </c>
      <c r="AA202" t="s">
        <v>975</v>
      </c>
      <c r="AB202" t="s">
        <v>3335</v>
      </c>
      <c r="AC202">
        <v>5</v>
      </c>
      <c r="AD202" t="s">
        <v>56</v>
      </c>
      <c r="AE202" t="s">
        <v>3336</v>
      </c>
      <c r="AF202" t="s">
        <v>326</v>
      </c>
      <c r="AG202" t="s">
        <v>3337</v>
      </c>
      <c r="AH202" s="1">
        <v>45318</v>
      </c>
      <c r="AI202" s="1">
        <v>45319</v>
      </c>
      <c r="AJ202" s="1">
        <v>45323</v>
      </c>
      <c r="AK202" t="s">
        <v>3487</v>
      </c>
      <c r="AL202" t="s">
        <v>974</v>
      </c>
    </row>
    <row r="203" spans="1:38" x14ac:dyDescent="0.35">
      <c r="A203" t="s">
        <v>976</v>
      </c>
      <c r="B203" t="s">
        <v>457</v>
      </c>
      <c r="C203" t="s">
        <v>157</v>
      </c>
      <c r="D203" t="s">
        <v>350</v>
      </c>
      <c r="E203" t="s">
        <v>351</v>
      </c>
      <c r="F203" t="s">
        <v>211</v>
      </c>
      <c r="G203" t="s">
        <v>352</v>
      </c>
      <c r="H203">
        <v>45820</v>
      </c>
      <c r="I203">
        <f>Sales_Transactions_Raw[[#This Row],[Unit_Price]]*Sales_Transactions_Raw[[#This Row],[Quantity]]</f>
        <v>91640</v>
      </c>
      <c r="J203">
        <v>2</v>
      </c>
      <c r="K203">
        <v>10</v>
      </c>
      <c r="L203">
        <v>9164</v>
      </c>
      <c r="M203">
        <v>82476</v>
      </c>
      <c r="N203">
        <v>5</v>
      </c>
      <c r="O203">
        <v>4123.8</v>
      </c>
      <c r="P203">
        <v>0</v>
      </c>
      <c r="Q203">
        <v>86599.8</v>
      </c>
      <c r="R203" t="s">
        <v>64</v>
      </c>
      <c r="S203" t="s">
        <v>125</v>
      </c>
      <c r="T203" t="s">
        <v>115</v>
      </c>
      <c r="U203" t="s">
        <v>108</v>
      </c>
      <c r="V203" t="s">
        <v>67</v>
      </c>
      <c r="W203" t="s">
        <v>68</v>
      </c>
      <c r="X203" t="s">
        <v>626</v>
      </c>
      <c r="Y203" t="s">
        <v>289</v>
      </c>
      <c r="Z203" t="s">
        <v>52</v>
      </c>
      <c r="AA203" t="s">
        <v>978</v>
      </c>
      <c r="AB203" t="s">
        <v>3341</v>
      </c>
      <c r="AC203">
        <v>4</v>
      </c>
      <c r="AD203" t="s">
        <v>56</v>
      </c>
      <c r="AE203" t="s">
        <v>3336</v>
      </c>
      <c r="AF203" t="s">
        <v>140</v>
      </c>
      <c r="AG203" t="s">
        <v>445</v>
      </c>
      <c r="AH203" s="1">
        <v>44959</v>
      </c>
      <c r="AI203" s="1">
        <v>44960</v>
      </c>
      <c r="AJ203" s="1">
        <v>44967</v>
      </c>
      <c r="AK203" t="s">
        <v>3395</v>
      </c>
      <c r="AL203" t="s">
        <v>977</v>
      </c>
    </row>
    <row r="204" spans="1:38" x14ac:dyDescent="0.35">
      <c r="A204" t="s">
        <v>979</v>
      </c>
      <c r="B204" t="s">
        <v>765</v>
      </c>
      <c r="C204" t="s">
        <v>43</v>
      </c>
      <c r="D204" t="s">
        <v>704</v>
      </c>
      <c r="E204" t="s">
        <v>705</v>
      </c>
      <c r="F204" t="s">
        <v>285</v>
      </c>
      <c r="G204" t="s">
        <v>706</v>
      </c>
      <c r="H204">
        <v>280</v>
      </c>
      <c r="I204">
        <f>Sales_Transactions_Raw[[#This Row],[Unit_Price]]*Sales_Transactions_Raw[[#This Row],[Quantity]]</f>
        <v>560</v>
      </c>
      <c r="J204">
        <v>2</v>
      </c>
      <c r="K204">
        <v>5</v>
      </c>
      <c r="L204">
        <v>28</v>
      </c>
      <c r="M204">
        <v>532</v>
      </c>
      <c r="N204">
        <v>5</v>
      </c>
      <c r="O204">
        <v>26.6</v>
      </c>
      <c r="P204">
        <v>49</v>
      </c>
      <c r="Q204">
        <v>558.6</v>
      </c>
      <c r="R204" t="s">
        <v>79</v>
      </c>
      <c r="S204" t="s">
        <v>107</v>
      </c>
      <c r="T204" t="s">
        <v>115</v>
      </c>
      <c r="U204" t="s">
        <v>196</v>
      </c>
      <c r="V204" t="s">
        <v>67</v>
      </c>
      <c r="W204" t="s">
        <v>68</v>
      </c>
      <c r="X204" t="s">
        <v>443</v>
      </c>
      <c r="Y204" t="s">
        <v>97</v>
      </c>
      <c r="Z204" t="s">
        <v>95</v>
      </c>
      <c r="AA204" t="s">
        <v>981</v>
      </c>
      <c r="AB204" t="s">
        <v>3335</v>
      </c>
      <c r="AC204">
        <v>3</v>
      </c>
      <c r="AD204" t="s">
        <v>56</v>
      </c>
      <c r="AE204" t="s">
        <v>3336</v>
      </c>
      <c r="AF204" t="s">
        <v>57</v>
      </c>
      <c r="AG204" t="s">
        <v>3337</v>
      </c>
      <c r="AH204" s="1">
        <v>45253</v>
      </c>
      <c r="AI204" s="1">
        <v>45258</v>
      </c>
      <c r="AJ204" s="1">
        <v>45261</v>
      </c>
      <c r="AK204" t="s">
        <v>3458</v>
      </c>
      <c r="AL204" t="s">
        <v>980</v>
      </c>
    </row>
    <row r="205" spans="1:38" x14ac:dyDescent="0.35">
      <c r="A205" t="s">
        <v>982</v>
      </c>
      <c r="B205" t="s">
        <v>478</v>
      </c>
      <c r="C205" t="s">
        <v>157</v>
      </c>
      <c r="D205" t="s">
        <v>402</v>
      </c>
      <c r="E205" t="s">
        <v>403</v>
      </c>
      <c r="F205" t="s">
        <v>146</v>
      </c>
      <c r="G205" t="s">
        <v>223</v>
      </c>
      <c r="H205">
        <v>2000</v>
      </c>
      <c r="I205">
        <f>Sales_Transactions_Raw[[#This Row],[Unit_Price]]*Sales_Transactions_Raw[[#This Row],[Quantity]]</f>
        <v>2000</v>
      </c>
      <c r="J205">
        <v>1</v>
      </c>
      <c r="K205">
        <v>0</v>
      </c>
      <c r="L205">
        <v>0</v>
      </c>
      <c r="M205">
        <v>2000</v>
      </c>
      <c r="N205">
        <v>12</v>
      </c>
      <c r="O205">
        <v>240</v>
      </c>
      <c r="P205">
        <v>99</v>
      </c>
      <c r="Q205">
        <v>2240</v>
      </c>
      <c r="R205" t="s">
        <v>79</v>
      </c>
      <c r="S205" t="s">
        <v>93</v>
      </c>
      <c r="T205" t="s">
        <v>115</v>
      </c>
      <c r="U205" t="s">
        <v>214</v>
      </c>
      <c r="V205" t="s">
        <v>276</v>
      </c>
      <c r="W205" t="s">
        <v>95</v>
      </c>
      <c r="X205" t="s">
        <v>232</v>
      </c>
      <c r="Y205" t="s">
        <v>82</v>
      </c>
      <c r="Z205" t="s">
        <v>52</v>
      </c>
      <c r="AA205" t="s">
        <v>984</v>
      </c>
      <c r="AB205" t="s">
        <v>3335</v>
      </c>
      <c r="AC205">
        <v>3</v>
      </c>
      <c r="AD205" t="s">
        <v>56</v>
      </c>
      <c r="AE205" t="s">
        <v>3336</v>
      </c>
      <c r="AF205" t="s">
        <v>99</v>
      </c>
      <c r="AG205" t="s">
        <v>445</v>
      </c>
      <c r="AH205" s="1">
        <v>45372</v>
      </c>
      <c r="AI205" s="1">
        <v>45375</v>
      </c>
      <c r="AJ205" s="1">
        <v>45382</v>
      </c>
      <c r="AK205" t="s">
        <v>3398</v>
      </c>
      <c r="AL205" t="s">
        <v>983</v>
      </c>
    </row>
    <row r="206" spans="1:38" x14ac:dyDescent="0.35">
      <c r="A206" t="s">
        <v>985</v>
      </c>
      <c r="B206" t="s">
        <v>292</v>
      </c>
      <c r="C206" t="s">
        <v>157</v>
      </c>
      <c r="D206" t="s">
        <v>122</v>
      </c>
      <c r="E206" t="s">
        <v>123</v>
      </c>
      <c r="F206" t="s">
        <v>46</v>
      </c>
      <c r="G206" t="s">
        <v>63</v>
      </c>
      <c r="H206">
        <v>61350</v>
      </c>
      <c r="I206">
        <f>Sales_Transactions_Raw[[#This Row],[Unit_Price]]*Sales_Transactions_Raw[[#This Row],[Quantity]]</f>
        <v>1227000</v>
      </c>
      <c r="J206">
        <v>20</v>
      </c>
      <c r="K206">
        <v>15</v>
      </c>
      <c r="L206">
        <v>184050</v>
      </c>
      <c r="M206">
        <v>1042950</v>
      </c>
      <c r="N206">
        <v>18</v>
      </c>
      <c r="O206">
        <v>187731</v>
      </c>
      <c r="P206">
        <v>0</v>
      </c>
      <c r="Q206">
        <v>1230681</v>
      </c>
      <c r="R206" t="s">
        <v>79</v>
      </c>
      <c r="S206" t="s">
        <v>49</v>
      </c>
      <c r="T206" t="s">
        <v>115</v>
      </c>
      <c r="U206" t="s">
        <v>196</v>
      </c>
      <c r="V206" t="s">
        <v>51</v>
      </c>
      <c r="W206" t="s">
        <v>52</v>
      </c>
      <c r="X206" t="s">
        <v>137</v>
      </c>
      <c r="Y206" t="s">
        <v>138</v>
      </c>
      <c r="Z206" t="s">
        <v>81</v>
      </c>
      <c r="AA206" t="s">
        <v>987</v>
      </c>
      <c r="AB206" t="s">
        <v>3335</v>
      </c>
      <c r="AC206">
        <v>5</v>
      </c>
      <c r="AD206" t="s">
        <v>56</v>
      </c>
      <c r="AE206" t="s">
        <v>3336</v>
      </c>
      <c r="AF206" t="s">
        <v>217</v>
      </c>
      <c r="AG206" t="s">
        <v>58</v>
      </c>
      <c r="AH206" s="1">
        <v>44975</v>
      </c>
      <c r="AI206" s="1">
        <v>44982</v>
      </c>
      <c r="AJ206" s="1">
        <v>44984</v>
      </c>
      <c r="AK206" t="s">
        <v>3378</v>
      </c>
      <c r="AL206" t="s">
        <v>986</v>
      </c>
    </row>
    <row r="207" spans="1:38" x14ac:dyDescent="0.35">
      <c r="A207" t="s">
        <v>988</v>
      </c>
      <c r="B207" t="s">
        <v>333</v>
      </c>
      <c r="C207" t="s">
        <v>43</v>
      </c>
      <c r="D207" t="s">
        <v>329</v>
      </c>
      <c r="E207" t="s">
        <v>250</v>
      </c>
      <c r="F207" t="s">
        <v>134</v>
      </c>
      <c r="G207" t="s">
        <v>330</v>
      </c>
      <c r="H207">
        <v>21980</v>
      </c>
      <c r="I207">
        <f>Sales_Transactions_Raw[[#This Row],[Unit_Price]]*Sales_Transactions_Raw[[#This Row],[Quantity]]</f>
        <v>21980</v>
      </c>
      <c r="J207">
        <v>1</v>
      </c>
      <c r="K207">
        <v>0</v>
      </c>
      <c r="L207">
        <v>0</v>
      </c>
      <c r="M207">
        <v>21980</v>
      </c>
      <c r="N207">
        <v>5</v>
      </c>
      <c r="O207">
        <v>1099</v>
      </c>
      <c r="P207">
        <v>0</v>
      </c>
      <c r="Q207">
        <v>23079</v>
      </c>
      <c r="R207" t="s">
        <v>124</v>
      </c>
      <c r="S207" t="s">
        <v>93</v>
      </c>
      <c r="T207" t="s">
        <v>66</v>
      </c>
      <c r="U207" t="s">
        <v>214</v>
      </c>
      <c r="V207" t="s">
        <v>67</v>
      </c>
      <c r="W207" t="s">
        <v>68</v>
      </c>
      <c r="X207" t="s">
        <v>198</v>
      </c>
      <c r="Y207" t="s">
        <v>199</v>
      </c>
      <c r="Z207" t="s">
        <v>52</v>
      </c>
      <c r="AA207" t="s">
        <v>990</v>
      </c>
      <c r="AB207" t="s">
        <v>3335</v>
      </c>
      <c r="AC207">
        <v>4</v>
      </c>
      <c r="AD207" t="s">
        <v>56</v>
      </c>
      <c r="AE207" t="s">
        <v>3336</v>
      </c>
      <c r="AF207" t="s">
        <v>262</v>
      </c>
      <c r="AG207" t="s">
        <v>3342</v>
      </c>
      <c r="AH207" s="1">
        <v>45175</v>
      </c>
      <c r="AI207" s="1">
        <v>45181</v>
      </c>
      <c r="AJ207" s="1">
        <v>45186</v>
      </c>
      <c r="AK207" t="s">
        <v>3488</v>
      </c>
      <c r="AL207" t="s">
        <v>989</v>
      </c>
    </row>
    <row r="208" spans="1:38" x14ac:dyDescent="0.35">
      <c r="A208" t="s">
        <v>991</v>
      </c>
      <c r="B208" t="s">
        <v>609</v>
      </c>
      <c r="C208" t="s">
        <v>157</v>
      </c>
      <c r="D208" t="s">
        <v>230</v>
      </c>
      <c r="E208" t="s">
        <v>231</v>
      </c>
      <c r="F208" t="s">
        <v>46</v>
      </c>
      <c r="G208" t="s">
        <v>63</v>
      </c>
      <c r="H208">
        <v>115050</v>
      </c>
      <c r="I208">
        <f>Sales_Transactions_Raw[[#This Row],[Unit_Price]]*Sales_Transactions_Raw[[#This Row],[Quantity]]</f>
        <v>345150</v>
      </c>
      <c r="J208">
        <v>3</v>
      </c>
      <c r="K208">
        <v>0</v>
      </c>
      <c r="L208">
        <v>0</v>
      </c>
      <c r="M208">
        <v>345150</v>
      </c>
      <c r="N208">
        <v>18</v>
      </c>
      <c r="O208">
        <v>62127</v>
      </c>
      <c r="P208">
        <v>0</v>
      </c>
      <c r="Q208">
        <v>407277</v>
      </c>
      <c r="R208" t="s">
        <v>79</v>
      </c>
      <c r="S208" t="s">
        <v>65</v>
      </c>
      <c r="T208" t="s">
        <v>115</v>
      </c>
      <c r="U208" t="s">
        <v>161</v>
      </c>
      <c r="V208" t="s">
        <v>116</v>
      </c>
      <c r="W208" t="s">
        <v>70</v>
      </c>
      <c r="X208" t="s">
        <v>198</v>
      </c>
      <c r="Y208" t="s">
        <v>199</v>
      </c>
      <c r="Z208" t="s">
        <v>52</v>
      </c>
      <c r="AA208" t="s">
        <v>993</v>
      </c>
      <c r="AB208" t="s">
        <v>3335</v>
      </c>
      <c r="AC208">
        <v>4</v>
      </c>
      <c r="AD208" t="s">
        <v>56</v>
      </c>
      <c r="AE208" t="s">
        <v>3336</v>
      </c>
      <c r="AF208" t="s">
        <v>279</v>
      </c>
      <c r="AG208" t="s">
        <v>58</v>
      </c>
      <c r="AH208" s="1">
        <v>45289</v>
      </c>
      <c r="AI208" s="1">
        <v>45293</v>
      </c>
      <c r="AJ208" s="1">
        <v>45298</v>
      </c>
      <c r="AK208" t="s">
        <v>3496</v>
      </c>
      <c r="AL208" t="s">
        <v>992</v>
      </c>
    </row>
    <row r="209" spans="1:38" x14ac:dyDescent="0.35">
      <c r="A209" t="s">
        <v>408</v>
      </c>
      <c r="B209" t="s">
        <v>875</v>
      </c>
      <c r="C209" t="s">
        <v>43</v>
      </c>
      <c r="D209" t="s">
        <v>183</v>
      </c>
      <c r="E209" t="s">
        <v>184</v>
      </c>
      <c r="F209" t="s">
        <v>185</v>
      </c>
      <c r="G209" t="s">
        <v>186</v>
      </c>
      <c r="H209">
        <v>110</v>
      </c>
      <c r="I209">
        <f>Sales_Transactions_Raw[[#This Row],[Unit_Price]]*Sales_Transactions_Raw[[#This Row],[Quantity]]</f>
        <v>440</v>
      </c>
      <c r="J209">
        <v>4</v>
      </c>
      <c r="K209">
        <v>5</v>
      </c>
      <c r="L209">
        <v>22</v>
      </c>
      <c r="M209">
        <v>418</v>
      </c>
      <c r="N209">
        <v>5</v>
      </c>
      <c r="O209">
        <v>20.9</v>
      </c>
      <c r="P209">
        <v>149</v>
      </c>
      <c r="Q209">
        <v>438.9</v>
      </c>
      <c r="R209" t="s">
        <v>79</v>
      </c>
      <c r="S209" t="s">
        <v>93</v>
      </c>
      <c r="T209" t="s">
        <v>115</v>
      </c>
      <c r="U209" t="s">
        <v>161</v>
      </c>
      <c r="V209" t="s">
        <v>269</v>
      </c>
      <c r="W209" t="s">
        <v>70</v>
      </c>
      <c r="X209" t="s">
        <v>288</v>
      </c>
      <c r="Y209" t="s">
        <v>289</v>
      </c>
      <c r="Z209" t="s">
        <v>52</v>
      </c>
      <c r="AA209" t="s">
        <v>995</v>
      </c>
      <c r="AB209" t="s">
        <v>3344</v>
      </c>
      <c r="AC209">
        <v>4</v>
      </c>
      <c r="AD209" t="s">
        <v>179</v>
      </c>
      <c r="AE209" t="s">
        <v>3336</v>
      </c>
      <c r="AF209" t="s">
        <v>164</v>
      </c>
      <c r="AG209" t="s">
        <v>85</v>
      </c>
      <c r="AH209" s="1">
        <v>45239</v>
      </c>
      <c r="AI209" s="1">
        <v>45246</v>
      </c>
      <c r="AJ209" s="1">
        <v>45251</v>
      </c>
      <c r="AK209" t="s">
        <v>3497</v>
      </c>
      <c r="AL209" t="s">
        <v>994</v>
      </c>
    </row>
    <row r="210" spans="1:38" x14ac:dyDescent="0.35">
      <c r="A210" t="s">
        <v>996</v>
      </c>
      <c r="B210" t="s">
        <v>842</v>
      </c>
      <c r="C210" t="s">
        <v>43</v>
      </c>
      <c r="D210" t="s">
        <v>209</v>
      </c>
      <c r="E210" t="s">
        <v>210</v>
      </c>
      <c r="F210" t="s">
        <v>211</v>
      </c>
      <c r="G210" t="s">
        <v>212</v>
      </c>
      <c r="H210">
        <v>4840</v>
      </c>
      <c r="I210">
        <f>Sales_Transactions_Raw[[#This Row],[Unit_Price]]*Sales_Transactions_Raw[[#This Row],[Quantity]]</f>
        <v>4840</v>
      </c>
      <c r="J210">
        <v>1</v>
      </c>
      <c r="K210">
        <v>20</v>
      </c>
      <c r="L210">
        <v>968</v>
      </c>
      <c r="M210">
        <v>3872</v>
      </c>
      <c r="N210">
        <v>5</v>
      </c>
      <c r="O210">
        <v>193.6</v>
      </c>
      <c r="P210">
        <v>79</v>
      </c>
      <c r="Q210">
        <v>4065.6</v>
      </c>
      <c r="R210" t="s">
        <v>79</v>
      </c>
      <c r="S210" t="s">
        <v>49</v>
      </c>
      <c r="T210" t="s">
        <v>115</v>
      </c>
      <c r="U210" t="s">
        <v>50</v>
      </c>
      <c r="V210" t="s">
        <v>116</v>
      </c>
      <c r="W210" t="s">
        <v>70</v>
      </c>
      <c r="X210" t="s">
        <v>215</v>
      </c>
      <c r="Y210" t="s">
        <v>169</v>
      </c>
      <c r="Z210" t="s">
        <v>95</v>
      </c>
      <c r="AA210" t="s">
        <v>998</v>
      </c>
      <c r="AB210" t="s">
        <v>3335</v>
      </c>
      <c r="AC210">
        <v>3</v>
      </c>
      <c r="AD210" t="s">
        <v>56</v>
      </c>
      <c r="AE210" t="s">
        <v>3336</v>
      </c>
      <c r="AF210" t="s">
        <v>72</v>
      </c>
      <c r="AG210" t="s">
        <v>3337</v>
      </c>
      <c r="AH210" s="1">
        <v>45203</v>
      </c>
      <c r="AI210" s="1">
        <v>45209</v>
      </c>
      <c r="AJ210" s="1">
        <v>45219</v>
      </c>
      <c r="AK210" t="s">
        <v>3482</v>
      </c>
      <c r="AL210" t="s">
        <v>997</v>
      </c>
    </row>
    <row r="211" spans="1:38" x14ac:dyDescent="0.35">
      <c r="A211" t="s">
        <v>999</v>
      </c>
      <c r="B211" t="s">
        <v>1000</v>
      </c>
      <c r="C211" t="s">
        <v>43</v>
      </c>
      <c r="D211" t="s">
        <v>90</v>
      </c>
      <c r="E211" t="s">
        <v>91</v>
      </c>
      <c r="F211" t="s">
        <v>46</v>
      </c>
      <c r="G211" t="s">
        <v>78</v>
      </c>
      <c r="H211">
        <v>91700</v>
      </c>
      <c r="I211">
        <f>Sales_Transactions_Raw[[#This Row],[Unit_Price]]*Sales_Transactions_Raw[[#This Row],[Quantity]]</f>
        <v>91700</v>
      </c>
      <c r="J211">
        <v>1</v>
      </c>
      <c r="K211">
        <v>10</v>
      </c>
      <c r="L211">
        <v>9170</v>
      </c>
      <c r="M211">
        <v>82530</v>
      </c>
      <c r="N211">
        <v>18</v>
      </c>
      <c r="O211">
        <v>14855.4</v>
      </c>
      <c r="P211">
        <v>0</v>
      </c>
      <c r="Q211">
        <v>97385.4</v>
      </c>
      <c r="R211" t="s">
        <v>92</v>
      </c>
      <c r="S211" t="s">
        <v>65</v>
      </c>
      <c r="T211" t="s">
        <v>115</v>
      </c>
      <c r="U211" t="s">
        <v>161</v>
      </c>
      <c r="V211" t="s">
        <v>269</v>
      </c>
      <c r="W211" t="s">
        <v>70</v>
      </c>
      <c r="X211" t="s">
        <v>611</v>
      </c>
      <c r="Y211" t="s">
        <v>97</v>
      </c>
      <c r="Z211" t="s">
        <v>95</v>
      </c>
      <c r="AA211" t="s">
        <v>1002</v>
      </c>
      <c r="AB211" t="s">
        <v>3344</v>
      </c>
      <c r="AC211">
        <v>4</v>
      </c>
      <c r="AD211" t="s">
        <v>56</v>
      </c>
      <c r="AE211" t="s">
        <v>3336</v>
      </c>
      <c r="AF211" t="s">
        <v>72</v>
      </c>
      <c r="AG211" t="s">
        <v>85</v>
      </c>
      <c r="AH211" s="1">
        <v>45222</v>
      </c>
      <c r="AI211" s="1">
        <v>45223</v>
      </c>
      <c r="AJ211" s="1">
        <v>45229</v>
      </c>
      <c r="AK211" t="s">
        <v>3498</v>
      </c>
      <c r="AL211" t="s">
        <v>1001</v>
      </c>
    </row>
    <row r="212" spans="1:38" x14ac:dyDescent="0.35">
      <c r="A212" t="s">
        <v>1003</v>
      </c>
      <c r="B212" t="s">
        <v>699</v>
      </c>
      <c r="C212" t="s">
        <v>157</v>
      </c>
      <c r="D212" t="s">
        <v>495</v>
      </c>
      <c r="E212" t="s">
        <v>496</v>
      </c>
      <c r="F212" t="s">
        <v>134</v>
      </c>
      <c r="G212" t="s">
        <v>497</v>
      </c>
      <c r="H212">
        <v>31680</v>
      </c>
      <c r="I212">
        <f>Sales_Transactions_Raw[[#This Row],[Unit_Price]]*Sales_Transactions_Raw[[#This Row],[Quantity]]</f>
        <v>190080</v>
      </c>
      <c r="J212">
        <v>6</v>
      </c>
      <c r="K212">
        <v>0</v>
      </c>
      <c r="L212">
        <v>0</v>
      </c>
      <c r="M212">
        <v>190080</v>
      </c>
      <c r="N212">
        <v>5</v>
      </c>
      <c r="O212">
        <v>9504</v>
      </c>
      <c r="P212">
        <v>0</v>
      </c>
      <c r="Q212">
        <v>199584</v>
      </c>
      <c r="R212" t="s">
        <v>92</v>
      </c>
      <c r="S212" t="s">
        <v>107</v>
      </c>
      <c r="T212" t="s">
        <v>115</v>
      </c>
      <c r="U212" t="s">
        <v>196</v>
      </c>
      <c r="V212" t="s">
        <v>177</v>
      </c>
      <c r="W212" t="s">
        <v>81</v>
      </c>
      <c r="X212" t="s">
        <v>243</v>
      </c>
      <c r="Y212" t="s">
        <v>244</v>
      </c>
      <c r="Z212" t="s">
        <v>70</v>
      </c>
      <c r="AA212" t="s">
        <v>1005</v>
      </c>
      <c r="AB212" t="s">
        <v>3335</v>
      </c>
      <c r="AC212">
        <v>3</v>
      </c>
      <c r="AD212" t="s">
        <v>56</v>
      </c>
      <c r="AE212" t="s">
        <v>3336</v>
      </c>
      <c r="AF212" t="s">
        <v>153</v>
      </c>
      <c r="AG212" t="s">
        <v>85</v>
      </c>
      <c r="AH212" s="1">
        <v>45399</v>
      </c>
      <c r="AI212" s="1">
        <v>45404</v>
      </c>
      <c r="AJ212" s="1">
        <v>45408</v>
      </c>
      <c r="AK212" t="s">
        <v>3442</v>
      </c>
      <c r="AL212" t="s">
        <v>1004</v>
      </c>
    </row>
    <row r="213" spans="1:38" x14ac:dyDescent="0.35">
      <c r="A213" t="s">
        <v>1006</v>
      </c>
      <c r="B213" t="s">
        <v>386</v>
      </c>
      <c r="C213" t="s">
        <v>157</v>
      </c>
      <c r="D213" t="s">
        <v>266</v>
      </c>
      <c r="E213" t="s">
        <v>267</v>
      </c>
      <c r="F213" t="s">
        <v>211</v>
      </c>
      <c r="G213" t="s">
        <v>268</v>
      </c>
      <c r="H213">
        <v>59110</v>
      </c>
      <c r="I213">
        <f>Sales_Transactions_Raw[[#This Row],[Unit_Price]]*Sales_Transactions_Raw[[#This Row],[Quantity]]</f>
        <v>177330</v>
      </c>
      <c r="J213">
        <v>3</v>
      </c>
      <c r="K213">
        <v>0</v>
      </c>
      <c r="L213">
        <v>0</v>
      </c>
      <c r="M213">
        <v>177330</v>
      </c>
      <c r="N213">
        <v>5</v>
      </c>
      <c r="O213">
        <v>8866.5</v>
      </c>
      <c r="P213">
        <v>0</v>
      </c>
      <c r="Q213">
        <v>186196.5</v>
      </c>
      <c r="R213" t="s">
        <v>64</v>
      </c>
      <c r="S213" t="s">
        <v>49</v>
      </c>
      <c r="T213" t="s">
        <v>213</v>
      </c>
      <c r="U213" t="s">
        <v>196</v>
      </c>
      <c r="V213" t="s">
        <v>149</v>
      </c>
      <c r="W213" t="s">
        <v>81</v>
      </c>
      <c r="X213" t="s">
        <v>922</v>
      </c>
      <c r="Y213" t="s">
        <v>199</v>
      </c>
      <c r="Z213" t="s">
        <v>52</v>
      </c>
      <c r="AA213" t="s">
        <v>1008</v>
      </c>
      <c r="AB213" t="s">
        <v>3335</v>
      </c>
      <c r="AC213">
        <v>2</v>
      </c>
      <c r="AD213" t="s">
        <v>179</v>
      </c>
      <c r="AE213" t="s">
        <v>818</v>
      </c>
      <c r="AF213" t="s">
        <v>72</v>
      </c>
      <c r="AG213" t="s">
        <v>58</v>
      </c>
      <c r="AH213" s="1">
        <v>44981</v>
      </c>
      <c r="AI213" s="1">
        <v>45404</v>
      </c>
      <c r="AJ213" s="1">
        <v>44992</v>
      </c>
      <c r="AK213" t="s">
        <v>3499</v>
      </c>
      <c r="AL213" t="s">
        <v>1007</v>
      </c>
    </row>
    <row r="214" spans="1:38" x14ac:dyDescent="0.35">
      <c r="A214" t="s">
        <v>1009</v>
      </c>
      <c r="B214" t="s">
        <v>113</v>
      </c>
      <c r="C214" t="s">
        <v>157</v>
      </c>
      <c r="D214" t="s">
        <v>704</v>
      </c>
      <c r="E214" t="s">
        <v>705</v>
      </c>
      <c r="F214" t="s">
        <v>285</v>
      </c>
      <c r="G214" t="s">
        <v>706</v>
      </c>
      <c r="H214">
        <v>300</v>
      </c>
      <c r="I214">
        <f>Sales_Transactions_Raw[[#This Row],[Unit_Price]]*Sales_Transactions_Raw[[#This Row],[Quantity]]</f>
        <v>1200</v>
      </c>
      <c r="J214">
        <v>4</v>
      </c>
      <c r="K214">
        <v>5</v>
      </c>
      <c r="L214">
        <v>60</v>
      </c>
      <c r="M214">
        <v>1140</v>
      </c>
      <c r="N214">
        <v>5</v>
      </c>
      <c r="O214">
        <v>57</v>
      </c>
      <c r="P214">
        <v>99</v>
      </c>
      <c r="Q214">
        <v>1197</v>
      </c>
      <c r="R214" t="s">
        <v>64</v>
      </c>
      <c r="S214" t="s">
        <v>65</v>
      </c>
      <c r="T214" t="s">
        <v>115</v>
      </c>
      <c r="U214" t="s">
        <v>161</v>
      </c>
      <c r="V214" t="s">
        <v>94</v>
      </c>
      <c r="W214" t="s">
        <v>95</v>
      </c>
      <c r="X214" t="s">
        <v>298</v>
      </c>
      <c r="Y214" t="s">
        <v>151</v>
      </c>
      <c r="Z214" t="s">
        <v>81</v>
      </c>
      <c r="AA214" t="s">
        <v>1011</v>
      </c>
      <c r="AB214" t="s">
        <v>3335</v>
      </c>
      <c r="AC214">
        <v>5</v>
      </c>
      <c r="AD214" t="s">
        <v>56</v>
      </c>
      <c r="AE214" t="s">
        <v>3336</v>
      </c>
      <c r="AF214" t="s">
        <v>99</v>
      </c>
      <c r="AG214" t="s">
        <v>3342</v>
      </c>
      <c r="AH214" s="1">
        <v>45132</v>
      </c>
      <c r="AI214" s="1">
        <v>45136</v>
      </c>
      <c r="AJ214" s="1">
        <v>45145</v>
      </c>
      <c r="AK214" t="s">
        <v>3467</v>
      </c>
      <c r="AL214" t="s">
        <v>1010</v>
      </c>
    </row>
    <row r="215" spans="1:38" x14ac:dyDescent="0.35">
      <c r="A215" t="s">
        <v>1012</v>
      </c>
      <c r="B215" t="s">
        <v>920</v>
      </c>
      <c r="C215" t="s">
        <v>157</v>
      </c>
      <c r="D215" t="s">
        <v>426</v>
      </c>
      <c r="E215" t="s">
        <v>427</v>
      </c>
      <c r="F215" t="s">
        <v>134</v>
      </c>
      <c r="G215" t="s">
        <v>305</v>
      </c>
      <c r="H215">
        <v>43270</v>
      </c>
      <c r="I215">
        <f>Sales_Transactions_Raw[[#This Row],[Unit_Price]]*Sales_Transactions_Raw[[#This Row],[Quantity]]</f>
        <v>129810</v>
      </c>
      <c r="J215">
        <v>3</v>
      </c>
      <c r="K215">
        <v>5</v>
      </c>
      <c r="L215">
        <v>6490.5</v>
      </c>
      <c r="M215">
        <v>123319.5</v>
      </c>
      <c r="N215">
        <v>5</v>
      </c>
      <c r="O215">
        <v>6165.98</v>
      </c>
      <c r="P215">
        <v>0</v>
      </c>
      <c r="Q215">
        <v>129485.48</v>
      </c>
      <c r="R215" t="s">
        <v>92</v>
      </c>
      <c r="S215" t="s">
        <v>107</v>
      </c>
      <c r="T215" t="s">
        <v>213</v>
      </c>
      <c r="U215" t="s">
        <v>50</v>
      </c>
      <c r="V215" t="s">
        <v>242</v>
      </c>
      <c r="W215" t="s">
        <v>70</v>
      </c>
      <c r="X215" t="s">
        <v>215</v>
      </c>
      <c r="Y215" t="s">
        <v>169</v>
      </c>
      <c r="Z215" t="s">
        <v>95</v>
      </c>
      <c r="AA215" t="s">
        <v>1013</v>
      </c>
      <c r="AB215" t="s">
        <v>3335</v>
      </c>
      <c r="AC215">
        <v>4</v>
      </c>
      <c r="AD215" t="s">
        <v>179</v>
      </c>
      <c r="AE215" t="s">
        <v>180</v>
      </c>
      <c r="AF215" t="s">
        <v>164</v>
      </c>
      <c r="AG215" t="s">
        <v>3342</v>
      </c>
      <c r="AH215" s="1">
        <v>45111</v>
      </c>
      <c r="AI215" s="1">
        <v>45116</v>
      </c>
      <c r="AJ215" s="1">
        <v>45126</v>
      </c>
      <c r="AK215" t="s">
        <v>3500</v>
      </c>
      <c r="AL215" t="s">
        <v>3737</v>
      </c>
    </row>
    <row r="216" spans="1:38" x14ac:dyDescent="0.35">
      <c r="A216" t="s">
        <v>1014</v>
      </c>
      <c r="B216" t="s">
        <v>453</v>
      </c>
      <c r="C216" t="s">
        <v>43</v>
      </c>
      <c r="D216" t="s">
        <v>335</v>
      </c>
      <c r="E216" t="s">
        <v>336</v>
      </c>
      <c r="F216" t="s">
        <v>134</v>
      </c>
      <c r="G216" t="s">
        <v>135</v>
      </c>
      <c r="H216">
        <v>9520</v>
      </c>
      <c r="I216">
        <f>Sales_Transactions_Raw[[#This Row],[Unit_Price]]*Sales_Transactions_Raw[[#This Row],[Quantity]]</f>
        <v>38080</v>
      </c>
      <c r="J216">
        <v>4</v>
      </c>
      <c r="K216">
        <v>15</v>
      </c>
      <c r="L216">
        <v>5712</v>
      </c>
      <c r="M216">
        <v>32368</v>
      </c>
      <c r="N216">
        <v>5</v>
      </c>
      <c r="O216">
        <v>1618.4</v>
      </c>
      <c r="P216">
        <v>0</v>
      </c>
      <c r="Q216">
        <v>33986.400000000001</v>
      </c>
      <c r="R216" t="s">
        <v>92</v>
      </c>
      <c r="S216" t="s">
        <v>93</v>
      </c>
      <c r="T216" t="s">
        <v>213</v>
      </c>
      <c r="U216" t="s">
        <v>50</v>
      </c>
      <c r="V216" t="s">
        <v>197</v>
      </c>
      <c r="W216" t="s">
        <v>68</v>
      </c>
      <c r="X216" t="s">
        <v>381</v>
      </c>
      <c r="Y216" t="s">
        <v>199</v>
      </c>
      <c r="Z216" t="s">
        <v>52</v>
      </c>
      <c r="AA216" t="s">
        <v>1016</v>
      </c>
      <c r="AB216" t="s">
        <v>3335</v>
      </c>
      <c r="AC216">
        <v>5</v>
      </c>
      <c r="AD216" t="s">
        <v>179</v>
      </c>
      <c r="AE216" t="s">
        <v>3336</v>
      </c>
      <c r="AF216" t="s">
        <v>227</v>
      </c>
      <c r="AG216" t="s">
        <v>85</v>
      </c>
      <c r="AH216" s="1">
        <v>45123</v>
      </c>
      <c r="AI216" s="1">
        <v>45124</v>
      </c>
      <c r="AJ216" s="1">
        <v>45126</v>
      </c>
      <c r="AK216" t="s">
        <v>3443</v>
      </c>
      <c r="AL216" t="s">
        <v>1015</v>
      </c>
    </row>
    <row r="217" spans="1:38" x14ac:dyDescent="0.35">
      <c r="A217" t="s">
        <v>1017</v>
      </c>
      <c r="B217" t="s">
        <v>166</v>
      </c>
      <c r="C217" t="s">
        <v>43</v>
      </c>
      <c r="D217" t="s">
        <v>667</v>
      </c>
      <c r="E217" t="s">
        <v>668</v>
      </c>
      <c r="F217" t="s">
        <v>146</v>
      </c>
      <c r="G217" t="s">
        <v>195</v>
      </c>
      <c r="H217">
        <v>9120</v>
      </c>
      <c r="I217">
        <f>Sales_Transactions_Raw[[#This Row],[Unit_Price]]*Sales_Transactions_Raw[[#This Row],[Quantity]]</f>
        <v>63840</v>
      </c>
      <c r="J217">
        <v>7</v>
      </c>
      <c r="K217">
        <v>20</v>
      </c>
      <c r="L217">
        <v>12768</v>
      </c>
      <c r="M217">
        <v>51072</v>
      </c>
      <c r="N217">
        <v>12</v>
      </c>
      <c r="O217">
        <v>6128.64</v>
      </c>
      <c r="P217">
        <v>0</v>
      </c>
      <c r="Q217">
        <v>57200.639999999999</v>
      </c>
      <c r="R217" t="s">
        <v>64</v>
      </c>
      <c r="S217" t="s">
        <v>65</v>
      </c>
      <c r="T217" t="s">
        <v>719</v>
      </c>
      <c r="U217" t="s">
        <v>108</v>
      </c>
      <c r="V217" t="s">
        <v>94</v>
      </c>
      <c r="W217" t="s">
        <v>95</v>
      </c>
      <c r="X217" t="s">
        <v>288</v>
      </c>
      <c r="Y217" t="s">
        <v>289</v>
      </c>
      <c r="Z217" t="s">
        <v>52</v>
      </c>
      <c r="AB217" t="s">
        <v>3344</v>
      </c>
      <c r="AC217">
        <v>3</v>
      </c>
      <c r="AD217" t="s">
        <v>56</v>
      </c>
      <c r="AE217" t="s">
        <v>3336</v>
      </c>
      <c r="AF217" t="s">
        <v>262</v>
      </c>
      <c r="AG217" t="s">
        <v>58</v>
      </c>
      <c r="AH217" s="1">
        <v>45246</v>
      </c>
      <c r="AI217" s="1">
        <v>45250</v>
      </c>
      <c r="AJ217" s="1">
        <v>45252</v>
      </c>
      <c r="AK217" t="s">
        <v>3384</v>
      </c>
      <c r="AL217" t="s">
        <v>1018</v>
      </c>
    </row>
    <row r="218" spans="1:38" x14ac:dyDescent="0.35">
      <c r="A218" t="s">
        <v>1019</v>
      </c>
      <c r="B218" t="s">
        <v>461</v>
      </c>
      <c r="C218" t="s">
        <v>43</v>
      </c>
      <c r="D218" t="s">
        <v>266</v>
      </c>
      <c r="E218" t="s">
        <v>267</v>
      </c>
      <c r="F218" t="s">
        <v>211</v>
      </c>
      <c r="G218" t="s">
        <v>268</v>
      </c>
      <c r="H218">
        <v>54380</v>
      </c>
      <c r="I218">
        <f>Sales_Transactions_Raw[[#This Row],[Unit_Price]]*Sales_Transactions_Raw[[#This Row],[Quantity]]</f>
        <v>217520</v>
      </c>
      <c r="J218">
        <v>4</v>
      </c>
      <c r="K218">
        <v>5</v>
      </c>
      <c r="L218">
        <v>10876</v>
      </c>
      <c r="M218">
        <v>206644</v>
      </c>
      <c r="N218">
        <v>5</v>
      </c>
      <c r="O218">
        <v>10332.200000000001</v>
      </c>
      <c r="P218">
        <v>0</v>
      </c>
      <c r="Q218">
        <v>216976.2</v>
      </c>
      <c r="R218" t="s">
        <v>124</v>
      </c>
      <c r="S218" t="s">
        <v>65</v>
      </c>
      <c r="T218" t="s">
        <v>115</v>
      </c>
      <c r="U218" t="s">
        <v>50</v>
      </c>
      <c r="V218" t="s">
        <v>287</v>
      </c>
      <c r="W218" t="s">
        <v>95</v>
      </c>
      <c r="X218" t="s">
        <v>126</v>
      </c>
      <c r="Y218" t="s">
        <v>127</v>
      </c>
      <c r="Z218" t="s">
        <v>68</v>
      </c>
      <c r="AA218" t="s">
        <v>1021</v>
      </c>
      <c r="AB218" t="s">
        <v>3344</v>
      </c>
      <c r="AC218">
        <v>3</v>
      </c>
      <c r="AD218" t="s">
        <v>56</v>
      </c>
      <c r="AE218" t="s">
        <v>3336</v>
      </c>
      <c r="AF218" t="s">
        <v>57</v>
      </c>
      <c r="AG218" t="s">
        <v>85</v>
      </c>
      <c r="AH218" s="1">
        <v>45420</v>
      </c>
      <c r="AI218" s="1">
        <v>45421</v>
      </c>
      <c r="AJ218" s="1">
        <v>45429</v>
      </c>
      <c r="AK218" t="s">
        <v>3483</v>
      </c>
      <c r="AL218" t="s">
        <v>1020</v>
      </c>
    </row>
    <row r="219" spans="1:38" x14ac:dyDescent="0.35">
      <c r="A219" t="s">
        <v>1022</v>
      </c>
      <c r="B219" t="s">
        <v>1023</v>
      </c>
      <c r="C219" t="s">
        <v>43</v>
      </c>
      <c r="D219" t="s">
        <v>713</v>
      </c>
      <c r="E219" t="s">
        <v>714</v>
      </c>
      <c r="F219" t="s">
        <v>46</v>
      </c>
      <c r="G219" t="s">
        <v>47</v>
      </c>
      <c r="H219">
        <v>14860</v>
      </c>
      <c r="I219">
        <f>Sales_Transactions_Raw[[#This Row],[Unit_Price]]*Sales_Transactions_Raw[[#This Row],[Quantity]]</f>
        <v>44580</v>
      </c>
      <c r="J219">
        <v>3</v>
      </c>
      <c r="K219">
        <v>20</v>
      </c>
      <c r="L219">
        <v>8916</v>
      </c>
      <c r="M219">
        <v>35664</v>
      </c>
      <c r="N219">
        <v>18</v>
      </c>
      <c r="O219">
        <v>6419.52</v>
      </c>
      <c r="P219">
        <v>0</v>
      </c>
      <c r="Q219">
        <v>42083.520000000004</v>
      </c>
      <c r="R219" t="s">
        <v>160</v>
      </c>
      <c r="S219" t="s">
        <v>93</v>
      </c>
      <c r="T219" t="s">
        <v>66</v>
      </c>
      <c r="U219" t="s">
        <v>196</v>
      </c>
      <c r="V219" t="s">
        <v>51</v>
      </c>
      <c r="W219" t="s">
        <v>52</v>
      </c>
      <c r="X219" t="s">
        <v>232</v>
      </c>
      <c r="Y219" t="s">
        <v>82</v>
      </c>
      <c r="Z219" t="s">
        <v>52</v>
      </c>
      <c r="AA219" t="s">
        <v>1025</v>
      </c>
      <c r="AB219" t="s">
        <v>3340</v>
      </c>
      <c r="AC219">
        <v>4</v>
      </c>
      <c r="AD219" t="s">
        <v>56</v>
      </c>
      <c r="AE219" t="s">
        <v>3336</v>
      </c>
      <c r="AF219" t="s">
        <v>99</v>
      </c>
      <c r="AG219" t="s">
        <v>3342</v>
      </c>
      <c r="AH219" s="1">
        <v>45466</v>
      </c>
      <c r="AI219" s="1">
        <v>45469</v>
      </c>
      <c r="AJ219" s="1">
        <v>45476</v>
      </c>
      <c r="AK219" t="s">
        <v>3501</v>
      </c>
      <c r="AL219" t="s">
        <v>1024</v>
      </c>
    </row>
    <row r="220" spans="1:38" x14ac:dyDescent="0.35">
      <c r="A220" t="s">
        <v>1026</v>
      </c>
      <c r="B220" t="s">
        <v>646</v>
      </c>
      <c r="C220" t="s">
        <v>157</v>
      </c>
      <c r="D220" t="s">
        <v>209</v>
      </c>
      <c r="E220" t="s">
        <v>210</v>
      </c>
      <c r="F220" t="s">
        <v>211</v>
      </c>
      <c r="G220" t="s">
        <v>212</v>
      </c>
      <c r="H220">
        <v>4740</v>
      </c>
      <c r="I220">
        <f>Sales_Transactions_Raw[[#This Row],[Unit_Price]]*Sales_Transactions_Raw[[#This Row],[Quantity]]</f>
        <v>9480</v>
      </c>
      <c r="J220">
        <v>2</v>
      </c>
      <c r="K220">
        <v>5</v>
      </c>
      <c r="L220">
        <v>474</v>
      </c>
      <c r="M220">
        <v>9006</v>
      </c>
      <c r="N220">
        <v>5</v>
      </c>
      <c r="O220">
        <v>450.3</v>
      </c>
      <c r="P220">
        <v>0</v>
      </c>
      <c r="Q220">
        <v>9456.2999999999993</v>
      </c>
      <c r="R220" t="s">
        <v>64</v>
      </c>
      <c r="S220" t="s">
        <v>65</v>
      </c>
      <c r="T220" t="s">
        <v>115</v>
      </c>
      <c r="U220" t="s">
        <v>108</v>
      </c>
      <c r="V220" t="s">
        <v>297</v>
      </c>
      <c r="W220" t="s">
        <v>52</v>
      </c>
      <c r="X220" t="s">
        <v>277</v>
      </c>
      <c r="Y220" t="s">
        <v>127</v>
      </c>
      <c r="Z220" t="s">
        <v>68</v>
      </c>
      <c r="AA220" t="s">
        <v>1028</v>
      </c>
      <c r="AB220" t="s">
        <v>3335</v>
      </c>
      <c r="AC220">
        <v>3</v>
      </c>
      <c r="AD220" t="s">
        <v>56</v>
      </c>
      <c r="AE220" t="s">
        <v>3336</v>
      </c>
      <c r="AF220" t="s">
        <v>326</v>
      </c>
      <c r="AG220" t="s">
        <v>85</v>
      </c>
      <c r="AH220" s="1">
        <v>45195</v>
      </c>
      <c r="AI220" s="1">
        <v>45202</v>
      </c>
      <c r="AJ220" s="1">
        <v>45207</v>
      </c>
      <c r="AK220" t="s">
        <v>3502</v>
      </c>
      <c r="AL220" t="s">
        <v>1027</v>
      </c>
    </row>
    <row r="221" spans="1:38" x14ac:dyDescent="0.35">
      <c r="A221" t="s">
        <v>1029</v>
      </c>
      <c r="B221" t="s">
        <v>172</v>
      </c>
      <c r="C221" t="s">
        <v>89</v>
      </c>
      <c r="D221" t="s">
        <v>490</v>
      </c>
      <c r="E221" t="s">
        <v>91</v>
      </c>
      <c r="F221" t="s">
        <v>46</v>
      </c>
      <c r="G221" t="s">
        <v>369</v>
      </c>
      <c r="H221">
        <v>71610</v>
      </c>
      <c r="I221">
        <f>Sales_Transactions_Raw[[#This Row],[Unit_Price]]*Sales_Transactions_Raw[[#This Row],[Quantity]]</f>
        <v>429660</v>
      </c>
      <c r="J221">
        <v>6</v>
      </c>
      <c r="K221">
        <v>0</v>
      </c>
      <c r="L221">
        <v>0</v>
      </c>
      <c r="M221">
        <v>429660</v>
      </c>
      <c r="N221">
        <v>18</v>
      </c>
      <c r="O221">
        <v>77338.8</v>
      </c>
      <c r="P221">
        <v>0</v>
      </c>
      <c r="Q221">
        <v>506998.8</v>
      </c>
      <c r="R221" t="s">
        <v>92</v>
      </c>
      <c r="S221" t="s">
        <v>107</v>
      </c>
      <c r="T221" t="s">
        <v>213</v>
      </c>
      <c r="U221" t="s">
        <v>50</v>
      </c>
      <c r="V221" t="s">
        <v>287</v>
      </c>
      <c r="W221" t="s">
        <v>95</v>
      </c>
      <c r="X221" t="s">
        <v>168</v>
      </c>
      <c r="Y221" t="s">
        <v>169</v>
      </c>
      <c r="Z221" t="s">
        <v>95</v>
      </c>
      <c r="AA221" t="s">
        <v>1031</v>
      </c>
      <c r="AB221" t="s">
        <v>3344</v>
      </c>
      <c r="AC221">
        <v>5</v>
      </c>
      <c r="AD221" t="s">
        <v>179</v>
      </c>
      <c r="AE221" t="s">
        <v>3336</v>
      </c>
      <c r="AF221" t="s">
        <v>217</v>
      </c>
      <c r="AG221" t="s">
        <v>58</v>
      </c>
      <c r="AH221" s="1">
        <v>45404</v>
      </c>
      <c r="AI221" s="1">
        <v>45405</v>
      </c>
      <c r="AJ221" s="1">
        <v>45412</v>
      </c>
      <c r="AK221" t="s">
        <v>3356</v>
      </c>
      <c r="AL221" t="s">
        <v>1030</v>
      </c>
    </row>
    <row r="222" spans="1:38" x14ac:dyDescent="0.35">
      <c r="A222" t="s">
        <v>1032</v>
      </c>
      <c r="B222" t="s">
        <v>717</v>
      </c>
      <c r="C222" t="s">
        <v>131</v>
      </c>
      <c r="D222" t="s">
        <v>345</v>
      </c>
      <c r="E222" t="s">
        <v>346</v>
      </c>
      <c r="F222" t="s">
        <v>46</v>
      </c>
      <c r="G222" t="s">
        <v>63</v>
      </c>
      <c r="H222">
        <v>121700</v>
      </c>
      <c r="I222">
        <f>Sales_Transactions_Raw[[#This Row],[Unit_Price]]*Sales_Transactions_Raw[[#This Row],[Quantity]]</f>
        <v>608500</v>
      </c>
      <c r="J222">
        <v>5</v>
      </c>
      <c r="K222">
        <v>5</v>
      </c>
      <c r="L222">
        <v>30425</v>
      </c>
      <c r="M222">
        <v>578075</v>
      </c>
      <c r="N222">
        <v>18</v>
      </c>
      <c r="O222">
        <v>104053.5</v>
      </c>
      <c r="P222">
        <v>0</v>
      </c>
      <c r="Q222">
        <v>682128.5</v>
      </c>
      <c r="R222" t="s">
        <v>124</v>
      </c>
      <c r="S222" t="s">
        <v>125</v>
      </c>
      <c r="T222" t="s">
        <v>66</v>
      </c>
      <c r="U222" t="s">
        <v>50</v>
      </c>
      <c r="V222" t="s">
        <v>276</v>
      </c>
      <c r="W222" t="s">
        <v>95</v>
      </c>
      <c r="X222" t="s">
        <v>232</v>
      </c>
      <c r="Y222" t="s">
        <v>82</v>
      </c>
      <c r="Z222" t="s">
        <v>52</v>
      </c>
      <c r="AA222" t="s">
        <v>1034</v>
      </c>
      <c r="AB222" t="s">
        <v>3339</v>
      </c>
      <c r="AC222">
        <v>4</v>
      </c>
      <c r="AD222" t="s">
        <v>56</v>
      </c>
      <c r="AE222" t="s">
        <v>3336</v>
      </c>
      <c r="AF222" t="s">
        <v>326</v>
      </c>
      <c r="AG222" t="s">
        <v>58</v>
      </c>
      <c r="AH222" s="1">
        <v>45216</v>
      </c>
      <c r="AI222" s="1">
        <v>45218</v>
      </c>
      <c r="AJ222" s="1">
        <v>45412</v>
      </c>
      <c r="AK222" t="s">
        <v>3503</v>
      </c>
      <c r="AL222" t="s">
        <v>1033</v>
      </c>
    </row>
    <row r="223" spans="1:38" x14ac:dyDescent="0.35">
      <c r="A223" t="s">
        <v>1035</v>
      </c>
      <c r="B223" t="s">
        <v>1036</v>
      </c>
      <c r="C223" t="s">
        <v>131</v>
      </c>
      <c r="D223" t="s">
        <v>867</v>
      </c>
      <c r="E223" t="s">
        <v>868</v>
      </c>
      <c r="F223" t="s">
        <v>285</v>
      </c>
      <c r="G223" t="s">
        <v>869</v>
      </c>
      <c r="H223">
        <v>190</v>
      </c>
      <c r="I223">
        <f>Sales_Transactions_Raw[[#This Row],[Unit_Price]]*Sales_Transactions_Raw[[#This Row],[Quantity]]</f>
        <v>380</v>
      </c>
      <c r="J223">
        <v>2</v>
      </c>
      <c r="K223">
        <v>5</v>
      </c>
      <c r="L223">
        <v>19</v>
      </c>
      <c r="M223">
        <v>361</v>
      </c>
      <c r="N223">
        <v>5</v>
      </c>
      <c r="O223">
        <v>18.05</v>
      </c>
      <c r="P223">
        <v>49</v>
      </c>
      <c r="Q223">
        <v>379.05</v>
      </c>
      <c r="R223" t="s">
        <v>160</v>
      </c>
      <c r="S223" t="s">
        <v>65</v>
      </c>
      <c r="T223" t="s">
        <v>115</v>
      </c>
      <c r="U223" t="s">
        <v>196</v>
      </c>
      <c r="V223" t="s">
        <v>51</v>
      </c>
      <c r="W223" t="s">
        <v>52</v>
      </c>
      <c r="X223" t="s">
        <v>318</v>
      </c>
      <c r="Y223" t="s">
        <v>319</v>
      </c>
      <c r="Z223" t="s">
        <v>95</v>
      </c>
      <c r="AA223" t="s">
        <v>1038</v>
      </c>
      <c r="AB223" t="s">
        <v>3335</v>
      </c>
      <c r="AC223">
        <v>4</v>
      </c>
      <c r="AD223" t="s">
        <v>56</v>
      </c>
      <c r="AE223" t="s">
        <v>3336</v>
      </c>
      <c r="AF223" t="s">
        <v>72</v>
      </c>
      <c r="AG223" t="s">
        <v>111</v>
      </c>
      <c r="AH223" s="1">
        <v>45393</v>
      </c>
      <c r="AI223" s="1">
        <v>45396</v>
      </c>
      <c r="AJ223" s="1">
        <v>45399</v>
      </c>
      <c r="AK223" t="s">
        <v>3504</v>
      </c>
      <c r="AL223" t="s">
        <v>1037</v>
      </c>
    </row>
    <row r="224" spans="1:38" x14ac:dyDescent="0.35">
      <c r="A224" t="s">
        <v>1039</v>
      </c>
      <c r="B224" t="s">
        <v>207</v>
      </c>
      <c r="C224" t="s">
        <v>43</v>
      </c>
      <c r="D224" t="s">
        <v>90</v>
      </c>
      <c r="E224" t="s">
        <v>91</v>
      </c>
      <c r="F224" t="s">
        <v>46</v>
      </c>
      <c r="G224" t="s">
        <v>78</v>
      </c>
      <c r="H224">
        <v>92790</v>
      </c>
      <c r="I224">
        <f>Sales_Transactions_Raw[[#This Row],[Unit_Price]]*Sales_Transactions_Raw[[#This Row],[Quantity]]</f>
        <v>649530</v>
      </c>
      <c r="J224">
        <v>7</v>
      </c>
      <c r="K224">
        <v>5</v>
      </c>
      <c r="L224">
        <v>32476.5</v>
      </c>
      <c r="M224">
        <v>617053.5</v>
      </c>
      <c r="N224">
        <v>18</v>
      </c>
      <c r="O224">
        <v>111069.63</v>
      </c>
      <c r="P224">
        <v>0</v>
      </c>
      <c r="Q224">
        <v>728123.13</v>
      </c>
      <c r="R224" t="s">
        <v>64</v>
      </c>
      <c r="S224" t="s">
        <v>125</v>
      </c>
      <c r="T224" t="s">
        <v>66</v>
      </c>
      <c r="U224" t="s">
        <v>108</v>
      </c>
      <c r="V224" t="s">
        <v>80</v>
      </c>
      <c r="W224" t="s">
        <v>81</v>
      </c>
      <c r="X224" t="s">
        <v>393</v>
      </c>
      <c r="Y224" t="s">
        <v>393</v>
      </c>
      <c r="Z224" t="s">
        <v>70</v>
      </c>
      <c r="AA224" t="s">
        <v>1041</v>
      </c>
      <c r="AB224" t="s">
        <v>3344</v>
      </c>
      <c r="AC224">
        <v>5</v>
      </c>
      <c r="AD224" t="s">
        <v>56</v>
      </c>
      <c r="AE224" t="s">
        <v>3336</v>
      </c>
      <c r="AF224" t="s">
        <v>84</v>
      </c>
      <c r="AG224" t="s">
        <v>111</v>
      </c>
      <c r="AH224" s="1">
        <v>45602</v>
      </c>
      <c r="AI224" s="1">
        <v>45461</v>
      </c>
      <c r="AJ224" s="1">
        <v>45471</v>
      </c>
      <c r="AK224" t="s">
        <v>3505</v>
      </c>
      <c r="AL224" t="s">
        <v>1040</v>
      </c>
    </row>
    <row r="225" spans="1:38" x14ac:dyDescent="0.35">
      <c r="A225" t="s">
        <v>1042</v>
      </c>
      <c r="B225" t="s">
        <v>543</v>
      </c>
      <c r="C225" t="s">
        <v>157</v>
      </c>
      <c r="D225" t="s">
        <v>283</v>
      </c>
      <c r="E225" t="s">
        <v>284</v>
      </c>
      <c r="F225" t="s">
        <v>285</v>
      </c>
      <c r="G225" t="s">
        <v>286</v>
      </c>
      <c r="H225">
        <v>480</v>
      </c>
      <c r="I225">
        <f>Sales_Transactions_Raw[[#This Row],[Unit_Price]]*Sales_Transactions_Raw[[#This Row],[Quantity]]</f>
        <v>480</v>
      </c>
      <c r="J225">
        <v>1</v>
      </c>
      <c r="K225">
        <v>5</v>
      </c>
      <c r="L225">
        <v>24</v>
      </c>
      <c r="M225">
        <v>456</v>
      </c>
      <c r="N225">
        <v>5</v>
      </c>
      <c r="O225">
        <v>22.8</v>
      </c>
      <c r="P225">
        <v>99</v>
      </c>
      <c r="Q225">
        <v>478.8</v>
      </c>
      <c r="R225" t="s">
        <v>79</v>
      </c>
      <c r="S225" t="s">
        <v>125</v>
      </c>
      <c r="T225" t="s">
        <v>115</v>
      </c>
      <c r="U225" t="s">
        <v>196</v>
      </c>
      <c r="V225" t="s">
        <v>80</v>
      </c>
      <c r="W225" t="s">
        <v>81</v>
      </c>
      <c r="X225" t="s">
        <v>117</v>
      </c>
      <c r="Y225" t="s">
        <v>118</v>
      </c>
      <c r="Z225" t="s">
        <v>70</v>
      </c>
      <c r="AA225" t="s">
        <v>1044</v>
      </c>
      <c r="AB225" t="s">
        <v>3335</v>
      </c>
      <c r="AC225">
        <v>3</v>
      </c>
      <c r="AD225" t="s">
        <v>56</v>
      </c>
      <c r="AE225" t="s">
        <v>3336</v>
      </c>
      <c r="AF225" t="s">
        <v>227</v>
      </c>
      <c r="AG225" t="s">
        <v>3342</v>
      </c>
      <c r="AH225" s="1">
        <v>44969</v>
      </c>
      <c r="AI225" s="1">
        <v>44976</v>
      </c>
      <c r="AJ225" s="1">
        <v>44981</v>
      </c>
      <c r="AK225" t="s">
        <v>3506</v>
      </c>
      <c r="AL225" t="s">
        <v>1043</v>
      </c>
    </row>
    <row r="226" spans="1:38" x14ac:dyDescent="0.35">
      <c r="A226" t="s">
        <v>1045</v>
      </c>
      <c r="B226" t="s">
        <v>1000</v>
      </c>
      <c r="C226" t="s">
        <v>89</v>
      </c>
      <c r="D226" t="s">
        <v>230</v>
      </c>
      <c r="E226" t="s">
        <v>231</v>
      </c>
      <c r="F226" t="s">
        <v>46</v>
      </c>
      <c r="G226" t="s">
        <v>63</v>
      </c>
      <c r="H226">
        <v>115030</v>
      </c>
      <c r="I226">
        <f>Sales_Transactions_Raw[[#This Row],[Unit_Price]]*Sales_Transactions_Raw[[#This Row],[Quantity]]</f>
        <v>230060</v>
      </c>
      <c r="J226">
        <v>2</v>
      </c>
      <c r="K226">
        <v>0</v>
      </c>
      <c r="L226">
        <v>0</v>
      </c>
      <c r="M226">
        <v>230060</v>
      </c>
      <c r="N226">
        <v>18</v>
      </c>
      <c r="O226">
        <v>41410.800000000003</v>
      </c>
      <c r="P226">
        <v>0</v>
      </c>
      <c r="Q226">
        <v>271470.8</v>
      </c>
      <c r="R226" t="s">
        <v>160</v>
      </c>
      <c r="S226" t="s">
        <v>65</v>
      </c>
      <c r="T226" t="s">
        <v>66</v>
      </c>
      <c r="U226" t="s">
        <v>196</v>
      </c>
      <c r="V226" t="s">
        <v>197</v>
      </c>
      <c r="W226" t="s">
        <v>696</v>
      </c>
      <c r="X226" t="s">
        <v>437</v>
      </c>
      <c r="Y226" t="s">
        <v>319</v>
      </c>
      <c r="Z226" t="s">
        <v>95</v>
      </c>
      <c r="AA226" t="s">
        <v>1047</v>
      </c>
      <c r="AB226" t="s">
        <v>3339</v>
      </c>
      <c r="AC226">
        <v>3</v>
      </c>
      <c r="AD226" t="s">
        <v>56</v>
      </c>
      <c r="AE226" t="s">
        <v>3336</v>
      </c>
      <c r="AF226" t="s">
        <v>262</v>
      </c>
      <c r="AG226" t="s">
        <v>3342</v>
      </c>
      <c r="AH226" s="1">
        <v>45007</v>
      </c>
      <c r="AI226" s="1">
        <v>45013</v>
      </c>
      <c r="AJ226" s="1">
        <v>45018</v>
      </c>
      <c r="AK226" t="s">
        <v>3507</v>
      </c>
      <c r="AL226" t="s">
        <v>1046</v>
      </c>
    </row>
    <row r="227" spans="1:38" x14ac:dyDescent="0.35">
      <c r="A227" t="s">
        <v>1048</v>
      </c>
      <c r="B227" t="s">
        <v>741</v>
      </c>
      <c r="C227" t="s">
        <v>43</v>
      </c>
      <c r="D227" t="s">
        <v>221</v>
      </c>
      <c r="E227" t="s">
        <v>222</v>
      </c>
      <c r="F227" t="s">
        <v>146</v>
      </c>
      <c r="G227" t="s">
        <v>223</v>
      </c>
      <c r="H227">
        <v>2710</v>
      </c>
      <c r="I227">
        <f>Sales_Transactions_Raw[[#This Row],[Unit_Price]]*Sales_Transactions_Raw[[#This Row],[Quantity]]</f>
        <v>2710</v>
      </c>
      <c r="J227">
        <v>1</v>
      </c>
      <c r="K227">
        <v>0</v>
      </c>
      <c r="L227">
        <v>0</v>
      </c>
      <c r="M227">
        <v>2710</v>
      </c>
      <c r="N227">
        <v>12</v>
      </c>
      <c r="O227">
        <v>325.2</v>
      </c>
      <c r="P227">
        <v>99</v>
      </c>
      <c r="Q227">
        <v>3035.2</v>
      </c>
      <c r="R227" t="s">
        <v>124</v>
      </c>
      <c r="S227" t="s">
        <v>93</v>
      </c>
      <c r="T227" t="s">
        <v>66</v>
      </c>
      <c r="U227" t="s">
        <v>50</v>
      </c>
      <c r="V227" t="s">
        <v>224</v>
      </c>
      <c r="W227" t="s">
        <v>95</v>
      </c>
      <c r="X227" t="s">
        <v>53</v>
      </c>
      <c r="Y227" t="s">
        <v>54</v>
      </c>
      <c r="Z227" t="s">
        <v>70</v>
      </c>
      <c r="AA227" t="s">
        <v>1050</v>
      </c>
      <c r="AB227" t="s">
        <v>3344</v>
      </c>
      <c r="AC227">
        <v>4</v>
      </c>
      <c r="AD227" t="s">
        <v>56</v>
      </c>
      <c r="AE227" t="s">
        <v>3336</v>
      </c>
      <c r="AF227" t="s">
        <v>326</v>
      </c>
      <c r="AG227" t="s">
        <v>3342</v>
      </c>
      <c r="AH227" s="1">
        <v>45284</v>
      </c>
      <c r="AI227" s="1">
        <v>45288</v>
      </c>
      <c r="AJ227" s="1">
        <v>45298</v>
      </c>
      <c r="AK227" t="s">
        <v>3456</v>
      </c>
      <c r="AL227" t="s">
        <v>1049</v>
      </c>
    </row>
    <row r="228" spans="1:38" x14ac:dyDescent="0.35">
      <c r="A228" t="s">
        <v>1051</v>
      </c>
      <c r="B228" t="s">
        <v>472</v>
      </c>
      <c r="C228" t="s">
        <v>157</v>
      </c>
      <c r="D228" t="s">
        <v>956</v>
      </c>
      <c r="E228" t="s">
        <v>957</v>
      </c>
      <c r="F228" t="s">
        <v>46</v>
      </c>
      <c r="G228" t="s">
        <v>147</v>
      </c>
      <c r="H228">
        <v>8720</v>
      </c>
      <c r="I228">
        <f>Sales_Transactions_Raw[[#This Row],[Unit_Price]]*Sales_Transactions_Raw[[#This Row],[Quantity]]</f>
        <v>43600</v>
      </c>
      <c r="J228">
        <v>5</v>
      </c>
      <c r="K228">
        <v>5</v>
      </c>
      <c r="L228">
        <v>2180</v>
      </c>
      <c r="M228">
        <v>41420</v>
      </c>
      <c r="N228">
        <v>18</v>
      </c>
      <c r="O228">
        <v>7455.6</v>
      </c>
      <c r="P228">
        <v>0</v>
      </c>
      <c r="Q228">
        <v>48875.6</v>
      </c>
      <c r="R228" t="s">
        <v>48</v>
      </c>
      <c r="S228" t="s">
        <v>107</v>
      </c>
      <c r="T228" t="s">
        <v>66</v>
      </c>
      <c r="U228" t="s">
        <v>214</v>
      </c>
      <c r="V228" t="s">
        <v>177</v>
      </c>
      <c r="W228" t="s">
        <v>81</v>
      </c>
      <c r="X228" t="s">
        <v>486</v>
      </c>
      <c r="Y228" t="s">
        <v>138</v>
      </c>
      <c r="Z228" t="s">
        <v>81</v>
      </c>
      <c r="AA228" t="s">
        <v>1053</v>
      </c>
      <c r="AB228" t="s">
        <v>3335</v>
      </c>
      <c r="AC228">
        <v>4</v>
      </c>
      <c r="AD228" t="s">
        <v>179</v>
      </c>
      <c r="AE228" t="s">
        <v>3336</v>
      </c>
      <c r="AF228" t="s">
        <v>153</v>
      </c>
      <c r="AG228" t="s">
        <v>3337</v>
      </c>
      <c r="AH228" s="1">
        <v>45424</v>
      </c>
      <c r="AI228" s="1">
        <v>45430</v>
      </c>
      <c r="AJ228" s="1">
        <v>45435</v>
      </c>
      <c r="AK228" t="s">
        <v>3508</v>
      </c>
      <c r="AL228" t="s">
        <v>1052</v>
      </c>
    </row>
    <row r="229" spans="1:38" x14ac:dyDescent="0.35">
      <c r="A229" t="s">
        <v>1054</v>
      </c>
      <c r="B229" t="s">
        <v>453</v>
      </c>
      <c r="C229" t="s">
        <v>43</v>
      </c>
      <c r="D229" t="s">
        <v>713</v>
      </c>
      <c r="E229" t="s">
        <v>714</v>
      </c>
      <c r="F229" t="s">
        <v>46</v>
      </c>
      <c r="G229" t="s">
        <v>47</v>
      </c>
      <c r="H229">
        <v>16800</v>
      </c>
      <c r="I229">
        <f>Sales_Transactions_Raw[[#This Row],[Unit_Price]]*Sales_Transactions_Raw[[#This Row],[Quantity]]</f>
        <v>67200</v>
      </c>
      <c r="J229">
        <v>4</v>
      </c>
      <c r="K229">
        <v>5</v>
      </c>
      <c r="L229">
        <v>3360</v>
      </c>
      <c r="M229">
        <v>63840</v>
      </c>
      <c r="N229">
        <v>18</v>
      </c>
      <c r="O229">
        <v>11491.2</v>
      </c>
      <c r="P229">
        <v>0</v>
      </c>
      <c r="Q229">
        <v>75331.199999999997</v>
      </c>
      <c r="R229" t="s">
        <v>106</v>
      </c>
      <c r="S229" t="s">
        <v>125</v>
      </c>
      <c r="T229" t="s">
        <v>115</v>
      </c>
      <c r="U229" t="s">
        <v>108</v>
      </c>
      <c r="V229" t="s">
        <v>287</v>
      </c>
      <c r="W229" t="s">
        <v>95</v>
      </c>
      <c r="X229" t="s">
        <v>611</v>
      </c>
      <c r="Y229" t="s">
        <v>97</v>
      </c>
      <c r="Z229" t="s">
        <v>95</v>
      </c>
      <c r="AA229" t="s">
        <v>1056</v>
      </c>
      <c r="AB229" t="s">
        <v>3340</v>
      </c>
      <c r="AC229">
        <v>4</v>
      </c>
      <c r="AD229" t="s">
        <v>56</v>
      </c>
      <c r="AE229" t="s">
        <v>3336</v>
      </c>
      <c r="AF229" t="s">
        <v>227</v>
      </c>
      <c r="AG229" t="s">
        <v>58</v>
      </c>
      <c r="AH229" s="1">
        <v>45162</v>
      </c>
      <c r="AI229" s="1">
        <v>45168</v>
      </c>
      <c r="AJ229" s="1">
        <v>45435</v>
      </c>
      <c r="AK229" t="s">
        <v>3443</v>
      </c>
      <c r="AL229" t="s">
        <v>1055</v>
      </c>
    </row>
    <row r="230" spans="1:38" x14ac:dyDescent="0.35">
      <c r="A230" t="s">
        <v>1057</v>
      </c>
      <c r="B230" t="s">
        <v>409</v>
      </c>
      <c r="C230" t="s">
        <v>43</v>
      </c>
      <c r="D230" t="s">
        <v>526</v>
      </c>
      <c r="E230" t="s">
        <v>527</v>
      </c>
      <c r="F230" t="s">
        <v>185</v>
      </c>
      <c r="G230" t="s">
        <v>528</v>
      </c>
      <c r="H230">
        <v>830</v>
      </c>
      <c r="I230">
        <f>Sales_Transactions_Raw[[#This Row],[Unit_Price]]*Sales_Transactions_Raw[[#This Row],[Quantity]]</f>
        <v>830</v>
      </c>
      <c r="J230">
        <v>1</v>
      </c>
      <c r="K230">
        <v>10</v>
      </c>
      <c r="L230">
        <v>83</v>
      </c>
      <c r="M230">
        <v>747</v>
      </c>
      <c r="N230">
        <v>5</v>
      </c>
      <c r="O230">
        <v>37.35</v>
      </c>
      <c r="P230">
        <v>99</v>
      </c>
      <c r="Q230">
        <v>784.35</v>
      </c>
      <c r="R230" t="s">
        <v>106</v>
      </c>
      <c r="S230" t="s">
        <v>65</v>
      </c>
      <c r="T230" t="s">
        <v>115</v>
      </c>
      <c r="U230" t="s">
        <v>108</v>
      </c>
      <c r="V230" t="s">
        <v>269</v>
      </c>
      <c r="W230" t="s">
        <v>70</v>
      </c>
      <c r="X230" t="s">
        <v>204</v>
      </c>
      <c r="Y230" t="s">
        <v>118</v>
      </c>
      <c r="Z230" t="s">
        <v>70</v>
      </c>
      <c r="AA230" t="s">
        <v>1059</v>
      </c>
      <c r="AB230" t="s">
        <v>3335</v>
      </c>
      <c r="AC230">
        <v>4</v>
      </c>
      <c r="AD230" t="s">
        <v>56</v>
      </c>
      <c r="AE230" t="s">
        <v>3336</v>
      </c>
      <c r="AF230" t="s">
        <v>57</v>
      </c>
      <c r="AG230" t="s">
        <v>445</v>
      </c>
      <c r="AH230" s="1">
        <v>45156</v>
      </c>
      <c r="AI230" s="1">
        <v>45161</v>
      </c>
      <c r="AJ230" s="1">
        <v>45163</v>
      </c>
      <c r="AK230" t="s">
        <v>3425</v>
      </c>
      <c r="AL230" t="s">
        <v>1058</v>
      </c>
    </row>
    <row r="231" spans="1:38" x14ac:dyDescent="0.35">
      <c r="A231" t="s">
        <v>1060</v>
      </c>
      <c r="B231" t="s">
        <v>478</v>
      </c>
      <c r="C231" t="s">
        <v>131</v>
      </c>
      <c r="D231" t="s">
        <v>426</v>
      </c>
      <c r="E231" t="s">
        <v>427</v>
      </c>
      <c r="F231" t="s">
        <v>134</v>
      </c>
      <c r="G231" t="s">
        <v>305</v>
      </c>
      <c r="H231">
        <v>45540</v>
      </c>
      <c r="I231">
        <f>Sales_Transactions_Raw[[#This Row],[Unit_Price]]*Sales_Transactions_Raw[[#This Row],[Quantity]]</f>
        <v>45540</v>
      </c>
      <c r="J231">
        <v>1</v>
      </c>
      <c r="K231">
        <v>25</v>
      </c>
      <c r="L231">
        <v>11385</v>
      </c>
      <c r="M231">
        <v>34155</v>
      </c>
      <c r="N231">
        <v>5</v>
      </c>
      <c r="O231">
        <v>1707.75</v>
      </c>
      <c r="P231">
        <v>0</v>
      </c>
      <c r="Q231">
        <v>35862.75</v>
      </c>
      <c r="R231" t="s">
        <v>124</v>
      </c>
      <c r="S231" t="s">
        <v>93</v>
      </c>
      <c r="T231" t="s">
        <v>115</v>
      </c>
      <c r="U231" t="s">
        <v>214</v>
      </c>
      <c r="V231" t="s">
        <v>197</v>
      </c>
      <c r="W231" t="s">
        <v>68</v>
      </c>
      <c r="X231" t="s">
        <v>260</v>
      </c>
      <c r="Y231" t="s">
        <v>118</v>
      </c>
      <c r="Z231" t="s">
        <v>70</v>
      </c>
      <c r="AB231" t="s">
        <v>3335</v>
      </c>
      <c r="AC231">
        <v>5</v>
      </c>
      <c r="AD231" t="s">
        <v>56</v>
      </c>
      <c r="AE231" t="s">
        <v>3336</v>
      </c>
      <c r="AF231" t="s">
        <v>227</v>
      </c>
      <c r="AG231" t="s">
        <v>58</v>
      </c>
      <c r="AH231" s="1">
        <v>44940</v>
      </c>
      <c r="AI231" s="1">
        <v>44942</v>
      </c>
      <c r="AJ231" s="1">
        <v>44952</v>
      </c>
      <c r="AK231" t="s">
        <v>3398</v>
      </c>
      <c r="AL231" t="s">
        <v>1061</v>
      </c>
    </row>
    <row r="232" spans="1:38" x14ac:dyDescent="0.35">
      <c r="A232" t="s">
        <v>1062</v>
      </c>
      <c r="B232" t="s">
        <v>155</v>
      </c>
      <c r="C232" t="s">
        <v>43</v>
      </c>
      <c r="D232" t="s">
        <v>183</v>
      </c>
      <c r="E232" t="s">
        <v>184</v>
      </c>
      <c r="F232" t="s">
        <v>185</v>
      </c>
      <c r="G232" t="s">
        <v>186</v>
      </c>
      <c r="H232">
        <v>120</v>
      </c>
      <c r="I232">
        <f>Sales_Transactions_Raw[[#This Row],[Unit_Price]]*Sales_Transactions_Raw[[#This Row],[Quantity]]</f>
        <v>120</v>
      </c>
      <c r="J232">
        <v>1</v>
      </c>
      <c r="K232">
        <v>0</v>
      </c>
      <c r="L232">
        <v>0</v>
      </c>
      <c r="M232">
        <v>120</v>
      </c>
      <c r="N232">
        <v>5</v>
      </c>
      <c r="O232">
        <v>6</v>
      </c>
      <c r="P232">
        <v>99</v>
      </c>
      <c r="Q232">
        <v>126</v>
      </c>
      <c r="R232" t="s">
        <v>48</v>
      </c>
      <c r="S232" t="s">
        <v>125</v>
      </c>
      <c r="T232" t="s">
        <v>66</v>
      </c>
      <c r="U232" t="s">
        <v>108</v>
      </c>
      <c r="V232" t="s">
        <v>51</v>
      </c>
      <c r="W232" t="s">
        <v>52</v>
      </c>
      <c r="X232" t="s">
        <v>162</v>
      </c>
      <c r="Y232" t="s">
        <v>109</v>
      </c>
      <c r="Z232" t="s">
        <v>70</v>
      </c>
      <c r="AA232" t="s">
        <v>1064</v>
      </c>
      <c r="AB232" t="s">
        <v>3341</v>
      </c>
      <c r="AC232">
        <v>2</v>
      </c>
      <c r="AD232" t="s">
        <v>56</v>
      </c>
      <c r="AE232" t="s">
        <v>3336</v>
      </c>
      <c r="AF232" t="s">
        <v>262</v>
      </c>
      <c r="AG232" t="s">
        <v>85</v>
      </c>
      <c r="AH232" s="1">
        <v>45023</v>
      </c>
      <c r="AI232" s="1">
        <v>45028</v>
      </c>
      <c r="AJ232" s="1">
        <v>45037</v>
      </c>
      <c r="AK232" t="s">
        <v>3354</v>
      </c>
      <c r="AL232" t="s">
        <v>1063</v>
      </c>
    </row>
    <row r="233" spans="1:38" x14ac:dyDescent="0.35">
      <c r="A233" t="s">
        <v>1065</v>
      </c>
      <c r="B233" t="s">
        <v>731</v>
      </c>
      <c r="C233" t="s">
        <v>43</v>
      </c>
      <c r="D233" t="s">
        <v>76</v>
      </c>
      <c r="E233" t="s">
        <v>77</v>
      </c>
      <c r="F233" t="s">
        <v>46</v>
      </c>
      <c r="G233" t="s">
        <v>78</v>
      </c>
      <c r="H233">
        <v>29347.846790890268</v>
      </c>
      <c r="I233">
        <f>Sales_Transactions_Raw[[#This Row],[Unit_Price]]*Sales_Transactions_Raw[[#This Row],[Quantity]]</f>
        <v>29347.846790890268</v>
      </c>
      <c r="J233">
        <v>1</v>
      </c>
      <c r="K233">
        <v>5</v>
      </c>
      <c r="L233">
        <v>3957.5</v>
      </c>
      <c r="M233">
        <v>75192.5</v>
      </c>
      <c r="N233">
        <v>18</v>
      </c>
      <c r="O233">
        <v>13534.65</v>
      </c>
      <c r="P233">
        <v>0</v>
      </c>
      <c r="Q233">
        <v>88727.15</v>
      </c>
      <c r="R233" t="s">
        <v>92</v>
      </c>
      <c r="S233" t="s">
        <v>125</v>
      </c>
      <c r="T233" t="s">
        <v>66</v>
      </c>
      <c r="U233" t="s">
        <v>50</v>
      </c>
      <c r="V233" t="s">
        <v>269</v>
      </c>
      <c r="W233" t="s">
        <v>70</v>
      </c>
      <c r="X233" t="s">
        <v>505</v>
      </c>
      <c r="Y233" t="s">
        <v>118</v>
      </c>
      <c r="Z233" t="s">
        <v>70</v>
      </c>
      <c r="AA233" t="s">
        <v>1067</v>
      </c>
      <c r="AB233" t="s">
        <v>3340</v>
      </c>
      <c r="AC233">
        <v>4</v>
      </c>
      <c r="AD233" t="s">
        <v>56</v>
      </c>
      <c r="AE233" t="s">
        <v>3336</v>
      </c>
      <c r="AF233" t="s">
        <v>72</v>
      </c>
      <c r="AG233" t="s">
        <v>111</v>
      </c>
      <c r="AH233" s="1">
        <v>44927</v>
      </c>
      <c r="AI233" s="1">
        <v>45017</v>
      </c>
      <c r="AJ233" s="1">
        <v>45108</v>
      </c>
      <c r="AK233" t="s">
        <v>3509</v>
      </c>
      <c r="AL233" t="s">
        <v>1066</v>
      </c>
    </row>
    <row r="234" spans="1:38" x14ac:dyDescent="0.35">
      <c r="A234" t="s">
        <v>1068</v>
      </c>
      <c r="B234" t="s">
        <v>624</v>
      </c>
      <c r="C234" t="s">
        <v>43</v>
      </c>
      <c r="D234" t="s">
        <v>667</v>
      </c>
      <c r="E234" t="s">
        <v>668</v>
      </c>
      <c r="F234" t="s">
        <v>146</v>
      </c>
      <c r="G234" t="s">
        <v>195</v>
      </c>
      <c r="H234">
        <v>9000</v>
      </c>
      <c r="I234">
        <f>Sales_Transactions_Raw[[#This Row],[Unit_Price]]*Sales_Transactions_Raw[[#This Row],[Quantity]]</f>
        <v>72000</v>
      </c>
      <c r="J234">
        <v>8</v>
      </c>
      <c r="K234">
        <v>0</v>
      </c>
      <c r="L234">
        <v>0</v>
      </c>
      <c r="M234">
        <v>72000</v>
      </c>
      <c r="N234">
        <v>12</v>
      </c>
      <c r="O234">
        <v>8640</v>
      </c>
      <c r="P234">
        <v>0</v>
      </c>
      <c r="Q234">
        <v>80640</v>
      </c>
      <c r="R234" t="s">
        <v>64</v>
      </c>
      <c r="S234" t="s">
        <v>125</v>
      </c>
      <c r="T234" t="s">
        <v>115</v>
      </c>
      <c r="U234" t="s">
        <v>161</v>
      </c>
      <c r="V234" t="s">
        <v>287</v>
      </c>
      <c r="W234" t="s">
        <v>95</v>
      </c>
      <c r="X234" t="s">
        <v>162</v>
      </c>
      <c r="Y234" t="s">
        <v>109</v>
      </c>
      <c r="Z234" t="s">
        <v>70</v>
      </c>
      <c r="AA234" t="s">
        <v>1070</v>
      </c>
      <c r="AB234" t="s">
        <v>3335</v>
      </c>
      <c r="AC234">
        <v>4</v>
      </c>
      <c r="AD234" t="s">
        <v>56</v>
      </c>
      <c r="AE234" t="s">
        <v>3336</v>
      </c>
      <c r="AF234" t="s">
        <v>57</v>
      </c>
      <c r="AG234" t="s">
        <v>58</v>
      </c>
      <c r="AH234" s="1">
        <v>45244</v>
      </c>
      <c r="AI234" s="1">
        <v>45247</v>
      </c>
      <c r="AJ234" s="1">
        <v>45250</v>
      </c>
      <c r="AK234" t="s">
        <v>3426</v>
      </c>
      <c r="AL234" t="s">
        <v>1069</v>
      </c>
    </row>
    <row r="235" spans="1:38" x14ac:dyDescent="0.35">
      <c r="A235" t="s">
        <v>1071</v>
      </c>
      <c r="B235" t="s">
        <v>240</v>
      </c>
      <c r="C235" t="s">
        <v>43</v>
      </c>
      <c r="D235" t="s">
        <v>221</v>
      </c>
      <c r="E235" t="s">
        <v>222</v>
      </c>
      <c r="F235" t="s">
        <v>146</v>
      </c>
      <c r="G235" t="s">
        <v>223</v>
      </c>
      <c r="H235">
        <v>2600</v>
      </c>
      <c r="I235">
        <f>Sales_Transactions_Raw[[#This Row],[Unit_Price]]*Sales_Transactions_Raw[[#This Row],[Quantity]]</f>
        <v>10400</v>
      </c>
      <c r="J235">
        <v>4</v>
      </c>
      <c r="K235">
        <v>0</v>
      </c>
      <c r="L235">
        <v>0</v>
      </c>
      <c r="M235">
        <v>10400</v>
      </c>
      <c r="N235">
        <v>12</v>
      </c>
      <c r="O235">
        <v>1248</v>
      </c>
      <c r="P235">
        <v>0</v>
      </c>
      <c r="Q235">
        <v>11648</v>
      </c>
      <c r="R235" t="s">
        <v>48</v>
      </c>
      <c r="S235" t="s">
        <v>125</v>
      </c>
      <c r="T235" t="s">
        <v>136</v>
      </c>
      <c r="U235" t="s">
        <v>108</v>
      </c>
      <c r="V235" t="s">
        <v>297</v>
      </c>
      <c r="W235" t="s">
        <v>52</v>
      </c>
      <c r="X235" t="s">
        <v>750</v>
      </c>
      <c r="Y235" t="s">
        <v>127</v>
      </c>
      <c r="Z235" t="s">
        <v>68</v>
      </c>
      <c r="AA235" t="s">
        <v>1073</v>
      </c>
      <c r="AB235" t="s">
        <v>3343</v>
      </c>
      <c r="AC235">
        <v>3</v>
      </c>
      <c r="AD235" t="s">
        <v>56</v>
      </c>
      <c r="AE235" t="s">
        <v>3336</v>
      </c>
      <c r="AF235" t="s">
        <v>99</v>
      </c>
      <c r="AG235" t="s">
        <v>3337</v>
      </c>
      <c r="AH235" s="1">
        <v>45455</v>
      </c>
      <c r="AI235" s="1">
        <v>45456</v>
      </c>
      <c r="AJ235" s="1">
        <v>45464</v>
      </c>
      <c r="AK235" t="s">
        <v>3510</v>
      </c>
      <c r="AL235" t="s">
        <v>1072</v>
      </c>
    </row>
    <row r="236" spans="1:38" x14ac:dyDescent="0.35">
      <c r="A236" t="s">
        <v>1074</v>
      </c>
      <c r="B236" t="s">
        <v>202</v>
      </c>
      <c r="C236" t="s">
        <v>89</v>
      </c>
      <c r="D236" t="s">
        <v>704</v>
      </c>
      <c r="E236" t="s">
        <v>705</v>
      </c>
      <c r="F236" t="s">
        <v>285</v>
      </c>
      <c r="G236" t="s">
        <v>706</v>
      </c>
      <c r="H236">
        <v>270</v>
      </c>
      <c r="I236">
        <f>Sales_Transactions_Raw[[#This Row],[Unit_Price]]*Sales_Transactions_Raw[[#This Row],[Quantity]]</f>
        <v>270</v>
      </c>
      <c r="J236">
        <v>1</v>
      </c>
      <c r="K236">
        <v>0</v>
      </c>
      <c r="L236">
        <v>0</v>
      </c>
      <c r="M236">
        <v>270</v>
      </c>
      <c r="N236">
        <v>5</v>
      </c>
      <c r="O236">
        <v>13.5</v>
      </c>
      <c r="P236">
        <v>79</v>
      </c>
      <c r="Q236">
        <v>283.5</v>
      </c>
      <c r="R236" t="s">
        <v>48</v>
      </c>
      <c r="S236" t="s">
        <v>49</v>
      </c>
      <c r="T236" t="s">
        <v>115</v>
      </c>
      <c r="U236" t="s">
        <v>196</v>
      </c>
      <c r="V236" t="s">
        <v>177</v>
      </c>
      <c r="W236" t="s">
        <v>81</v>
      </c>
      <c r="X236" t="s">
        <v>260</v>
      </c>
      <c r="Y236" t="s">
        <v>118</v>
      </c>
      <c r="Z236" t="s">
        <v>70</v>
      </c>
      <c r="AA236" t="s">
        <v>1076</v>
      </c>
      <c r="AB236" t="s">
        <v>3338</v>
      </c>
      <c r="AC236">
        <v>4</v>
      </c>
      <c r="AD236" t="s">
        <v>56</v>
      </c>
      <c r="AE236" t="s">
        <v>3336</v>
      </c>
      <c r="AF236" t="s">
        <v>72</v>
      </c>
      <c r="AG236" t="s">
        <v>3342</v>
      </c>
      <c r="AH236" s="1">
        <v>44981</v>
      </c>
      <c r="AI236" s="1">
        <v>44985</v>
      </c>
      <c r="AJ236" s="1">
        <v>44991</v>
      </c>
      <c r="AK236" t="s">
        <v>3511</v>
      </c>
      <c r="AL236" t="s">
        <v>1075</v>
      </c>
    </row>
    <row r="237" spans="1:38" x14ac:dyDescent="0.35">
      <c r="A237" t="s">
        <v>1077</v>
      </c>
      <c r="B237" t="s">
        <v>1078</v>
      </c>
      <c r="C237" t="s">
        <v>157</v>
      </c>
      <c r="D237" t="s">
        <v>274</v>
      </c>
      <c r="E237" t="s">
        <v>275</v>
      </c>
      <c r="F237" t="s">
        <v>211</v>
      </c>
      <c r="G237" t="s">
        <v>268</v>
      </c>
      <c r="H237">
        <v>13820</v>
      </c>
      <c r="I237">
        <f>Sales_Transactions_Raw[[#This Row],[Unit_Price]]*Sales_Transactions_Raw[[#This Row],[Quantity]]</f>
        <v>82920</v>
      </c>
      <c r="J237">
        <v>6</v>
      </c>
      <c r="K237">
        <v>5</v>
      </c>
      <c r="L237">
        <v>4146</v>
      </c>
      <c r="M237">
        <v>78774</v>
      </c>
      <c r="N237">
        <v>5</v>
      </c>
      <c r="O237">
        <v>3938.7</v>
      </c>
      <c r="P237">
        <v>0</v>
      </c>
      <c r="Q237">
        <v>82712.7</v>
      </c>
      <c r="R237" t="s">
        <v>64</v>
      </c>
      <c r="S237" t="s">
        <v>65</v>
      </c>
      <c r="T237" t="s">
        <v>115</v>
      </c>
      <c r="U237" t="s">
        <v>214</v>
      </c>
      <c r="V237" t="s">
        <v>287</v>
      </c>
      <c r="W237" t="s">
        <v>95</v>
      </c>
      <c r="X237" t="s">
        <v>556</v>
      </c>
      <c r="Y237" t="s">
        <v>481</v>
      </c>
      <c r="Z237" t="s">
        <v>52</v>
      </c>
      <c r="AA237" t="s">
        <v>1080</v>
      </c>
      <c r="AB237" t="s">
        <v>3344</v>
      </c>
      <c r="AC237">
        <v>2</v>
      </c>
      <c r="AD237" t="s">
        <v>56</v>
      </c>
      <c r="AE237" t="s">
        <v>3336</v>
      </c>
      <c r="AF237" t="s">
        <v>57</v>
      </c>
      <c r="AG237" t="s">
        <v>111</v>
      </c>
      <c r="AH237" s="1">
        <v>45257</v>
      </c>
      <c r="AI237" s="1">
        <v>44985</v>
      </c>
      <c r="AJ237" s="1">
        <v>45266</v>
      </c>
      <c r="AK237" t="s">
        <v>3512</v>
      </c>
      <c r="AL237" t="s">
        <v>1079</v>
      </c>
    </row>
    <row r="238" spans="1:38" x14ac:dyDescent="0.35">
      <c r="A238" t="s">
        <v>1081</v>
      </c>
      <c r="B238" t="s">
        <v>1082</v>
      </c>
      <c r="C238" t="s">
        <v>157</v>
      </c>
      <c r="D238" t="s">
        <v>449</v>
      </c>
      <c r="E238" t="s">
        <v>450</v>
      </c>
      <c r="F238" t="s">
        <v>46</v>
      </c>
      <c r="G238" t="s">
        <v>78</v>
      </c>
      <c r="H238">
        <v>43790</v>
      </c>
      <c r="I238">
        <f>Sales_Transactions_Raw[[#This Row],[Unit_Price]]*Sales_Transactions_Raw[[#This Row],[Quantity]]</f>
        <v>87580</v>
      </c>
      <c r="J238">
        <v>2</v>
      </c>
      <c r="K238">
        <v>15</v>
      </c>
      <c r="L238">
        <v>13137</v>
      </c>
      <c r="M238">
        <v>74443</v>
      </c>
      <c r="N238">
        <v>18</v>
      </c>
      <c r="O238">
        <v>13399.74</v>
      </c>
      <c r="P238">
        <v>0</v>
      </c>
      <c r="Q238">
        <v>87842.74</v>
      </c>
      <c r="R238" t="s">
        <v>48</v>
      </c>
      <c r="S238" t="s">
        <v>93</v>
      </c>
      <c r="T238" t="s">
        <v>115</v>
      </c>
      <c r="U238" t="s">
        <v>108</v>
      </c>
      <c r="V238" t="s">
        <v>224</v>
      </c>
      <c r="W238" t="s">
        <v>95</v>
      </c>
      <c r="X238" t="s">
        <v>260</v>
      </c>
      <c r="Y238" t="s">
        <v>118</v>
      </c>
      <c r="Z238" t="s">
        <v>70</v>
      </c>
      <c r="AA238" t="s">
        <v>1084</v>
      </c>
      <c r="AB238" t="s">
        <v>3335</v>
      </c>
      <c r="AC238">
        <v>4</v>
      </c>
      <c r="AD238" t="s">
        <v>56</v>
      </c>
      <c r="AE238" t="s">
        <v>3336</v>
      </c>
      <c r="AF238" t="s">
        <v>57</v>
      </c>
      <c r="AG238" t="s">
        <v>111</v>
      </c>
      <c r="AH238" s="1">
        <v>45268</v>
      </c>
      <c r="AI238" s="1">
        <v>45275</v>
      </c>
      <c r="AJ238" s="1">
        <v>45277</v>
      </c>
      <c r="AK238" t="s">
        <v>3511</v>
      </c>
      <c r="AL238" t="s">
        <v>1083</v>
      </c>
    </row>
    <row r="239" spans="1:38" x14ac:dyDescent="0.35">
      <c r="A239" t="s">
        <v>1085</v>
      </c>
      <c r="B239" t="s">
        <v>478</v>
      </c>
      <c r="C239" t="s">
        <v>43</v>
      </c>
      <c r="D239" t="s">
        <v>329</v>
      </c>
      <c r="E239" t="s">
        <v>250</v>
      </c>
      <c r="F239" t="s">
        <v>134</v>
      </c>
      <c r="G239" t="s">
        <v>330</v>
      </c>
      <c r="H239">
        <v>21440</v>
      </c>
      <c r="I239">
        <f>Sales_Transactions_Raw[[#This Row],[Unit_Price]]*Sales_Transactions_Raw[[#This Row],[Quantity]]</f>
        <v>42880</v>
      </c>
      <c r="J239">
        <v>2</v>
      </c>
      <c r="K239">
        <v>15</v>
      </c>
      <c r="L239">
        <v>6432</v>
      </c>
      <c r="M239">
        <v>36448</v>
      </c>
      <c r="N239">
        <v>5</v>
      </c>
      <c r="O239">
        <v>1822.4</v>
      </c>
      <c r="P239">
        <v>0</v>
      </c>
      <c r="Q239">
        <v>38270.400000000001</v>
      </c>
      <c r="R239" t="s">
        <v>106</v>
      </c>
      <c r="S239" t="s">
        <v>93</v>
      </c>
      <c r="T239" t="s">
        <v>66</v>
      </c>
      <c r="U239" t="s">
        <v>108</v>
      </c>
      <c r="V239" t="s">
        <v>224</v>
      </c>
      <c r="W239" t="s">
        <v>95</v>
      </c>
      <c r="X239" t="s">
        <v>340</v>
      </c>
      <c r="Y239" t="s">
        <v>169</v>
      </c>
      <c r="Z239" t="s">
        <v>95</v>
      </c>
      <c r="AA239" t="s">
        <v>1087</v>
      </c>
      <c r="AB239" t="s">
        <v>3335</v>
      </c>
      <c r="AC239">
        <v>4</v>
      </c>
      <c r="AD239" t="s">
        <v>56</v>
      </c>
      <c r="AE239" t="s">
        <v>3336</v>
      </c>
      <c r="AF239" t="s">
        <v>99</v>
      </c>
      <c r="AG239" t="s">
        <v>3342</v>
      </c>
      <c r="AH239" s="1">
        <v>44954</v>
      </c>
      <c r="AI239" s="1">
        <v>44956</v>
      </c>
      <c r="AJ239" s="1">
        <v>44960</v>
      </c>
      <c r="AK239" t="s">
        <v>3513</v>
      </c>
      <c r="AL239" t="s">
        <v>1086</v>
      </c>
    </row>
    <row r="240" spans="1:38" x14ac:dyDescent="0.35">
      <c r="A240" t="s">
        <v>1088</v>
      </c>
      <c r="B240" t="s">
        <v>609</v>
      </c>
      <c r="C240" t="s">
        <v>89</v>
      </c>
      <c r="D240" t="s">
        <v>704</v>
      </c>
      <c r="E240" t="s">
        <v>705</v>
      </c>
      <c r="F240" t="s">
        <v>285</v>
      </c>
      <c r="G240" t="s">
        <v>706</v>
      </c>
      <c r="H240">
        <v>300</v>
      </c>
      <c r="I240">
        <f>Sales_Transactions_Raw[[#This Row],[Unit_Price]]*Sales_Transactions_Raw[[#This Row],[Quantity]]</f>
        <v>1200</v>
      </c>
      <c r="J240">
        <v>4</v>
      </c>
      <c r="K240">
        <v>25</v>
      </c>
      <c r="L240">
        <v>300</v>
      </c>
      <c r="M240">
        <v>900</v>
      </c>
      <c r="N240">
        <v>5</v>
      </c>
      <c r="O240">
        <v>45</v>
      </c>
      <c r="P240">
        <v>49</v>
      </c>
      <c r="Q240">
        <v>945</v>
      </c>
      <c r="R240" t="s">
        <v>124</v>
      </c>
      <c r="S240" t="s">
        <v>107</v>
      </c>
      <c r="T240" t="s">
        <v>136</v>
      </c>
      <c r="U240" t="s">
        <v>161</v>
      </c>
      <c r="V240" t="s">
        <v>116</v>
      </c>
      <c r="W240" t="s">
        <v>70</v>
      </c>
      <c r="X240" t="s">
        <v>515</v>
      </c>
      <c r="Y240" t="s">
        <v>82</v>
      </c>
      <c r="Z240" t="s">
        <v>52</v>
      </c>
      <c r="AA240" t="s">
        <v>1090</v>
      </c>
      <c r="AB240" t="s">
        <v>3335</v>
      </c>
      <c r="AC240">
        <v>4</v>
      </c>
      <c r="AD240" t="s">
        <v>56</v>
      </c>
      <c r="AE240" t="s">
        <v>3336</v>
      </c>
      <c r="AF240" t="s">
        <v>153</v>
      </c>
      <c r="AG240" t="s">
        <v>3342</v>
      </c>
      <c r="AH240" s="1">
        <v>45388</v>
      </c>
      <c r="AI240" s="1">
        <v>45393</v>
      </c>
      <c r="AJ240" s="1">
        <v>45400</v>
      </c>
      <c r="AK240" t="s">
        <v>3422</v>
      </c>
      <c r="AL240" t="s">
        <v>1089</v>
      </c>
    </row>
    <row r="241" spans="1:38" x14ac:dyDescent="0.35">
      <c r="A241" t="s">
        <v>1091</v>
      </c>
      <c r="B241" t="s">
        <v>691</v>
      </c>
      <c r="C241" t="s">
        <v>43</v>
      </c>
      <c r="D241" t="s">
        <v>103</v>
      </c>
      <c r="E241" t="s">
        <v>104</v>
      </c>
      <c r="F241" t="s">
        <v>46</v>
      </c>
      <c r="G241" t="s">
        <v>105</v>
      </c>
      <c r="H241">
        <v>33730</v>
      </c>
      <c r="I241">
        <f>Sales_Transactions_Raw[[#This Row],[Unit_Price]]*Sales_Transactions_Raw[[#This Row],[Quantity]]</f>
        <v>67460</v>
      </c>
      <c r="J241">
        <v>2</v>
      </c>
      <c r="K241">
        <v>25</v>
      </c>
      <c r="L241">
        <v>16865</v>
      </c>
      <c r="M241">
        <v>50595</v>
      </c>
      <c r="N241">
        <v>18</v>
      </c>
      <c r="O241">
        <v>9107.1</v>
      </c>
      <c r="P241">
        <v>0</v>
      </c>
      <c r="Q241">
        <v>59702.1</v>
      </c>
      <c r="R241" t="s">
        <v>48</v>
      </c>
      <c r="S241" t="s">
        <v>107</v>
      </c>
      <c r="T241" t="s">
        <v>66</v>
      </c>
      <c r="U241" t="s">
        <v>50</v>
      </c>
      <c r="V241" t="s">
        <v>116</v>
      </c>
      <c r="W241" t="s">
        <v>70</v>
      </c>
      <c r="X241" t="s">
        <v>117</v>
      </c>
      <c r="Y241" t="s">
        <v>118</v>
      </c>
      <c r="Z241" t="s">
        <v>70</v>
      </c>
      <c r="AA241" t="s">
        <v>1093</v>
      </c>
      <c r="AB241" t="s">
        <v>3335</v>
      </c>
      <c r="AC241">
        <v>4</v>
      </c>
      <c r="AD241" t="s">
        <v>56</v>
      </c>
      <c r="AE241" t="s">
        <v>3336</v>
      </c>
      <c r="AF241" t="s">
        <v>72</v>
      </c>
      <c r="AG241" t="s">
        <v>58</v>
      </c>
      <c r="AH241" s="1">
        <v>45023</v>
      </c>
      <c r="AI241" s="1">
        <v>45025</v>
      </c>
      <c r="AJ241" s="1">
        <v>45029</v>
      </c>
      <c r="AK241" t="s">
        <v>3440</v>
      </c>
      <c r="AL241" t="s">
        <v>1092</v>
      </c>
    </row>
    <row r="242" spans="1:38" x14ac:dyDescent="0.35">
      <c r="A242" t="s">
        <v>1094</v>
      </c>
      <c r="B242" t="s">
        <v>219</v>
      </c>
      <c r="C242" t="s">
        <v>43</v>
      </c>
      <c r="D242" t="s">
        <v>266</v>
      </c>
      <c r="E242" t="s">
        <v>267</v>
      </c>
      <c r="F242" t="s">
        <v>211</v>
      </c>
      <c r="G242" t="s">
        <v>268</v>
      </c>
      <c r="H242">
        <v>51740</v>
      </c>
      <c r="I242">
        <f>Sales_Transactions_Raw[[#This Row],[Unit_Price]]*Sales_Transactions_Raw[[#This Row],[Quantity]]</f>
        <v>103480</v>
      </c>
      <c r="J242">
        <v>2</v>
      </c>
      <c r="K242">
        <v>0</v>
      </c>
      <c r="L242">
        <v>0</v>
      </c>
      <c r="M242">
        <v>103480</v>
      </c>
      <c r="N242">
        <v>5</v>
      </c>
      <c r="O242">
        <v>5174</v>
      </c>
      <c r="P242">
        <v>0</v>
      </c>
      <c r="Q242">
        <v>108654</v>
      </c>
      <c r="R242" t="s">
        <v>64</v>
      </c>
      <c r="S242" t="s">
        <v>125</v>
      </c>
      <c r="T242" t="s">
        <v>66</v>
      </c>
      <c r="U242" t="s">
        <v>108</v>
      </c>
      <c r="V242" t="s">
        <v>177</v>
      </c>
      <c r="W242" t="s">
        <v>81</v>
      </c>
      <c r="X242" t="s">
        <v>306</v>
      </c>
      <c r="Y242" t="s">
        <v>97</v>
      </c>
      <c r="Z242" t="s">
        <v>95</v>
      </c>
      <c r="AA242" t="s">
        <v>1096</v>
      </c>
      <c r="AB242" t="s">
        <v>3341</v>
      </c>
      <c r="AC242">
        <v>4</v>
      </c>
      <c r="AD242" t="s">
        <v>56</v>
      </c>
      <c r="AE242" t="s">
        <v>3336</v>
      </c>
      <c r="AF242" t="s">
        <v>326</v>
      </c>
      <c r="AG242" t="s">
        <v>58</v>
      </c>
      <c r="AH242" s="1">
        <v>44932</v>
      </c>
      <c r="AI242" s="1">
        <v>44936</v>
      </c>
      <c r="AJ242" s="1">
        <v>44941</v>
      </c>
      <c r="AK242" t="s">
        <v>3361</v>
      </c>
      <c r="AL242" t="s">
        <v>1095</v>
      </c>
    </row>
    <row r="243" spans="1:38" x14ac:dyDescent="0.35">
      <c r="A243" t="s">
        <v>1097</v>
      </c>
      <c r="B243" t="s">
        <v>543</v>
      </c>
      <c r="C243" t="s">
        <v>43</v>
      </c>
      <c r="D243" t="s">
        <v>323</v>
      </c>
      <c r="E243" t="s">
        <v>324</v>
      </c>
      <c r="F243" t="s">
        <v>146</v>
      </c>
      <c r="G243" t="s">
        <v>296</v>
      </c>
      <c r="H243">
        <v>10850</v>
      </c>
      <c r="I243">
        <f>Sales_Transactions_Raw[[#This Row],[Unit_Price]]*Sales_Transactions_Raw[[#This Row],[Quantity]]</f>
        <v>32550</v>
      </c>
      <c r="J243">
        <v>3</v>
      </c>
      <c r="K243">
        <v>15</v>
      </c>
      <c r="L243">
        <v>4882.5</v>
      </c>
      <c r="M243">
        <v>27667.5</v>
      </c>
      <c r="N243">
        <v>12</v>
      </c>
      <c r="O243">
        <v>3320.1</v>
      </c>
      <c r="P243">
        <v>0</v>
      </c>
      <c r="Q243">
        <v>30987.599999999999</v>
      </c>
      <c r="R243" t="s">
        <v>92</v>
      </c>
      <c r="S243" t="s">
        <v>107</v>
      </c>
      <c r="T243" t="s">
        <v>136</v>
      </c>
      <c r="U243" t="s">
        <v>161</v>
      </c>
      <c r="V243" t="s">
        <v>269</v>
      </c>
      <c r="W243" t="s">
        <v>70</v>
      </c>
      <c r="X243" t="s">
        <v>150</v>
      </c>
      <c r="Y243" t="s">
        <v>151</v>
      </c>
      <c r="Z243" t="s">
        <v>81</v>
      </c>
      <c r="AA243" t="s">
        <v>1099</v>
      </c>
      <c r="AB243" t="s">
        <v>3341</v>
      </c>
      <c r="AC243">
        <v>3</v>
      </c>
      <c r="AD243" t="s">
        <v>56</v>
      </c>
      <c r="AE243" t="s">
        <v>3336</v>
      </c>
      <c r="AF243" t="s">
        <v>217</v>
      </c>
      <c r="AG243" t="s">
        <v>58</v>
      </c>
      <c r="AH243" s="1">
        <v>44957</v>
      </c>
      <c r="AI243" s="1">
        <v>44959</v>
      </c>
      <c r="AJ243" s="1">
        <v>44963</v>
      </c>
      <c r="AK243" t="s">
        <v>3506</v>
      </c>
      <c r="AL243" t="s">
        <v>1098</v>
      </c>
    </row>
    <row r="244" spans="1:38" x14ac:dyDescent="0.35">
      <c r="A244" t="s">
        <v>1100</v>
      </c>
      <c r="B244" t="s">
        <v>172</v>
      </c>
      <c r="C244" t="s">
        <v>89</v>
      </c>
      <c r="D244" t="s">
        <v>310</v>
      </c>
      <c r="E244" t="s">
        <v>311</v>
      </c>
      <c r="F244" t="s">
        <v>211</v>
      </c>
      <c r="G244" t="s">
        <v>312</v>
      </c>
      <c r="H244">
        <v>12260</v>
      </c>
      <c r="I244">
        <f>Sales_Transactions_Raw[[#This Row],[Unit_Price]]*Sales_Transactions_Raw[[#This Row],[Quantity]]</f>
        <v>24520</v>
      </c>
      <c r="J244">
        <v>2</v>
      </c>
      <c r="K244">
        <v>10</v>
      </c>
      <c r="L244">
        <v>2452</v>
      </c>
      <c r="M244">
        <v>22068</v>
      </c>
      <c r="N244">
        <v>5</v>
      </c>
      <c r="O244">
        <v>1103.4000000000001</v>
      </c>
      <c r="P244">
        <v>0</v>
      </c>
      <c r="Q244">
        <v>23171.4</v>
      </c>
      <c r="R244" t="s">
        <v>160</v>
      </c>
      <c r="S244" t="s">
        <v>107</v>
      </c>
      <c r="T244" t="s">
        <v>115</v>
      </c>
      <c r="U244" t="s">
        <v>108</v>
      </c>
      <c r="V244" t="s">
        <v>224</v>
      </c>
      <c r="W244" t="s">
        <v>95</v>
      </c>
      <c r="X244" t="s">
        <v>117</v>
      </c>
      <c r="Y244" t="s">
        <v>118</v>
      </c>
      <c r="Z244" t="s">
        <v>70</v>
      </c>
      <c r="AA244" t="s">
        <v>1102</v>
      </c>
      <c r="AB244" t="s">
        <v>3335</v>
      </c>
      <c r="AC244">
        <v>4</v>
      </c>
      <c r="AD244" t="s">
        <v>56</v>
      </c>
      <c r="AE244" t="s">
        <v>3336</v>
      </c>
      <c r="AF244" t="s">
        <v>84</v>
      </c>
      <c r="AG244" t="s">
        <v>3337</v>
      </c>
      <c r="AH244" s="1">
        <v>45027</v>
      </c>
      <c r="AI244" s="1">
        <v>45031</v>
      </c>
      <c r="AJ244" s="1">
        <v>45039</v>
      </c>
      <c r="AK244" t="s">
        <v>3356</v>
      </c>
      <c r="AL244" t="s">
        <v>1101</v>
      </c>
    </row>
    <row r="245" spans="1:38" x14ac:dyDescent="0.35">
      <c r="A245" t="s">
        <v>1103</v>
      </c>
      <c r="B245" t="s">
        <v>581</v>
      </c>
      <c r="C245" t="s">
        <v>43</v>
      </c>
      <c r="D245" t="s">
        <v>345</v>
      </c>
      <c r="E245" t="s">
        <v>346</v>
      </c>
      <c r="F245" t="s">
        <v>46</v>
      </c>
      <c r="G245" t="s">
        <v>63</v>
      </c>
      <c r="H245">
        <v>132240</v>
      </c>
      <c r="I245">
        <f>Sales_Transactions_Raw[[#This Row],[Unit_Price]]*Sales_Transactions_Raw[[#This Row],[Quantity]]</f>
        <v>2644800</v>
      </c>
      <c r="J245">
        <v>20</v>
      </c>
      <c r="K245">
        <v>0</v>
      </c>
      <c r="L245">
        <v>0</v>
      </c>
      <c r="M245">
        <v>2644800</v>
      </c>
      <c r="N245">
        <v>18</v>
      </c>
      <c r="O245">
        <v>476064</v>
      </c>
      <c r="P245">
        <v>0</v>
      </c>
      <c r="Q245">
        <v>3120864</v>
      </c>
      <c r="R245" t="s">
        <v>92</v>
      </c>
      <c r="S245" t="s">
        <v>107</v>
      </c>
      <c r="T245" t="s">
        <v>115</v>
      </c>
      <c r="U245" t="s">
        <v>108</v>
      </c>
      <c r="V245" t="s">
        <v>149</v>
      </c>
      <c r="W245" t="s">
        <v>81</v>
      </c>
      <c r="X245" t="s">
        <v>551</v>
      </c>
      <c r="Y245" t="s">
        <v>138</v>
      </c>
      <c r="Z245" t="s">
        <v>81</v>
      </c>
      <c r="AA245" t="s">
        <v>1105</v>
      </c>
      <c r="AB245" t="s">
        <v>3335</v>
      </c>
      <c r="AC245">
        <v>4</v>
      </c>
      <c r="AD245" t="s">
        <v>56</v>
      </c>
      <c r="AE245" t="s">
        <v>3336</v>
      </c>
      <c r="AF245" t="s">
        <v>326</v>
      </c>
      <c r="AG245" t="s">
        <v>58</v>
      </c>
      <c r="AH245" s="1">
        <v>44987</v>
      </c>
      <c r="AI245" s="1">
        <v>45171</v>
      </c>
      <c r="AJ245" s="1">
        <v>44974</v>
      </c>
      <c r="AK245" t="s">
        <v>3417</v>
      </c>
      <c r="AL245" t="s">
        <v>1104</v>
      </c>
    </row>
    <row r="246" spans="1:38" x14ac:dyDescent="0.35">
      <c r="A246" t="s">
        <v>1106</v>
      </c>
      <c r="B246" t="s">
        <v>1107</v>
      </c>
      <c r="C246" t="s">
        <v>43</v>
      </c>
      <c r="D246" t="s">
        <v>956</v>
      </c>
      <c r="E246" t="s">
        <v>957</v>
      </c>
      <c r="F246" t="s">
        <v>46</v>
      </c>
      <c r="G246" t="s">
        <v>147</v>
      </c>
      <c r="H246">
        <v>8590</v>
      </c>
      <c r="I246">
        <f>Sales_Transactions_Raw[[#This Row],[Unit_Price]]*Sales_Transactions_Raw[[#This Row],[Quantity]]</f>
        <v>8590</v>
      </c>
      <c r="J246">
        <v>1</v>
      </c>
      <c r="K246">
        <v>5</v>
      </c>
      <c r="L246">
        <v>429.5</v>
      </c>
      <c r="M246">
        <v>8160.5</v>
      </c>
      <c r="N246">
        <v>18</v>
      </c>
      <c r="O246">
        <v>1468.89</v>
      </c>
      <c r="P246">
        <v>0</v>
      </c>
      <c r="Q246">
        <v>9629.39</v>
      </c>
      <c r="R246" t="s">
        <v>92</v>
      </c>
      <c r="S246" t="s">
        <v>125</v>
      </c>
      <c r="T246" t="s">
        <v>115</v>
      </c>
      <c r="U246" t="s">
        <v>214</v>
      </c>
      <c r="V246" t="s">
        <v>177</v>
      </c>
      <c r="W246" t="s">
        <v>81</v>
      </c>
      <c r="X246" t="s">
        <v>480</v>
      </c>
      <c r="Y246" t="s">
        <v>481</v>
      </c>
      <c r="Z246" t="s">
        <v>52</v>
      </c>
      <c r="AA246" t="s">
        <v>1109</v>
      </c>
      <c r="AB246" t="s">
        <v>3335</v>
      </c>
      <c r="AC246">
        <v>4</v>
      </c>
      <c r="AD246" t="s">
        <v>56</v>
      </c>
      <c r="AE246" t="s">
        <v>3336</v>
      </c>
      <c r="AF246" t="s">
        <v>217</v>
      </c>
      <c r="AG246" t="s">
        <v>3337</v>
      </c>
      <c r="AH246" s="1">
        <v>44963</v>
      </c>
      <c r="AI246" s="1">
        <v>44970</v>
      </c>
      <c r="AJ246" s="1">
        <v>44974</v>
      </c>
      <c r="AK246" t="s">
        <v>3514</v>
      </c>
      <c r="AL246" t="s">
        <v>1108</v>
      </c>
    </row>
    <row r="247" spans="1:38" x14ac:dyDescent="0.35">
      <c r="A247" t="s">
        <v>1110</v>
      </c>
      <c r="B247" t="s">
        <v>130</v>
      </c>
      <c r="C247" t="s">
        <v>43</v>
      </c>
      <c r="D247" t="s">
        <v>432</v>
      </c>
      <c r="E247" t="s">
        <v>433</v>
      </c>
      <c r="F247" t="s">
        <v>146</v>
      </c>
      <c r="G247" t="s">
        <v>296</v>
      </c>
      <c r="H247">
        <v>4820</v>
      </c>
      <c r="I247">
        <f>Sales_Transactions_Raw[[#This Row],[Unit_Price]]*Sales_Transactions_Raw[[#This Row],[Quantity]]</f>
        <v>4820</v>
      </c>
      <c r="J247">
        <v>1</v>
      </c>
      <c r="K247">
        <v>15</v>
      </c>
      <c r="L247">
        <v>723</v>
      </c>
      <c r="M247">
        <v>4097</v>
      </c>
      <c r="N247">
        <v>12</v>
      </c>
      <c r="O247">
        <v>491.64</v>
      </c>
      <c r="P247">
        <v>49</v>
      </c>
      <c r="Q247">
        <v>4588.6400000000003</v>
      </c>
      <c r="R247" t="s">
        <v>92</v>
      </c>
      <c r="S247" t="s">
        <v>93</v>
      </c>
      <c r="T247" t="s">
        <v>66</v>
      </c>
      <c r="U247" t="s">
        <v>161</v>
      </c>
      <c r="V247" t="s">
        <v>287</v>
      </c>
      <c r="W247" t="s">
        <v>95</v>
      </c>
      <c r="X247" t="s">
        <v>491</v>
      </c>
      <c r="Y247" t="s">
        <v>358</v>
      </c>
      <c r="Z247" t="s">
        <v>95</v>
      </c>
      <c r="AA247" t="s">
        <v>1112</v>
      </c>
      <c r="AB247" t="s">
        <v>3335</v>
      </c>
      <c r="AC247">
        <v>5</v>
      </c>
      <c r="AD247" t="s">
        <v>56</v>
      </c>
      <c r="AE247" t="s">
        <v>3336</v>
      </c>
      <c r="AF247" t="s">
        <v>164</v>
      </c>
      <c r="AG247" t="s">
        <v>3337</v>
      </c>
      <c r="AH247" s="1">
        <v>44993</v>
      </c>
      <c r="AI247" s="1">
        <v>44996</v>
      </c>
      <c r="AJ247" s="1">
        <v>45001</v>
      </c>
      <c r="AK247" t="s">
        <v>3515</v>
      </c>
      <c r="AL247" t="s">
        <v>1111</v>
      </c>
    </row>
    <row r="248" spans="1:38" x14ac:dyDescent="0.35">
      <c r="A248" t="s">
        <v>1113</v>
      </c>
      <c r="B248" t="s">
        <v>605</v>
      </c>
      <c r="C248" t="s">
        <v>43</v>
      </c>
      <c r="D248" t="s">
        <v>667</v>
      </c>
      <c r="E248" t="s">
        <v>668</v>
      </c>
      <c r="F248" t="s">
        <v>146</v>
      </c>
      <c r="G248" t="s">
        <v>195</v>
      </c>
      <c r="H248">
        <v>8950</v>
      </c>
      <c r="I248">
        <f>Sales_Transactions_Raw[[#This Row],[Unit_Price]]*Sales_Transactions_Raw[[#This Row],[Quantity]]</f>
        <v>26850</v>
      </c>
      <c r="J248">
        <v>3</v>
      </c>
      <c r="K248">
        <v>10</v>
      </c>
      <c r="L248">
        <v>2685</v>
      </c>
      <c r="M248">
        <v>24165</v>
      </c>
      <c r="N248">
        <v>12</v>
      </c>
      <c r="O248">
        <v>2899.8</v>
      </c>
      <c r="P248">
        <v>0</v>
      </c>
      <c r="Q248">
        <v>27064.799999999999</v>
      </c>
      <c r="R248" t="s">
        <v>92</v>
      </c>
      <c r="S248" t="s">
        <v>65</v>
      </c>
      <c r="T248" t="s">
        <v>136</v>
      </c>
      <c r="U248" t="s">
        <v>214</v>
      </c>
      <c r="V248" t="s">
        <v>287</v>
      </c>
      <c r="W248" t="s">
        <v>95</v>
      </c>
      <c r="X248" t="s">
        <v>611</v>
      </c>
      <c r="Y248" t="s">
        <v>97</v>
      </c>
      <c r="Z248" t="s">
        <v>95</v>
      </c>
      <c r="AA248" t="s">
        <v>1115</v>
      </c>
      <c r="AB248" t="s">
        <v>3335</v>
      </c>
      <c r="AC248">
        <v>4</v>
      </c>
      <c r="AD248" t="s">
        <v>56</v>
      </c>
      <c r="AE248" t="s">
        <v>3336</v>
      </c>
      <c r="AF248" t="s">
        <v>72</v>
      </c>
      <c r="AG248" t="s">
        <v>3342</v>
      </c>
      <c r="AH248" s="1">
        <v>45139</v>
      </c>
      <c r="AI248" s="1">
        <v>45141</v>
      </c>
      <c r="AJ248" s="1">
        <v>45146</v>
      </c>
      <c r="AK248" t="s">
        <v>3738</v>
      </c>
      <c r="AL248" t="s">
        <v>1114</v>
      </c>
    </row>
    <row r="249" spans="1:38" x14ac:dyDescent="0.35">
      <c r="A249" t="s">
        <v>1116</v>
      </c>
      <c r="B249" t="s">
        <v>315</v>
      </c>
      <c r="C249" t="s">
        <v>157</v>
      </c>
      <c r="D249" t="s">
        <v>193</v>
      </c>
      <c r="E249" t="s">
        <v>194</v>
      </c>
      <c r="F249" t="s">
        <v>146</v>
      </c>
      <c r="G249" t="s">
        <v>195</v>
      </c>
      <c r="H249">
        <v>3380</v>
      </c>
      <c r="I249">
        <f>Sales_Transactions_Raw[[#This Row],[Unit_Price]]*Sales_Transactions_Raw[[#This Row],[Quantity]]</f>
        <v>3380</v>
      </c>
      <c r="J249">
        <v>1</v>
      </c>
      <c r="K249">
        <v>5</v>
      </c>
      <c r="L249">
        <v>169</v>
      </c>
      <c r="M249">
        <v>3211</v>
      </c>
      <c r="N249">
        <v>12</v>
      </c>
      <c r="O249">
        <v>385.32</v>
      </c>
      <c r="P249">
        <v>79</v>
      </c>
      <c r="Q249">
        <v>3596.32</v>
      </c>
      <c r="R249" t="s">
        <v>79</v>
      </c>
      <c r="S249" t="s">
        <v>49</v>
      </c>
      <c r="T249" t="s">
        <v>115</v>
      </c>
      <c r="U249" t="s">
        <v>214</v>
      </c>
      <c r="V249" t="s">
        <v>80</v>
      </c>
      <c r="W249" t="s">
        <v>81</v>
      </c>
      <c r="X249" t="s">
        <v>505</v>
      </c>
      <c r="Y249" t="s">
        <v>118</v>
      </c>
      <c r="Z249" t="s">
        <v>70</v>
      </c>
      <c r="AA249" t="s">
        <v>1118</v>
      </c>
      <c r="AB249" t="s">
        <v>3338</v>
      </c>
      <c r="AC249">
        <v>4</v>
      </c>
      <c r="AD249" t="s">
        <v>56</v>
      </c>
      <c r="AE249" t="s">
        <v>3336</v>
      </c>
      <c r="AF249" t="s">
        <v>227</v>
      </c>
      <c r="AG249" t="s">
        <v>3337</v>
      </c>
      <c r="AH249" s="1">
        <v>44994</v>
      </c>
      <c r="AI249" s="1">
        <v>45001</v>
      </c>
      <c r="AJ249" s="1">
        <v>45009</v>
      </c>
      <c r="AK249" t="s">
        <v>3466</v>
      </c>
      <c r="AL249" t="s">
        <v>1117</v>
      </c>
    </row>
    <row r="250" spans="1:38" x14ac:dyDescent="0.35">
      <c r="A250" t="s">
        <v>1119</v>
      </c>
      <c r="B250" t="s">
        <v>472</v>
      </c>
      <c r="C250" t="s">
        <v>43</v>
      </c>
      <c r="D250" t="s">
        <v>367</v>
      </c>
      <c r="E250" t="s">
        <v>368</v>
      </c>
      <c r="F250" t="s">
        <v>46</v>
      </c>
      <c r="G250" t="s">
        <v>369</v>
      </c>
      <c r="H250">
        <v>26690</v>
      </c>
      <c r="I250">
        <f>Sales_Transactions_Raw[[#This Row],[Unit_Price]]*Sales_Transactions_Raw[[#This Row],[Quantity]]</f>
        <v>106760</v>
      </c>
      <c r="J250">
        <v>4</v>
      </c>
      <c r="K250">
        <v>15</v>
      </c>
      <c r="L250">
        <v>16014</v>
      </c>
      <c r="M250">
        <v>90746</v>
      </c>
      <c r="N250">
        <v>18</v>
      </c>
      <c r="O250">
        <v>16334.28</v>
      </c>
      <c r="P250">
        <v>0</v>
      </c>
      <c r="Q250">
        <v>107080.28</v>
      </c>
      <c r="R250" t="s">
        <v>92</v>
      </c>
      <c r="S250" t="s">
        <v>65</v>
      </c>
      <c r="T250" t="s">
        <v>115</v>
      </c>
      <c r="U250" t="s">
        <v>196</v>
      </c>
      <c r="V250" t="s">
        <v>297</v>
      </c>
      <c r="W250" t="s">
        <v>52</v>
      </c>
      <c r="X250" t="s">
        <v>397</v>
      </c>
      <c r="Y250" t="s">
        <v>226</v>
      </c>
      <c r="Z250" t="s">
        <v>95</v>
      </c>
      <c r="AA250" t="s">
        <v>1121</v>
      </c>
      <c r="AB250" t="s">
        <v>3335</v>
      </c>
      <c r="AC250">
        <v>5</v>
      </c>
      <c r="AD250" t="s">
        <v>56</v>
      </c>
      <c r="AE250" t="s">
        <v>3336</v>
      </c>
      <c r="AF250" t="s">
        <v>72</v>
      </c>
      <c r="AG250" t="s">
        <v>3337</v>
      </c>
      <c r="AH250" s="1">
        <v>45070</v>
      </c>
      <c r="AI250" s="1">
        <v>45074</v>
      </c>
      <c r="AJ250" s="1">
        <v>45080</v>
      </c>
      <c r="AK250" t="s">
        <v>3516</v>
      </c>
      <c r="AL250" t="s">
        <v>1120</v>
      </c>
    </row>
    <row r="251" spans="1:38" x14ac:dyDescent="0.35">
      <c r="A251" t="s">
        <v>1122</v>
      </c>
      <c r="B251" t="s">
        <v>508</v>
      </c>
      <c r="C251" t="s">
        <v>43</v>
      </c>
      <c r="D251" t="s">
        <v>323</v>
      </c>
      <c r="E251" t="s">
        <v>324</v>
      </c>
      <c r="F251" t="s">
        <v>146</v>
      </c>
      <c r="G251" t="s">
        <v>296</v>
      </c>
      <c r="H251">
        <v>10360</v>
      </c>
      <c r="I251">
        <f>Sales_Transactions_Raw[[#This Row],[Unit_Price]]*Sales_Transactions_Raw[[#This Row],[Quantity]]</f>
        <v>41440</v>
      </c>
      <c r="J251">
        <v>4</v>
      </c>
      <c r="K251">
        <v>15</v>
      </c>
      <c r="L251">
        <v>6216</v>
      </c>
      <c r="M251">
        <v>35224</v>
      </c>
      <c r="N251">
        <v>12</v>
      </c>
      <c r="O251">
        <v>4226.88</v>
      </c>
      <c r="P251">
        <v>0</v>
      </c>
      <c r="Q251">
        <v>39450.879999999997</v>
      </c>
      <c r="R251" t="s">
        <v>64</v>
      </c>
      <c r="S251" t="s">
        <v>125</v>
      </c>
      <c r="T251" t="s">
        <v>148</v>
      </c>
      <c r="U251" t="s">
        <v>196</v>
      </c>
      <c r="V251" t="s">
        <v>297</v>
      </c>
      <c r="W251" t="s">
        <v>52</v>
      </c>
      <c r="X251" t="s">
        <v>53</v>
      </c>
      <c r="Y251" t="s">
        <v>54</v>
      </c>
      <c r="Z251" t="s">
        <v>70</v>
      </c>
      <c r="AA251" t="s">
        <v>1124</v>
      </c>
      <c r="AB251" t="s">
        <v>3335</v>
      </c>
      <c r="AC251">
        <v>4</v>
      </c>
      <c r="AD251" t="s">
        <v>56</v>
      </c>
      <c r="AE251" t="s">
        <v>3336</v>
      </c>
      <c r="AF251" t="s">
        <v>84</v>
      </c>
      <c r="AG251" t="s">
        <v>58</v>
      </c>
      <c r="AH251" s="1">
        <v>45193</v>
      </c>
      <c r="AI251" s="1">
        <v>45198</v>
      </c>
      <c r="AJ251" s="1">
        <v>45208</v>
      </c>
      <c r="AK251" t="s">
        <v>3517</v>
      </c>
      <c r="AL251" t="s">
        <v>1123</v>
      </c>
    </row>
    <row r="252" spans="1:38" x14ac:dyDescent="0.35">
      <c r="A252" t="s">
        <v>1125</v>
      </c>
      <c r="B252" t="s">
        <v>172</v>
      </c>
      <c r="C252" t="s">
        <v>157</v>
      </c>
      <c r="D252" t="s">
        <v>249</v>
      </c>
      <c r="E252" t="s">
        <v>250</v>
      </c>
      <c r="F252" t="s">
        <v>211</v>
      </c>
      <c r="G252" t="s">
        <v>251</v>
      </c>
      <c r="H252">
        <v>19120</v>
      </c>
      <c r="I252">
        <f>Sales_Transactions_Raw[[#This Row],[Unit_Price]]*Sales_Transactions_Raw[[#This Row],[Quantity]]</f>
        <v>38240</v>
      </c>
      <c r="J252">
        <v>2</v>
      </c>
      <c r="K252">
        <v>25</v>
      </c>
      <c r="L252">
        <v>9560</v>
      </c>
      <c r="M252">
        <v>28680</v>
      </c>
      <c r="N252">
        <v>5</v>
      </c>
      <c r="O252">
        <v>1434</v>
      </c>
      <c r="P252">
        <v>0</v>
      </c>
      <c r="Q252">
        <v>30114</v>
      </c>
      <c r="R252" t="s">
        <v>92</v>
      </c>
      <c r="S252" t="s">
        <v>65</v>
      </c>
      <c r="T252" t="s">
        <v>115</v>
      </c>
      <c r="U252" t="s">
        <v>214</v>
      </c>
      <c r="V252" t="s">
        <v>51</v>
      </c>
      <c r="W252" t="s">
        <v>52</v>
      </c>
      <c r="X252" t="s">
        <v>232</v>
      </c>
      <c r="Y252" t="s">
        <v>82</v>
      </c>
      <c r="Z252" t="s">
        <v>52</v>
      </c>
      <c r="AA252" t="s">
        <v>1127</v>
      </c>
      <c r="AB252" t="s">
        <v>3335</v>
      </c>
      <c r="AC252">
        <v>4</v>
      </c>
      <c r="AD252" t="s">
        <v>56</v>
      </c>
      <c r="AE252" t="s">
        <v>3336</v>
      </c>
      <c r="AF252" t="s">
        <v>72</v>
      </c>
      <c r="AG252" t="s">
        <v>58</v>
      </c>
      <c r="AH252" s="1">
        <v>45001</v>
      </c>
      <c r="AI252" s="1">
        <v>45008</v>
      </c>
      <c r="AJ252" s="1">
        <v>45016</v>
      </c>
      <c r="AK252" t="s">
        <v>3356</v>
      </c>
      <c r="AL252" t="s">
        <v>1126</v>
      </c>
    </row>
    <row r="253" spans="1:38" x14ac:dyDescent="0.35">
      <c r="A253" t="s">
        <v>1128</v>
      </c>
      <c r="B253" t="s">
        <v>605</v>
      </c>
      <c r="C253" t="s">
        <v>43</v>
      </c>
      <c r="D253" t="s">
        <v>144</v>
      </c>
      <c r="E253" t="s">
        <v>145</v>
      </c>
      <c r="F253" t="s">
        <v>146</v>
      </c>
      <c r="G253" t="s">
        <v>147</v>
      </c>
      <c r="H253">
        <v>2380</v>
      </c>
      <c r="I253">
        <f>Sales_Transactions_Raw[[#This Row],[Unit_Price]]*Sales_Transactions_Raw[[#This Row],[Quantity]]</f>
        <v>9520</v>
      </c>
      <c r="J253">
        <v>4</v>
      </c>
      <c r="K253">
        <v>0</v>
      </c>
      <c r="L253">
        <v>0</v>
      </c>
      <c r="M253">
        <v>9520</v>
      </c>
      <c r="N253">
        <v>12</v>
      </c>
      <c r="O253">
        <v>1142.4000000000001</v>
      </c>
      <c r="P253">
        <v>0</v>
      </c>
      <c r="Q253">
        <v>10662.4</v>
      </c>
      <c r="R253" t="s">
        <v>48</v>
      </c>
      <c r="S253" t="s">
        <v>49</v>
      </c>
      <c r="T253" t="s">
        <v>719</v>
      </c>
      <c r="U253" t="s">
        <v>196</v>
      </c>
      <c r="V253" t="s">
        <v>116</v>
      </c>
      <c r="W253" t="s">
        <v>70</v>
      </c>
      <c r="X253" t="s">
        <v>437</v>
      </c>
      <c r="Y253" t="s">
        <v>319</v>
      </c>
      <c r="Z253" t="s">
        <v>95</v>
      </c>
      <c r="AA253" t="s">
        <v>1130</v>
      </c>
      <c r="AB253" t="s">
        <v>3339</v>
      </c>
      <c r="AC253">
        <v>4</v>
      </c>
      <c r="AD253" t="s">
        <v>56</v>
      </c>
      <c r="AE253" t="s">
        <v>3336</v>
      </c>
      <c r="AF253" t="s">
        <v>217</v>
      </c>
      <c r="AG253" t="s">
        <v>58</v>
      </c>
      <c r="AH253" s="1">
        <v>44969</v>
      </c>
      <c r="AI253" s="1">
        <v>45181</v>
      </c>
      <c r="AJ253" s="1">
        <v>45276</v>
      </c>
      <c r="AK253" t="s">
        <v>3485</v>
      </c>
      <c r="AL253" t="s">
        <v>1129</v>
      </c>
    </row>
    <row r="254" spans="1:38" x14ac:dyDescent="0.35">
      <c r="A254" t="s">
        <v>1131</v>
      </c>
      <c r="B254" t="s">
        <v>447</v>
      </c>
      <c r="C254" t="s">
        <v>157</v>
      </c>
      <c r="D254" t="s">
        <v>329</v>
      </c>
      <c r="E254" t="s">
        <v>250</v>
      </c>
      <c r="F254" t="s">
        <v>134</v>
      </c>
      <c r="G254" t="s">
        <v>330</v>
      </c>
      <c r="H254">
        <v>22530</v>
      </c>
      <c r="I254">
        <f>Sales_Transactions_Raw[[#This Row],[Unit_Price]]*Sales_Transactions_Raw[[#This Row],[Quantity]]</f>
        <v>90120</v>
      </c>
      <c r="J254">
        <v>4</v>
      </c>
      <c r="K254">
        <v>15</v>
      </c>
      <c r="L254">
        <v>13518</v>
      </c>
      <c r="M254">
        <v>76602</v>
      </c>
      <c r="N254">
        <v>5</v>
      </c>
      <c r="O254">
        <v>3830.1</v>
      </c>
      <c r="P254">
        <v>0</v>
      </c>
      <c r="Q254">
        <v>80432.100000000006</v>
      </c>
      <c r="R254" t="s">
        <v>79</v>
      </c>
      <c r="S254" t="s">
        <v>125</v>
      </c>
      <c r="T254" t="s">
        <v>148</v>
      </c>
      <c r="U254" t="s">
        <v>196</v>
      </c>
      <c r="V254" t="s">
        <v>177</v>
      </c>
      <c r="W254" t="s">
        <v>81</v>
      </c>
      <c r="X254" t="s">
        <v>318</v>
      </c>
      <c r="Y254" t="s">
        <v>319</v>
      </c>
      <c r="Z254" t="s">
        <v>95</v>
      </c>
      <c r="AB254" t="s">
        <v>3339</v>
      </c>
      <c r="AC254">
        <v>4</v>
      </c>
      <c r="AD254" t="s">
        <v>56</v>
      </c>
      <c r="AE254" t="s">
        <v>3336</v>
      </c>
      <c r="AF254" t="s">
        <v>262</v>
      </c>
      <c r="AG254" t="s">
        <v>3342</v>
      </c>
      <c r="AH254" s="1">
        <v>44993</v>
      </c>
      <c r="AI254" s="1">
        <v>44997</v>
      </c>
      <c r="AJ254" s="1">
        <v>45003</v>
      </c>
      <c r="AK254" t="s">
        <v>3518</v>
      </c>
      <c r="AL254" t="s">
        <v>1132</v>
      </c>
    </row>
    <row r="255" spans="1:38" x14ac:dyDescent="0.35">
      <c r="A255" t="s">
        <v>1133</v>
      </c>
      <c r="B255" t="s">
        <v>731</v>
      </c>
      <c r="C255" t="s">
        <v>43</v>
      </c>
      <c r="D255" t="s">
        <v>132</v>
      </c>
      <c r="E255" t="s">
        <v>133</v>
      </c>
      <c r="F255" t="s">
        <v>134</v>
      </c>
      <c r="G255" t="s">
        <v>135</v>
      </c>
      <c r="H255">
        <v>2730</v>
      </c>
      <c r="I255">
        <f>Sales_Transactions_Raw[[#This Row],[Unit_Price]]*Sales_Transactions_Raw[[#This Row],[Quantity]]</f>
        <v>2730</v>
      </c>
      <c r="J255">
        <v>1</v>
      </c>
      <c r="K255">
        <v>0</v>
      </c>
      <c r="L255">
        <v>0</v>
      </c>
      <c r="M255">
        <v>2730</v>
      </c>
      <c r="N255">
        <v>5</v>
      </c>
      <c r="O255">
        <v>136.5</v>
      </c>
      <c r="P255">
        <v>149</v>
      </c>
      <c r="Q255">
        <v>2866.5</v>
      </c>
      <c r="R255" t="s">
        <v>79</v>
      </c>
      <c r="S255" t="s">
        <v>93</v>
      </c>
      <c r="T255" t="s">
        <v>719</v>
      </c>
      <c r="U255" t="s">
        <v>161</v>
      </c>
      <c r="V255" t="s">
        <v>94</v>
      </c>
      <c r="W255" t="s">
        <v>95</v>
      </c>
      <c r="X255" t="s">
        <v>237</v>
      </c>
      <c r="Y255" t="s">
        <v>138</v>
      </c>
      <c r="Z255" t="s">
        <v>81</v>
      </c>
      <c r="AA255" t="s">
        <v>1135</v>
      </c>
      <c r="AB255" t="s">
        <v>3335</v>
      </c>
      <c r="AC255">
        <v>5</v>
      </c>
      <c r="AD255" t="s">
        <v>56</v>
      </c>
      <c r="AE255" t="s">
        <v>3336</v>
      </c>
      <c r="AF255" t="s">
        <v>217</v>
      </c>
      <c r="AG255" t="s">
        <v>85</v>
      </c>
      <c r="AH255" s="1">
        <v>45313</v>
      </c>
      <c r="AI255" s="1">
        <v>45320</v>
      </c>
      <c r="AJ255" s="1">
        <v>45330</v>
      </c>
      <c r="AK255" t="s">
        <v>3452</v>
      </c>
      <c r="AL255" t="s">
        <v>1134</v>
      </c>
    </row>
    <row r="256" spans="1:38" x14ac:dyDescent="0.35">
      <c r="A256" t="s">
        <v>1136</v>
      </c>
      <c r="B256" t="s">
        <v>373</v>
      </c>
      <c r="C256" t="s">
        <v>89</v>
      </c>
      <c r="D256" t="s">
        <v>283</v>
      </c>
      <c r="E256" t="s">
        <v>284</v>
      </c>
      <c r="F256" t="s">
        <v>285</v>
      </c>
      <c r="G256" t="s">
        <v>286</v>
      </c>
      <c r="H256">
        <v>420</v>
      </c>
      <c r="I256">
        <f>Sales_Transactions_Raw[[#This Row],[Unit_Price]]*Sales_Transactions_Raw[[#This Row],[Quantity]]</f>
        <v>3360</v>
      </c>
      <c r="J256">
        <v>8</v>
      </c>
      <c r="K256">
        <v>20</v>
      </c>
      <c r="L256">
        <v>672</v>
      </c>
      <c r="M256">
        <v>2688</v>
      </c>
      <c r="N256">
        <v>5</v>
      </c>
      <c r="O256">
        <v>134.4</v>
      </c>
      <c r="P256">
        <v>149</v>
      </c>
      <c r="Q256">
        <v>2822.4</v>
      </c>
      <c r="R256" t="s">
        <v>106</v>
      </c>
      <c r="S256" t="s">
        <v>49</v>
      </c>
      <c r="T256" t="s">
        <v>66</v>
      </c>
      <c r="U256" t="s">
        <v>214</v>
      </c>
      <c r="V256" t="s">
        <v>297</v>
      </c>
      <c r="W256" t="s">
        <v>52</v>
      </c>
      <c r="X256" t="s">
        <v>260</v>
      </c>
      <c r="Y256" t="s">
        <v>118</v>
      </c>
      <c r="Z256" t="s">
        <v>70</v>
      </c>
      <c r="AA256" t="s">
        <v>1138</v>
      </c>
      <c r="AB256" t="s">
        <v>3339</v>
      </c>
      <c r="AC256">
        <v>4</v>
      </c>
      <c r="AD256" t="s">
        <v>56</v>
      </c>
      <c r="AE256" t="s">
        <v>3336</v>
      </c>
      <c r="AF256" t="s">
        <v>164</v>
      </c>
      <c r="AG256" t="s">
        <v>58</v>
      </c>
      <c r="AH256" s="1">
        <v>45359</v>
      </c>
      <c r="AI256" s="1">
        <v>45362</v>
      </c>
      <c r="AJ256" s="1">
        <v>45366</v>
      </c>
      <c r="AK256" t="s">
        <v>3381</v>
      </c>
      <c r="AL256" t="s">
        <v>1137</v>
      </c>
    </row>
    <row r="257" spans="1:38" x14ac:dyDescent="0.35">
      <c r="A257" t="s">
        <v>1139</v>
      </c>
      <c r="B257" t="s">
        <v>646</v>
      </c>
      <c r="C257" t="s">
        <v>131</v>
      </c>
      <c r="D257" t="s">
        <v>144</v>
      </c>
      <c r="E257" t="s">
        <v>145</v>
      </c>
      <c r="F257" t="s">
        <v>146</v>
      </c>
      <c r="G257" t="s">
        <v>147</v>
      </c>
      <c r="H257">
        <v>2350</v>
      </c>
      <c r="I257">
        <f>Sales_Transactions_Raw[[#This Row],[Unit_Price]]*Sales_Transactions_Raw[[#This Row],[Quantity]]</f>
        <v>9400</v>
      </c>
      <c r="J257">
        <v>4</v>
      </c>
      <c r="K257">
        <v>5</v>
      </c>
      <c r="L257">
        <v>470</v>
      </c>
      <c r="M257">
        <v>8930</v>
      </c>
      <c r="N257">
        <v>12</v>
      </c>
      <c r="O257">
        <v>1071.5999999999999</v>
      </c>
      <c r="P257">
        <v>0</v>
      </c>
      <c r="Q257">
        <v>10001.6</v>
      </c>
      <c r="R257" t="s">
        <v>160</v>
      </c>
      <c r="S257" t="s">
        <v>65</v>
      </c>
      <c r="T257" t="s">
        <v>115</v>
      </c>
      <c r="U257" t="s">
        <v>50</v>
      </c>
      <c r="V257" t="s">
        <v>116</v>
      </c>
      <c r="W257" t="s">
        <v>70</v>
      </c>
      <c r="X257" t="s">
        <v>260</v>
      </c>
      <c r="Y257" t="s">
        <v>118</v>
      </c>
      <c r="Z257" t="s">
        <v>70</v>
      </c>
      <c r="AA257" t="s">
        <v>1141</v>
      </c>
      <c r="AB257" t="s">
        <v>3343</v>
      </c>
      <c r="AC257">
        <v>3</v>
      </c>
      <c r="AD257" t="s">
        <v>56</v>
      </c>
      <c r="AE257" t="s">
        <v>3336</v>
      </c>
      <c r="AF257" t="s">
        <v>140</v>
      </c>
      <c r="AG257" t="s">
        <v>58</v>
      </c>
      <c r="AH257" s="1">
        <v>45159</v>
      </c>
      <c r="AI257" s="1">
        <v>45163</v>
      </c>
      <c r="AJ257" s="1">
        <v>45166</v>
      </c>
      <c r="AK257" t="s">
        <v>3432</v>
      </c>
      <c r="AL257" t="s">
        <v>1140</v>
      </c>
    </row>
    <row r="258" spans="1:38" x14ac:dyDescent="0.35">
      <c r="A258" t="s">
        <v>1142</v>
      </c>
      <c r="B258" t="s">
        <v>142</v>
      </c>
      <c r="C258" t="s">
        <v>43</v>
      </c>
      <c r="D258" t="s">
        <v>132</v>
      </c>
      <c r="E258" t="s">
        <v>133</v>
      </c>
      <c r="F258" t="s">
        <v>134</v>
      </c>
      <c r="G258" t="s">
        <v>135</v>
      </c>
      <c r="H258">
        <v>2820</v>
      </c>
      <c r="I258">
        <f>Sales_Transactions_Raw[[#This Row],[Unit_Price]]*Sales_Transactions_Raw[[#This Row],[Quantity]]</f>
        <v>2820</v>
      </c>
      <c r="J258">
        <v>1</v>
      </c>
      <c r="K258">
        <v>5</v>
      </c>
      <c r="L258">
        <v>141</v>
      </c>
      <c r="M258">
        <v>2679</v>
      </c>
      <c r="N258">
        <v>5</v>
      </c>
      <c r="O258">
        <v>133.94999999999999</v>
      </c>
      <c r="P258">
        <v>49</v>
      </c>
      <c r="Q258">
        <v>2812.95</v>
      </c>
      <c r="R258" t="s">
        <v>124</v>
      </c>
      <c r="S258" t="s">
        <v>49</v>
      </c>
      <c r="T258" t="s">
        <v>115</v>
      </c>
      <c r="U258" t="s">
        <v>214</v>
      </c>
      <c r="V258" t="s">
        <v>269</v>
      </c>
      <c r="W258" t="s">
        <v>70</v>
      </c>
      <c r="X258" t="s">
        <v>215</v>
      </c>
      <c r="Y258" t="s">
        <v>169</v>
      </c>
      <c r="Z258" t="s">
        <v>95</v>
      </c>
      <c r="AA258" t="s">
        <v>1144</v>
      </c>
      <c r="AB258" t="s">
        <v>3335</v>
      </c>
      <c r="AC258">
        <v>5</v>
      </c>
      <c r="AD258" t="s">
        <v>56</v>
      </c>
      <c r="AE258" t="s">
        <v>3336</v>
      </c>
      <c r="AF258" t="s">
        <v>279</v>
      </c>
      <c r="AG258" t="s">
        <v>3342</v>
      </c>
      <c r="AH258" s="1">
        <v>45256</v>
      </c>
      <c r="AI258" s="1">
        <v>45258</v>
      </c>
      <c r="AJ258" s="1">
        <v>45264</v>
      </c>
      <c r="AK258" t="s">
        <v>3353</v>
      </c>
      <c r="AL258" t="s">
        <v>1143</v>
      </c>
    </row>
    <row r="259" spans="1:38" x14ac:dyDescent="0.35">
      <c r="A259" t="s">
        <v>1145</v>
      </c>
      <c r="B259" t="s">
        <v>172</v>
      </c>
      <c r="C259" t="s">
        <v>43</v>
      </c>
      <c r="D259" t="s">
        <v>335</v>
      </c>
      <c r="E259" t="s">
        <v>336</v>
      </c>
      <c r="F259" t="s">
        <v>134</v>
      </c>
      <c r="G259" t="s">
        <v>135</v>
      </c>
      <c r="H259">
        <v>10800</v>
      </c>
      <c r="I259">
        <f>Sales_Transactions_Raw[[#This Row],[Unit_Price]]*Sales_Transactions_Raw[[#This Row],[Quantity]]</f>
        <v>10800</v>
      </c>
      <c r="J259">
        <v>1</v>
      </c>
      <c r="K259">
        <v>10</v>
      </c>
      <c r="L259">
        <v>1080</v>
      </c>
      <c r="M259">
        <v>9720</v>
      </c>
      <c r="N259">
        <v>5</v>
      </c>
      <c r="O259">
        <v>486</v>
      </c>
      <c r="P259">
        <v>0</v>
      </c>
      <c r="Q259">
        <v>10206</v>
      </c>
      <c r="R259" t="s">
        <v>92</v>
      </c>
      <c r="S259" t="s">
        <v>49</v>
      </c>
      <c r="T259" t="s">
        <v>66</v>
      </c>
      <c r="U259" t="s">
        <v>161</v>
      </c>
      <c r="V259" t="s">
        <v>80</v>
      </c>
      <c r="W259" t="s">
        <v>81</v>
      </c>
      <c r="X259" t="s">
        <v>556</v>
      </c>
      <c r="Y259" t="s">
        <v>481</v>
      </c>
      <c r="Z259" t="s">
        <v>52</v>
      </c>
      <c r="AA259" t="s">
        <v>1147</v>
      </c>
      <c r="AB259" t="s">
        <v>3335</v>
      </c>
      <c r="AC259">
        <v>3</v>
      </c>
      <c r="AD259" t="s">
        <v>56</v>
      </c>
      <c r="AE259" t="s">
        <v>3336</v>
      </c>
      <c r="AF259" t="s">
        <v>279</v>
      </c>
      <c r="AG259" t="s">
        <v>85</v>
      </c>
      <c r="AH259" s="1">
        <v>45425</v>
      </c>
      <c r="AI259" s="1">
        <v>45432</v>
      </c>
      <c r="AJ259" s="1">
        <v>45438</v>
      </c>
      <c r="AK259" t="s">
        <v>3455</v>
      </c>
      <c r="AL259" t="s">
        <v>1146</v>
      </c>
    </row>
    <row r="260" spans="1:38" x14ac:dyDescent="0.35">
      <c r="A260" t="s">
        <v>1148</v>
      </c>
      <c r="B260" t="s">
        <v>447</v>
      </c>
      <c r="C260" t="s">
        <v>157</v>
      </c>
      <c r="D260" t="s">
        <v>230</v>
      </c>
      <c r="E260" t="s">
        <v>231</v>
      </c>
      <c r="F260" t="s">
        <v>46</v>
      </c>
      <c r="G260" t="s">
        <v>63</v>
      </c>
      <c r="H260">
        <v>106440</v>
      </c>
      <c r="I260">
        <f>Sales_Transactions_Raw[[#This Row],[Unit_Price]]*Sales_Transactions_Raw[[#This Row],[Quantity]]</f>
        <v>425760</v>
      </c>
      <c r="J260">
        <v>4</v>
      </c>
      <c r="K260">
        <v>10</v>
      </c>
      <c r="L260">
        <v>42576</v>
      </c>
      <c r="M260">
        <v>383184</v>
      </c>
      <c r="N260">
        <v>18</v>
      </c>
      <c r="O260">
        <v>68973.119999999995</v>
      </c>
      <c r="P260">
        <v>0</v>
      </c>
      <c r="Q260">
        <v>452157.12</v>
      </c>
      <c r="R260" t="s">
        <v>124</v>
      </c>
      <c r="S260" t="s">
        <v>107</v>
      </c>
      <c r="T260" t="s">
        <v>115</v>
      </c>
      <c r="U260" t="s">
        <v>50</v>
      </c>
      <c r="V260" t="s">
        <v>51</v>
      </c>
      <c r="W260" t="s">
        <v>52</v>
      </c>
      <c r="X260" t="s">
        <v>277</v>
      </c>
      <c r="Y260" t="s">
        <v>127</v>
      </c>
      <c r="Z260" t="s">
        <v>68</v>
      </c>
      <c r="AA260" t="s">
        <v>1150</v>
      </c>
      <c r="AB260" t="s">
        <v>3339</v>
      </c>
      <c r="AC260">
        <v>5</v>
      </c>
      <c r="AD260" t="s">
        <v>56</v>
      </c>
      <c r="AE260" t="s">
        <v>3336</v>
      </c>
      <c r="AF260" t="s">
        <v>72</v>
      </c>
      <c r="AG260" t="s">
        <v>85</v>
      </c>
      <c r="AH260" s="1">
        <v>45296</v>
      </c>
      <c r="AI260" s="1">
        <v>45301</v>
      </c>
      <c r="AJ260" s="1">
        <v>45309</v>
      </c>
      <c r="AK260" t="s">
        <v>3434</v>
      </c>
      <c r="AL260" t="s">
        <v>1149</v>
      </c>
    </row>
    <row r="261" spans="1:38" x14ac:dyDescent="0.35">
      <c r="A261" t="s">
        <v>1151</v>
      </c>
      <c r="B261" t="s">
        <v>781</v>
      </c>
      <c r="C261" t="s">
        <v>43</v>
      </c>
      <c r="D261" t="s">
        <v>144</v>
      </c>
      <c r="E261" t="s">
        <v>145</v>
      </c>
      <c r="F261" t="s">
        <v>146</v>
      </c>
      <c r="G261" t="s">
        <v>147</v>
      </c>
      <c r="H261">
        <v>2550</v>
      </c>
      <c r="I261">
        <f>Sales_Transactions_Raw[[#This Row],[Unit_Price]]*Sales_Transactions_Raw[[#This Row],[Quantity]]</f>
        <v>10200</v>
      </c>
      <c r="J261">
        <v>4</v>
      </c>
      <c r="K261">
        <v>5</v>
      </c>
      <c r="L261">
        <v>510</v>
      </c>
      <c r="M261">
        <v>9690</v>
      </c>
      <c r="N261">
        <v>12</v>
      </c>
      <c r="O261">
        <v>1162.8</v>
      </c>
      <c r="P261">
        <v>0</v>
      </c>
      <c r="Q261">
        <v>10852.8</v>
      </c>
      <c r="R261" t="s">
        <v>48</v>
      </c>
      <c r="S261" t="s">
        <v>93</v>
      </c>
      <c r="T261" t="s">
        <v>115</v>
      </c>
      <c r="U261" t="s">
        <v>214</v>
      </c>
      <c r="V261" t="s">
        <v>197</v>
      </c>
      <c r="W261" t="s">
        <v>68</v>
      </c>
      <c r="X261" t="s">
        <v>126</v>
      </c>
      <c r="Y261" t="s">
        <v>127</v>
      </c>
      <c r="Z261" t="s">
        <v>68</v>
      </c>
      <c r="AA261" t="s">
        <v>1153</v>
      </c>
      <c r="AB261" t="s">
        <v>3338</v>
      </c>
      <c r="AC261">
        <v>5</v>
      </c>
      <c r="AD261" t="s">
        <v>56</v>
      </c>
      <c r="AE261" t="s">
        <v>3336</v>
      </c>
      <c r="AF261" t="s">
        <v>57</v>
      </c>
      <c r="AG261" t="s">
        <v>85</v>
      </c>
      <c r="AH261" s="1">
        <v>45160</v>
      </c>
      <c r="AI261" s="1">
        <v>45163</v>
      </c>
      <c r="AJ261" s="1">
        <v>45169</v>
      </c>
      <c r="AK261" t="s">
        <v>3519</v>
      </c>
      <c r="AL261" t="s">
        <v>1152</v>
      </c>
    </row>
    <row r="262" spans="1:38" x14ac:dyDescent="0.35">
      <c r="A262" t="s">
        <v>1154</v>
      </c>
      <c r="B262" t="s">
        <v>1036</v>
      </c>
      <c r="C262" t="s">
        <v>157</v>
      </c>
      <c r="D262" t="s">
        <v>375</v>
      </c>
      <c r="E262" t="s">
        <v>376</v>
      </c>
      <c r="F262" t="s">
        <v>146</v>
      </c>
      <c r="G262" t="s">
        <v>147</v>
      </c>
      <c r="H262">
        <v>8590</v>
      </c>
      <c r="I262">
        <f>Sales_Transactions_Raw[[#This Row],[Unit_Price]]*Sales_Transactions_Raw[[#This Row],[Quantity]]</f>
        <v>34360</v>
      </c>
      <c r="J262">
        <v>4</v>
      </c>
      <c r="K262">
        <v>20</v>
      </c>
      <c r="L262">
        <v>6872</v>
      </c>
      <c r="M262">
        <v>27488</v>
      </c>
      <c r="N262">
        <v>12</v>
      </c>
      <c r="O262">
        <v>3298.56</v>
      </c>
      <c r="P262">
        <v>0</v>
      </c>
      <c r="Q262">
        <v>30786.560000000001</v>
      </c>
      <c r="R262" t="s">
        <v>106</v>
      </c>
      <c r="S262" t="s">
        <v>49</v>
      </c>
      <c r="T262" t="s">
        <v>115</v>
      </c>
      <c r="U262" t="s">
        <v>214</v>
      </c>
      <c r="V262" t="s">
        <v>224</v>
      </c>
      <c r="W262" t="s">
        <v>95</v>
      </c>
      <c r="X262" t="s">
        <v>362</v>
      </c>
      <c r="Y262" t="s">
        <v>118</v>
      </c>
      <c r="Z262" t="s">
        <v>70</v>
      </c>
      <c r="AA262" t="s">
        <v>1156</v>
      </c>
      <c r="AB262" t="s">
        <v>3339</v>
      </c>
      <c r="AC262">
        <v>2</v>
      </c>
      <c r="AD262" t="s">
        <v>179</v>
      </c>
      <c r="AE262" t="s">
        <v>3336</v>
      </c>
      <c r="AF262" t="s">
        <v>57</v>
      </c>
      <c r="AG262" t="s">
        <v>3342</v>
      </c>
      <c r="AH262" s="1">
        <v>45207</v>
      </c>
      <c r="AI262" s="1">
        <v>45208</v>
      </c>
      <c r="AJ262" s="1">
        <v>45217</v>
      </c>
      <c r="AK262" t="s">
        <v>3504</v>
      </c>
      <c r="AL262" t="s">
        <v>1155</v>
      </c>
    </row>
    <row r="263" spans="1:38" x14ac:dyDescent="0.35">
      <c r="A263" t="s">
        <v>1157</v>
      </c>
      <c r="B263" t="s">
        <v>1158</v>
      </c>
      <c r="C263" t="s">
        <v>89</v>
      </c>
      <c r="D263" t="s">
        <v>466</v>
      </c>
      <c r="E263" t="s">
        <v>467</v>
      </c>
      <c r="F263" t="s">
        <v>185</v>
      </c>
      <c r="G263" t="s">
        <v>468</v>
      </c>
      <c r="H263">
        <v>610</v>
      </c>
      <c r="I263">
        <f>Sales_Transactions_Raw[[#This Row],[Unit_Price]]*Sales_Transactions_Raw[[#This Row],[Quantity]]</f>
        <v>610</v>
      </c>
      <c r="J263">
        <v>1</v>
      </c>
      <c r="K263">
        <v>5</v>
      </c>
      <c r="L263">
        <v>30.5</v>
      </c>
      <c r="M263">
        <v>579.5</v>
      </c>
      <c r="N263">
        <v>5</v>
      </c>
      <c r="O263">
        <v>28.98</v>
      </c>
      <c r="P263">
        <v>149</v>
      </c>
      <c r="Q263">
        <v>608.48</v>
      </c>
      <c r="R263" t="s">
        <v>48</v>
      </c>
      <c r="S263" t="s">
        <v>65</v>
      </c>
      <c r="T263" t="s">
        <v>115</v>
      </c>
      <c r="U263" t="s">
        <v>50</v>
      </c>
      <c r="V263" t="s">
        <v>149</v>
      </c>
      <c r="W263" t="s">
        <v>81</v>
      </c>
      <c r="X263" t="s">
        <v>437</v>
      </c>
      <c r="Y263" t="s">
        <v>319</v>
      </c>
      <c r="Z263" t="s">
        <v>95</v>
      </c>
      <c r="AA263" t="s">
        <v>1160</v>
      </c>
      <c r="AB263" t="s">
        <v>3335</v>
      </c>
      <c r="AC263">
        <v>4</v>
      </c>
      <c r="AD263" t="s">
        <v>56</v>
      </c>
      <c r="AE263" t="s">
        <v>3336</v>
      </c>
      <c r="AF263" t="s">
        <v>326</v>
      </c>
      <c r="AG263" t="s">
        <v>3337</v>
      </c>
      <c r="AH263" s="1">
        <v>45156</v>
      </c>
      <c r="AI263" s="1">
        <v>45160</v>
      </c>
      <c r="AJ263" s="1">
        <v>45166</v>
      </c>
      <c r="AK263" t="s">
        <v>3520</v>
      </c>
      <c r="AL263" t="s">
        <v>1159</v>
      </c>
    </row>
    <row r="264" spans="1:38" x14ac:dyDescent="0.35">
      <c r="A264" t="s">
        <v>1161</v>
      </c>
      <c r="B264" t="s">
        <v>453</v>
      </c>
      <c r="C264" t="s">
        <v>43</v>
      </c>
      <c r="D264" t="s">
        <v>466</v>
      </c>
      <c r="E264" t="s">
        <v>467</v>
      </c>
      <c r="F264" t="s">
        <v>185</v>
      </c>
      <c r="G264" t="s">
        <v>468</v>
      </c>
      <c r="H264">
        <v>620</v>
      </c>
      <c r="I264">
        <f>Sales_Transactions_Raw[[#This Row],[Unit_Price]]*Sales_Transactions_Raw[[#This Row],[Quantity]]</f>
        <v>4960</v>
      </c>
      <c r="J264">
        <v>8</v>
      </c>
      <c r="K264">
        <v>5</v>
      </c>
      <c r="L264">
        <v>248</v>
      </c>
      <c r="M264">
        <v>4712</v>
      </c>
      <c r="N264">
        <v>5</v>
      </c>
      <c r="O264">
        <v>235.6</v>
      </c>
      <c r="P264">
        <v>49</v>
      </c>
      <c r="Q264">
        <v>4947.6000000000004</v>
      </c>
      <c r="R264" t="s">
        <v>160</v>
      </c>
      <c r="S264" t="s">
        <v>93</v>
      </c>
      <c r="T264" t="s">
        <v>213</v>
      </c>
      <c r="U264" t="s">
        <v>161</v>
      </c>
      <c r="V264" t="s">
        <v>51</v>
      </c>
      <c r="W264" t="s">
        <v>52</v>
      </c>
      <c r="X264" t="s">
        <v>162</v>
      </c>
      <c r="Y264" t="s">
        <v>109</v>
      </c>
      <c r="Z264" t="s">
        <v>70</v>
      </c>
      <c r="AA264" t="s">
        <v>1163</v>
      </c>
      <c r="AB264" t="s">
        <v>3335</v>
      </c>
      <c r="AC264">
        <v>4</v>
      </c>
      <c r="AD264" t="s">
        <v>179</v>
      </c>
      <c r="AE264" t="s">
        <v>3336</v>
      </c>
      <c r="AF264" t="s">
        <v>153</v>
      </c>
      <c r="AG264" t="s">
        <v>445</v>
      </c>
      <c r="AH264" s="1">
        <v>45110</v>
      </c>
      <c r="AI264" s="1">
        <v>45117</v>
      </c>
      <c r="AJ264" s="1">
        <v>45121</v>
      </c>
      <c r="AK264" t="s">
        <v>3394</v>
      </c>
      <c r="AL264" t="s">
        <v>1162</v>
      </c>
    </row>
    <row r="265" spans="1:38" x14ac:dyDescent="0.35">
      <c r="A265" t="s">
        <v>1164</v>
      </c>
      <c r="B265" t="s">
        <v>940</v>
      </c>
      <c r="C265" t="s">
        <v>157</v>
      </c>
      <c r="D265" t="s">
        <v>174</v>
      </c>
      <c r="E265" t="s">
        <v>175</v>
      </c>
      <c r="F265" t="s">
        <v>46</v>
      </c>
      <c r="G265" t="s">
        <v>176</v>
      </c>
      <c r="H265">
        <v>1590</v>
      </c>
      <c r="I265">
        <f>Sales_Transactions_Raw[[#This Row],[Unit_Price]]*Sales_Transactions_Raw[[#This Row],[Quantity]]</f>
        <v>4770</v>
      </c>
      <c r="J265">
        <v>3</v>
      </c>
      <c r="K265">
        <v>15</v>
      </c>
      <c r="L265">
        <v>715.5</v>
      </c>
      <c r="M265">
        <v>4054.5</v>
      </c>
      <c r="N265">
        <v>18</v>
      </c>
      <c r="O265">
        <v>729.81</v>
      </c>
      <c r="P265">
        <v>79</v>
      </c>
      <c r="Q265">
        <v>4784.3099999999995</v>
      </c>
      <c r="R265" t="s">
        <v>106</v>
      </c>
      <c r="S265" t="s">
        <v>93</v>
      </c>
      <c r="T265" t="s">
        <v>115</v>
      </c>
      <c r="U265" t="s">
        <v>108</v>
      </c>
      <c r="V265" t="s">
        <v>51</v>
      </c>
      <c r="W265" t="s">
        <v>52</v>
      </c>
      <c r="X265" t="s">
        <v>510</v>
      </c>
      <c r="Y265" t="s">
        <v>199</v>
      </c>
      <c r="Z265" t="s">
        <v>52</v>
      </c>
      <c r="AA265" t="s">
        <v>1166</v>
      </c>
      <c r="AB265" t="s">
        <v>3335</v>
      </c>
      <c r="AC265">
        <v>4</v>
      </c>
      <c r="AD265" t="s">
        <v>56</v>
      </c>
      <c r="AE265" t="s">
        <v>3336</v>
      </c>
      <c r="AF265" t="s">
        <v>262</v>
      </c>
      <c r="AG265" t="s">
        <v>3342</v>
      </c>
      <c r="AH265" s="1">
        <v>45280</v>
      </c>
      <c r="AI265" s="1">
        <v>45281</v>
      </c>
      <c r="AJ265" s="1">
        <v>45285</v>
      </c>
      <c r="AK265" t="s">
        <v>3521</v>
      </c>
      <c r="AL265" t="s">
        <v>1165</v>
      </c>
    </row>
    <row r="266" spans="1:38" x14ac:dyDescent="0.35">
      <c r="A266" t="s">
        <v>1167</v>
      </c>
      <c r="B266" t="s">
        <v>559</v>
      </c>
      <c r="C266" t="s">
        <v>89</v>
      </c>
      <c r="D266" t="s">
        <v>283</v>
      </c>
      <c r="E266" t="s">
        <v>284</v>
      </c>
      <c r="F266" t="s">
        <v>285</v>
      </c>
      <c r="G266" t="s">
        <v>286</v>
      </c>
      <c r="H266">
        <v>460</v>
      </c>
      <c r="I266">
        <f>Sales_Transactions_Raw[[#This Row],[Unit_Price]]*Sales_Transactions_Raw[[#This Row],[Quantity]]</f>
        <v>1380</v>
      </c>
      <c r="J266">
        <v>3</v>
      </c>
      <c r="K266">
        <v>10</v>
      </c>
      <c r="L266">
        <v>138</v>
      </c>
      <c r="M266">
        <v>1242</v>
      </c>
      <c r="N266">
        <v>5</v>
      </c>
      <c r="O266">
        <v>62.1</v>
      </c>
      <c r="P266">
        <v>79</v>
      </c>
      <c r="Q266">
        <v>1304.0999999999999</v>
      </c>
      <c r="R266" t="s">
        <v>48</v>
      </c>
      <c r="S266" t="s">
        <v>93</v>
      </c>
      <c r="T266" t="s">
        <v>115</v>
      </c>
      <c r="U266" t="s">
        <v>214</v>
      </c>
      <c r="V266" t="s">
        <v>116</v>
      </c>
      <c r="W266" t="s">
        <v>70</v>
      </c>
      <c r="X266" t="s">
        <v>556</v>
      </c>
      <c r="Y266" t="s">
        <v>481</v>
      </c>
      <c r="Z266" t="s">
        <v>52</v>
      </c>
      <c r="AA266" t="s">
        <v>1169</v>
      </c>
      <c r="AB266" t="s">
        <v>3338</v>
      </c>
      <c r="AC266">
        <v>5</v>
      </c>
      <c r="AD266" t="s">
        <v>56</v>
      </c>
      <c r="AE266" t="s">
        <v>3336</v>
      </c>
      <c r="AF266" t="s">
        <v>84</v>
      </c>
      <c r="AG266" t="s">
        <v>3342</v>
      </c>
      <c r="AH266" s="1">
        <v>45459</v>
      </c>
      <c r="AI266" s="1">
        <v>45460</v>
      </c>
      <c r="AJ266" s="1">
        <v>45285</v>
      </c>
      <c r="AK266" t="s">
        <v>3522</v>
      </c>
      <c r="AL266" t="s">
        <v>1168</v>
      </c>
    </row>
    <row r="267" spans="1:38" x14ac:dyDescent="0.35">
      <c r="A267" t="s">
        <v>1170</v>
      </c>
      <c r="B267" t="s">
        <v>447</v>
      </c>
      <c r="C267" t="s">
        <v>157</v>
      </c>
      <c r="D267" t="s">
        <v>294</v>
      </c>
      <c r="E267" t="s">
        <v>295</v>
      </c>
      <c r="F267" t="s">
        <v>146</v>
      </c>
      <c r="G267" t="s">
        <v>296</v>
      </c>
      <c r="H267">
        <v>14250</v>
      </c>
      <c r="I267">
        <f>Sales_Transactions_Raw[[#This Row],[Unit_Price]]*Sales_Transactions_Raw[[#This Row],[Quantity]]</f>
        <v>42750</v>
      </c>
      <c r="J267">
        <v>3</v>
      </c>
      <c r="K267">
        <v>0</v>
      </c>
      <c r="L267">
        <v>0</v>
      </c>
      <c r="M267">
        <v>42750</v>
      </c>
      <c r="N267">
        <v>12</v>
      </c>
      <c r="O267">
        <v>5130</v>
      </c>
      <c r="P267">
        <v>0</v>
      </c>
      <c r="Q267">
        <v>47880</v>
      </c>
      <c r="R267" t="s">
        <v>64</v>
      </c>
      <c r="S267" t="s">
        <v>65</v>
      </c>
      <c r="T267" t="s">
        <v>115</v>
      </c>
      <c r="U267" t="s">
        <v>196</v>
      </c>
      <c r="V267" t="s">
        <v>51</v>
      </c>
      <c r="W267" t="s">
        <v>52</v>
      </c>
      <c r="X267" t="s">
        <v>117</v>
      </c>
      <c r="Y267" t="s">
        <v>118</v>
      </c>
      <c r="Z267" t="s">
        <v>70</v>
      </c>
      <c r="AB267" t="s">
        <v>3339</v>
      </c>
      <c r="AC267">
        <v>5</v>
      </c>
      <c r="AD267" t="s">
        <v>56</v>
      </c>
      <c r="AE267" t="s">
        <v>3336</v>
      </c>
      <c r="AF267" t="s">
        <v>57</v>
      </c>
      <c r="AG267" t="s">
        <v>3342</v>
      </c>
      <c r="AH267" s="1">
        <v>45254</v>
      </c>
      <c r="AI267" s="1">
        <v>45255</v>
      </c>
      <c r="AJ267" s="1">
        <v>45260</v>
      </c>
      <c r="AK267" t="s">
        <v>3523</v>
      </c>
      <c r="AL267" t="s">
        <v>1171</v>
      </c>
    </row>
    <row r="268" spans="1:38" x14ac:dyDescent="0.35">
      <c r="A268" t="s">
        <v>1172</v>
      </c>
      <c r="B268" t="s">
        <v>605</v>
      </c>
      <c r="C268" t="s">
        <v>43</v>
      </c>
      <c r="D268" t="s">
        <v>274</v>
      </c>
      <c r="E268" t="s">
        <v>275</v>
      </c>
      <c r="F268" t="s">
        <v>211</v>
      </c>
      <c r="G268" t="s">
        <v>268</v>
      </c>
      <c r="H268">
        <v>14970</v>
      </c>
      <c r="I268">
        <f>Sales_Transactions_Raw[[#This Row],[Unit_Price]]*Sales_Transactions_Raw[[#This Row],[Quantity]]</f>
        <v>104790</v>
      </c>
      <c r="J268">
        <v>7</v>
      </c>
      <c r="K268">
        <v>0</v>
      </c>
      <c r="L268">
        <v>0</v>
      </c>
      <c r="M268">
        <v>104790</v>
      </c>
      <c r="N268">
        <v>5</v>
      </c>
      <c r="O268">
        <v>5239.5</v>
      </c>
      <c r="P268">
        <v>0</v>
      </c>
      <c r="Q268">
        <v>110029.5</v>
      </c>
      <c r="R268" t="s">
        <v>64</v>
      </c>
      <c r="S268" t="s">
        <v>125</v>
      </c>
      <c r="T268" t="s">
        <v>115</v>
      </c>
      <c r="U268" t="s">
        <v>161</v>
      </c>
      <c r="V268" t="s">
        <v>51</v>
      </c>
      <c r="W268" t="s">
        <v>52</v>
      </c>
      <c r="X268" t="s">
        <v>298</v>
      </c>
      <c r="Y268" t="s">
        <v>151</v>
      </c>
      <c r="Z268" t="s">
        <v>81</v>
      </c>
      <c r="AA268" t="s">
        <v>1174</v>
      </c>
      <c r="AB268" t="s">
        <v>3338</v>
      </c>
      <c r="AC268">
        <v>4</v>
      </c>
      <c r="AD268" t="s">
        <v>56</v>
      </c>
      <c r="AE268" t="s">
        <v>3336</v>
      </c>
      <c r="AF268" t="s">
        <v>140</v>
      </c>
      <c r="AG268" t="s">
        <v>85</v>
      </c>
      <c r="AH268" s="1">
        <v>44999</v>
      </c>
      <c r="AI268" s="1">
        <v>45005</v>
      </c>
      <c r="AJ268" s="1">
        <v>45008</v>
      </c>
      <c r="AK268" t="s">
        <v>3485</v>
      </c>
      <c r="AL268" t="s">
        <v>1173</v>
      </c>
    </row>
    <row r="269" spans="1:38" x14ac:dyDescent="0.35">
      <c r="A269" t="s">
        <v>1175</v>
      </c>
      <c r="B269" t="s">
        <v>944</v>
      </c>
      <c r="C269" t="s">
        <v>43</v>
      </c>
      <c r="D269" t="s">
        <v>76</v>
      </c>
      <c r="E269" t="s">
        <v>77</v>
      </c>
      <c r="F269" t="s">
        <v>46</v>
      </c>
      <c r="G269" t="s">
        <v>78</v>
      </c>
      <c r="H269">
        <v>73390</v>
      </c>
      <c r="I269">
        <f>Sales_Transactions_Raw[[#This Row],[Unit_Price]]*Sales_Transactions_Raw[[#This Row],[Quantity]]</f>
        <v>513730</v>
      </c>
      <c r="J269">
        <v>7</v>
      </c>
      <c r="K269">
        <v>5</v>
      </c>
      <c r="L269">
        <v>25686.5</v>
      </c>
      <c r="M269">
        <v>488043.5</v>
      </c>
      <c r="N269">
        <v>18</v>
      </c>
      <c r="O269">
        <v>87847.83</v>
      </c>
      <c r="P269">
        <v>0</v>
      </c>
      <c r="Q269">
        <v>575891.32999999996</v>
      </c>
      <c r="R269" t="s">
        <v>160</v>
      </c>
      <c r="S269" t="s">
        <v>65</v>
      </c>
      <c r="T269" t="s">
        <v>213</v>
      </c>
      <c r="U269" t="s">
        <v>214</v>
      </c>
      <c r="V269" t="s">
        <v>67</v>
      </c>
      <c r="W269" t="s">
        <v>68</v>
      </c>
      <c r="X269" t="s">
        <v>422</v>
      </c>
      <c r="Y269" t="s">
        <v>319</v>
      </c>
      <c r="Z269" t="s">
        <v>95</v>
      </c>
      <c r="AA269" t="s">
        <v>1177</v>
      </c>
      <c r="AB269" t="s">
        <v>3343</v>
      </c>
      <c r="AC269">
        <v>4</v>
      </c>
      <c r="AD269" t="s">
        <v>179</v>
      </c>
      <c r="AE269" t="s">
        <v>818</v>
      </c>
      <c r="AF269" t="s">
        <v>279</v>
      </c>
      <c r="AG269" t="s">
        <v>3337</v>
      </c>
      <c r="AH269" s="1">
        <v>45183</v>
      </c>
      <c r="AI269" s="1">
        <v>45185</v>
      </c>
      <c r="AJ269" s="1">
        <v>45008</v>
      </c>
      <c r="AK269" t="s">
        <v>3524</v>
      </c>
      <c r="AL269" t="s">
        <v>1176</v>
      </c>
    </row>
    <row r="270" spans="1:38" x14ac:dyDescent="0.35">
      <c r="A270" t="s">
        <v>1103</v>
      </c>
      <c r="B270" t="s">
        <v>343</v>
      </c>
      <c r="C270" t="s">
        <v>43</v>
      </c>
      <c r="D270" t="s">
        <v>310</v>
      </c>
      <c r="E270" t="s">
        <v>311</v>
      </c>
      <c r="F270" t="s">
        <v>211</v>
      </c>
      <c r="G270" t="s">
        <v>312</v>
      </c>
      <c r="H270">
        <v>11700</v>
      </c>
      <c r="I270">
        <f>Sales_Transactions_Raw[[#This Row],[Unit_Price]]*Sales_Transactions_Raw[[#This Row],[Quantity]]</f>
        <v>35100</v>
      </c>
      <c r="J270">
        <v>3</v>
      </c>
      <c r="K270">
        <v>25</v>
      </c>
      <c r="L270">
        <v>8775</v>
      </c>
      <c r="M270">
        <v>26325</v>
      </c>
      <c r="N270">
        <v>5</v>
      </c>
      <c r="O270">
        <v>1316.25</v>
      </c>
      <c r="P270">
        <v>0</v>
      </c>
      <c r="Q270">
        <v>27641.25</v>
      </c>
      <c r="R270" t="s">
        <v>48</v>
      </c>
      <c r="S270" t="s">
        <v>93</v>
      </c>
      <c r="T270" t="s">
        <v>115</v>
      </c>
      <c r="U270" t="s">
        <v>50</v>
      </c>
      <c r="V270" t="s">
        <v>177</v>
      </c>
      <c r="W270" t="s">
        <v>81</v>
      </c>
      <c r="X270" t="s">
        <v>491</v>
      </c>
      <c r="Y270" t="s">
        <v>358</v>
      </c>
      <c r="Z270" t="s">
        <v>95</v>
      </c>
      <c r="AA270" t="s">
        <v>1179</v>
      </c>
      <c r="AB270" t="s">
        <v>3344</v>
      </c>
      <c r="AC270">
        <v>4</v>
      </c>
      <c r="AD270" t="s">
        <v>56</v>
      </c>
      <c r="AE270" t="s">
        <v>3336</v>
      </c>
      <c r="AF270" t="s">
        <v>140</v>
      </c>
      <c r="AG270" t="s">
        <v>85</v>
      </c>
      <c r="AH270" s="1">
        <v>45323</v>
      </c>
      <c r="AI270" s="1">
        <v>45327</v>
      </c>
      <c r="AJ270" s="1">
        <v>45332</v>
      </c>
      <c r="AK270" t="s">
        <v>3377</v>
      </c>
      <c r="AL270" t="s">
        <v>1178</v>
      </c>
    </row>
    <row r="271" spans="1:38" x14ac:dyDescent="0.35">
      <c r="A271" t="s">
        <v>1180</v>
      </c>
      <c r="B271" t="s">
        <v>842</v>
      </c>
      <c r="C271" t="s">
        <v>43</v>
      </c>
      <c r="D271" t="s">
        <v>249</v>
      </c>
      <c r="E271" t="s">
        <v>250</v>
      </c>
      <c r="F271" t="s">
        <v>211</v>
      </c>
      <c r="G271" t="s">
        <v>251</v>
      </c>
      <c r="H271">
        <v>16870</v>
      </c>
      <c r="I271">
        <f>Sales_Transactions_Raw[[#This Row],[Unit_Price]]*Sales_Transactions_Raw[[#This Row],[Quantity]]</f>
        <v>16870</v>
      </c>
      <c r="J271">
        <v>1</v>
      </c>
      <c r="K271">
        <v>10</v>
      </c>
      <c r="L271">
        <v>1687</v>
      </c>
      <c r="M271">
        <v>15183</v>
      </c>
      <c r="N271">
        <v>5</v>
      </c>
      <c r="O271">
        <v>759.15</v>
      </c>
      <c r="P271">
        <v>0</v>
      </c>
      <c r="Q271">
        <v>15942.15</v>
      </c>
      <c r="R271" t="s">
        <v>106</v>
      </c>
      <c r="S271" t="s">
        <v>107</v>
      </c>
      <c r="T271" t="s">
        <v>115</v>
      </c>
      <c r="U271" t="s">
        <v>161</v>
      </c>
      <c r="V271" t="s">
        <v>269</v>
      </c>
      <c r="W271" t="s">
        <v>70</v>
      </c>
      <c r="X271" t="s">
        <v>318</v>
      </c>
      <c r="Y271" t="s">
        <v>319</v>
      </c>
      <c r="Z271" t="s">
        <v>95</v>
      </c>
      <c r="AA271" t="s">
        <v>1182</v>
      </c>
      <c r="AB271" t="s">
        <v>3339</v>
      </c>
      <c r="AC271">
        <v>4</v>
      </c>
      <c r="AD271" t="s">
        <v>56</v>
      </c>
      <c r="AE271" t="s">
        <v>3336</v>
      </c>
      <c r="AF271" t="s">
        <v>262</v>
      </c>
      <c r="AG271" t="s">
        <v>111</v>
      </c>
      <c r="AH271" s="1">
        <v>45345</v>
      </c>
      <c r="AI271" s="1">
        <v>45348</v>
      </c>
      <c r="AJ271" s="1">
        <v>45354</v>
      </c>
      <c r="AK271" t="s">
        <v>3624</v>
      </c>
      <c r="AL271" t="s">
        <v>1181</v>
      </c>
    </row>
    <row r="272" spans="1:38" x14ac:dyDescent="0.35">
      <c r="A272" t="s">
        <v>1183</v>
      </c>
      <c r="B272" t="s">
        <v>235</v>
      </c>
      <c r="C272" t="s">
        <v>43</v>
      </c>
      <c r="D272" t="s">
        <v>391</v>
      </c>
      <c r="E272" t="s">
        <v>392</v>
      </c>
      <c r="F272" t="s">
        <v>46</v>
      </c>
      <c r="G272" t="s">
        <v>176</v>
      </c>
      <c r="H272">
        <v>9960</v>
      </c>
      <c r="I272">
        <f>Sales_Transactions_Raw[[#This Row],[Unit_Price]]*Sales_Transactions_Raw[[#This Row],[Quantity]]</f>
        <v>49800</v>
      </c>
      <c r="J272">
        <v>5</v>
      </c>
      <c r="K272">
        <v>15</v>
      </c>
      <c r="L272">
        <v>7470</v>
      </c>
      <c r="M272">
        <v>42330</v>
      </c>
      <c r="N272">
        <v>18</v>
      </c>
      <c r="O272">
        <v>7619.4</v>
      </c>
      <c r="P272">
        <v>0</v>
      </c>
      <c r="Q272">
        <v>49949.4</v>
      </c>
      <c r="R272" t="s">
        <v>79</v>
      </c>
      <c r="S272" t="s">
        <v>107</v>
      </c>
      <c r="T272" t="s">
        <v>115</v>
      </c>
      <c r="U272" t="s">
        <v>214</v>
      </c>
      <c r="V272" t="s">
        <v>67</v>
      </c>
      <c r="W272" t="s">
        <v>68</v>
      </c>
      <c r="X272" t="s">
        <v>611</v>
      </c>
      <c r="Y272" t="s">
        <v>97</v>
      </c>
      <c r="Z272" t="s">
        <v>95</v>
      </c>
      <c r="AA272" t="s">
        <v>1185</v>
      </c>
      <c r="AB272" t="s">
        <v>3343</v>
      </c>
      <c r="AC272">
        <v>4</v>
      </c>
      <c r="AD272" t="s">
        <v>56</v>
      </c>
      <c r="AE272" t="s">
        <v>3336</v>
      </c>
      <c r="AF272" t="s">
        <v>326</v>
      </c>
      <c r="AG272" t="s">
        <v>58</v>
      </c>
      <c r="AH272" s="1">
        <v>44994</v>
      </c>
      <c r="AI272" s="1">
        <v>44997</v>
      </c>
      <c r="AJ272" s="1">
        <v>45004</v>
      </c>
      <c r="AK272" t="s">
        <v>3525</v>
      </c>
      <c r="AL272" t="s">
        <v>1184</v>
      </c>
    </row>
    <row r="273" spans="1:38" x14ac:dyDescent="0.35">
      <c r="A273" t="s">
        <v>1186</v>
      </c>
      <c r="B273" t="s">
        <v>753</v>
      </c>
      <c r="C273" t="s">
        <v>43</v>
      </c>
      <c r="D273" t="s">
        <v>420</v>
      </c>
      <c r="E273" t="s">
        <v>421</v>
      </c>
      <c r="F273" t="s">
        <v>134</v>
      </c>
      <c r="G273" t="s">
        <v>135</v>
      </c>
      <c r="H273">
        <v>3660</v>
      </c>
      <c r="I273">
        <f>Sales_Transactions_Raw[[#This Row],[Unit_Price]]*Sales_Transactions_Raw[[#This Row],[Quantity]]</f>
        <v>18300</v>
      </c>
      <c r="J273">
        <v>5</v>
      </c>
      <c r="K273">
        <v>5</v>
      </c>
      <c r="L273">
        <v>915</v>
      </c>
      <c r="M273">
        <v>17385</v>
      </c>
      <c r="N273">
        <v>5</v>
      </c>
      <c r="O273">
        <v>869.25</v>
      </c>
      <c r="P273">
        <v>0</v>
      </c>
      <c r="Q273">
        <v>18254.25</v>
      </c>
      <c r="R273" t="s">
        <v>124</v>
      </c>
      <c r="S273" t="s">
        <v>65</v>
      </c>
      <c r="T273" t="s">
        <v>719</v>
      </c>
      <c r="U273" t="s">
        <v>50</v>
      </c>
      <c r="V273" t="s">
        <v>116</v>
      </c>
      <c r="W273" t="s">
        <v>70</v>
      </c>
      <c r="X273" t="s">
        <v>362</v>
      </c>
      <c r="Y273" t="s">
        <v>118</v>
      </c>
      <c r="Z273" t="s">
        <v>70</v>
      </c>
      <c r="AA273" t="s">
        <v>1188</v>
      </c>
      <c r="AB273" t="s">
        <v>3335</v>
      </c>
      <c r="AC273">
        <v>3</v>
      </c>
      <c r="AD273" t="s">
        <v>56</v>
      </c>
      <c r="AE273" t="s">
        <v>3336</v>
      </c>
      <c r="AF273" t="s">
        <v>326</v>
      </c>
      <c r="AG273" t="s">
        <v>3342</v>
      </c>
      <c r="AH273" s="1">
        <v>45128</v>
      </c>
      <c r="AI273" s="1">
        <v>45134</v>
      </c>
      <c r="AJ273" s="1">
        <v>45141</v>
      </c>
      <c r="AK273" t="s">
        <v>3454</v>
      </c>
      <c r="AL273" t="s">
        <v>1187</v>
      </c>
    </row>
    <row r="274" spans="1:38" x14ac:dyDescent="0.35">
      <c r="A274" t="s">
        <v>1189</v>
      </c>
      <c r="B274" t="s">
        <v>264</v>
      </c>
      <c r="C274" t="s">
        <v>43</v>
      </c>
      <c r="D274" t="s">
        <v>132</v>
      </c>
      <c r="E274" t="s">
        <v>133</v>
      </c>
      <c r="F274" t="s">
        <v>134</v>
      </c>
      <c r="G274" t="s">
        <v>135</v>
      </c>
      <c r="H274">
        <v>2700</v>
      </c>
      <c r="I274">
        <f>Sales_Transactions_Raw[[#This Row],[Unit_Price]]*Sales_Transactions_Raw[[#This Row],[Quantity]]</f>
        <v>5400</v>
      </c>
      <c r="J274">
        <v>2</v>
      </c>
      <c r="K274">
        <v>20</v>
      </c>
      <c r="L274">
        <v>1080</v>
      </c>
      <c r="M274">
        <v>4320</v>
      </c>
      <c r="N274">
        <v>5</v>
      </c>
      <c r="O274">
        <v>216</v>
      </c>
      <c r="P274">
        <v>49</v>
      </c>
      <c r="Q274">
        <v>4536</v>
      </c>
      <c r="R274" t="s">
        <v>92</v>
      </c>
      <c r="S274" t="s">
        <v>107</v>
      </c>
      <c r="T274" t="s">
        <v>136</v>
      </c>
      <c r="U274" t="s">
        <v>108</v>
      </c>
      <c r="V274" t="s">
        <v>297</v>
      </c>
      <c r="W274" t="s">
        <v>52</v>
      </c>
      <c r="X274" t="s">
        <v>370</v>
      </c>
      <c r="Y274" t="s">
        <v>151</v>
      </c>
      <c r="Z274" t="s">
        <v>81</v>
      </c>
      <c r="AA274" t="s">
        <v>1191</v>
      </c>
      <c r="AB274" t="s">
        <v>3339</v>
      </c>
      <c r="AC274">
        <v>5</v>
      </c>
      <c r="AD274" t="s">
        <v>56</v>
      </c>
      <c r="AE274" t="s">
        <v>3336</v>
      </c>
      <c r="AF274" t="s">
        <v>99</v>
      </c>
      <c r="AG274" t="s">
        <v>3337</v>
      </c>
      <c r="AH274" s="1">
        <v>45062</v>
      </c>
      <c r="AI274" s="1">
        <v>45065</v>
      </c>
      <c r="AJ274" s="1">
        <v>45071</v>
      </c>
      <c r="AK274" t="s">
        <v>3526</v>
      </c>
      <c r="AL274" t="s">
        <v>1190</v>
      </c>
    </row>
    <row r="275" spans="1:38" x14ac:dyDescent="0.35">
      <c r="A275" t="s">
        <v>1192</v>
      </c>
      <c r="B275" t="s">
        <v>940</v>
      </c>
      <c r="C275" t="s">
        <v>43</v>
      </c>
      <c r="D275" t="s">
        <v>209</v>
      </c>
      <c r="E275" t="s">
        <v>210</v>
      </c>
      <c r="F275" t="s">
        <v>211</v>
      </c>
      <c r="G275" t="s">
        <v>212</v>
      </c>
      <c r="H275">
        <v>4200</v>
      </c>
      <c r="I275">
        <f>Sales_Transactions_Raw[[#This Row],[Unit_Price]]*Sales_Transactions_Raw[[#This Row],[Quantity]]</f>
        <v>12600</v>
      </c>
      <c r="J275">
        <v>3</v>
      </c>
      <c r="K275">
        <v>25</v>
      </c>
      <c r="L275">
        <v>3150</v>
      </c>
      <c r="M275">
        <v>9450</v>
      </c>
      <c r="N275">
        <v>5</v>
      </c>
      <c r="O275">
        <v>472.5</v>
      </c>
      <c r="P275">
        <v>0</v>
      </c>
      <c r="Q275">
        <v>9922.5</v>
      </c>
      <c r="R275" t="s">
        <v>160</v>
      </c>
      <c r="S275" t="s">
        <v>107</v>
      </c>
      <c r="T275" t="s">
        <v>115</v>
      </c>
      <c r="U275" t="s">
        <v>214</v>
      </c>
      <c r="V275" t="s">
        <v>80</v>
      </c>
      <c r="W275" t="s">
        <v>81</v>
      </c>
      <c r="X275" t="s">
        <v>370</v>
      </c>
      <c r="Y275" t="s">
        <v>151</v>
      </c>
      <c r="Z275" t="s">
        <v>81</v>
      </c>
      <c r="AA275" t="s">
        <v>1194</v>
      </c>
      <c r="AB275" t="s">
        <v>3340</v>
      </c>
      <c r="AC275">
        <v>4</v>
      </c>
      <c r="AD275" t="s">
        <v>56</v>
      </c>
      <c r="AE275" t="s">
        <v>3336</v>
      </c>
      <c r="AF275" t="s">
        <v>326</v>
      </c>
      <c r="AG275" t="s">
        <v>85</v>
      </c>
      <c r="AH275" s="1">
        <v>45407</v>
      </c>
      <c r="AI275" s="1">
        <v>45410</v>
      </c>
      <c r="AJ275" s="1">
        <v>45412</v>
      </c>
      <c r="AK275" t="s">
        <v>3527</v>
      </c>
      <c r="AL275" t="s">
        <v>1193</v>
      </c>
    </row>
    <row r="276" spans="1:38" x14ac:dyDescent="0.35">
      <c r="A276" t="s">
        <v>1195</v>
      </c>
      <c r="B276" t="s">
        <v>365</v>
      </c>
      <c r="C276" t="s">
        <v>157</v>
      </c>
      <c r="D276" t="s">
        <v>630</v>
      </c>
      <c r="E276" t="s">
        <v>450</v>
      </c>
      <c r="F276" t="s">
        <v>134</v>
      </c>
      <c r="G276" t="s">
        <v>497</v>
      </c>
      <c r="H276">
        <v>48350</v>
      </c>
      <c r="I276">
        <f>Sales_Transactions_Raw[[#This Row],[Unit_Price]]*Sales_Transactions_Raw[[#This Row],[Quantity]]</f>
        <v>96700</v>
      </c>
      <c r="J276">
        <v>2</v>
      </c>
      <c r="K276">
        <v>15</v>
      </c>
      <c r="L276">
        <v>14505</v>
      </c>
      <c r="M276">
        <v>82195</v>
      </c>
      <c r="N276">
        <v>5</v>
      </c>
      <c r="O276">
        <v>4109.75</v>
      </c>
      <c r="P276">
        <v>0</v>
      </c>
      <c r="Q276">
        <v>86304.75</v>
      </c>
      <c r="R276" t="s">
        <v>48</v>
      </c>
      <c r="S276" t="s">
        <v>65</v>
      </c>
      <c r="T276" t="s">
        <v>115</v>
      </c>
      <c r="U276" t="s">
        <v>196</v>
      </c>
      <c r="V276" t="s">
        <v>297</v>
      </c>
      <c r="W276" t="s">
        <v>52</v>
      </c>
      <c r="X276" t="s">
        <v>168</v>
      </c>
      <c r="Y276" t="s">
        <v>169</v>
      </c>
      <c r="Z276" t="s">
        <v>95</v>
      </c>
      <c r="AA276" t="s">
        <v>1197</v>
      </c>
      <c r="AB276" t="s">
        <v>3335</v>
      </c>
      <c r="AC276">
        <v>3</v>
      </c>
      <c r="AD276" t="s">
        <v>56</v>
      </c>
      <c r="AE276" t="s">
        <v>3336</v>
      </c>
      <c r="AF276" t="s">
        <v>84</v>
      </c>
      <c r="AG276" t="s">
        <v>58</v>
      </c>
      <c r="AH276" s="1">
        <v>45418</v>
      </c>
      <c r="AI276" s="1">
        <v>45421</v>
      </c>
      <c r="AJ276" s="1">
        <v>45430</v>
      </c>
      <c r="AK276" t="s">
        <v>3528</v>
      </c>
      <c r="AL276" t="s">
        <v>1196</v>
      </c>
    </row>
    <row r="277" spans="1:38" x14ac:dyDescent="0.35">
      <c r="A277" t="s">
        <v>1198</v>
      </c>
      <c r="B277" t="s">
        <v>581</v>
      </c>
      <c r="C277" t="s">
        <v>43</v>
      </c>
      <c r="D277" t="s">
        <v>193</v>
      </c>
      <c r="E277" t="s">
        <v>194</v>
      </c>
      <c r="F277" t="s">
        <v>146</v>
      </c>
      <c r="G277" t="s">
        <v>195</v>
      </c>
      <c r="H277">
        <v>3430</v>
      </c>
      <c r="I277">
        <f>Sales_Transactions_Raw[[#This Row],[Unit_Price]]*Sales_Transactions_Raw[[#This Row],[Quantity]]</f>
        <v>3430</v>
      </c>
      <c r="J277">
        <v>1</v>
      </c>
      <c r="K277">
        <v>15</v>
      </c>
      <c r="L277">
        <v>514.5</v>
      </c>
      <c r="M277">
        <v>2915.5</v>
      </c>
      <c r="N277">
        <v>12</v>
      </c>
      <c r="O277">
        <v>349.86</v>
      </c>
      <c r="P277">
        <v>99</v>
      </c>
      <c r="Q277">
        <v>3265.36</v>
      </c>
      <c r="R277" t="s">
        <v>160</v>
      </c>
      <c r="S277" t="s">
        <v>93</v>
      </c>
      <c r="T277" t="s">
        <v>115</v>
      </c>
      <c r="U277" t="s">
        <v>214</v>
      </c>
      <c r="V277" t="s">
        <v>276</v>
      </c>
      <c r="W277" t="s">
        <v>95</v>
      </c>
      <c r="X277" t="s">
        <v>225</v>
      </c>
      <c r="Y277" t="s">
        <v>226</v>
      </c>
      <c r="Z277" t="s">
        <v>95</v>
      </c>
      <c r="AA277" t="s">
        <v>1200</v>
      </c>
      <c r="AB277" t="s">
        <v>3335</v>
      </c>
      <c r="AC277">
        <v>4</v>
      </c>
      <c r="AD277" t="s">
        <v>179</v>
      </c>
      <c r="AE277" t="s">
        <v>180</v>
      </c>
      <c r="AF277" t="s">
        <v>72</v>
      </c>
      <c r="AG277" t="s">
        <v>445</v>
      </c>
      <c r="AH277" s="1">
        <v>45090</v>
      </c>
      <c r="AI277" s="1">
        <v>45094</v>
      </c>
      <c r="AJ277" s="1">
        <v>45096</v>
      </c>
      <c r="AK277" t="s">
        <v>3529</v>
      </c>
      <c r="AL277" t="s">
        <v>1199</v>
      </c>
    </row>
    <row r="278" spans="1:38" x14ac:dyDescent="0.35">
      <c r="A278" t="s">
        <v>1201</v>
      </c>
      <c r="B278" t="s">
        <v>1158</v>
      </c>
      <c r="C278" t="s">
        <v>157</v>
      </c>
      <c r="D278" t="s">
        <v>526</v>
      </c>
      <c r="E278" t="s">
        <v>527</v>
      </c>
      <c r="F278" t="s">
        <v>185</v>
      </c>
      <c r="G278" t="s">
        <v>528</v>
      </c>
      <c r="H278">
        <v>780</v>
      </c>
      <c r="I278">
        <f>Sales_Transactions_Raw[[#This Row],[Unit_Price]]*Sales_Transactions_Raw[[#This Row],[Quantity]]</f>
        <v>1560</v>
      </c>
      <c r="J278">
        <v>2</v>
      </c>
      <c r="K278">
        <v>10</v>
      </c>
      <c r="L278">
        <v>156</v>
      </c>
      <c r="M278">
        <v>1404</v>
      </c>
      <c r="N278">
        <v>5</v>
      </c>
      <c r="O278">
        <v>70.2</v>
      </c>
      <c r="P278">
        <v>49</v>
      </c>
      <c r="Q278">
        <v>1474.2</v>
      </c>
      <c r="R278" t="s">
        <v>48</v>
      </c>
      <c r="S278" t="s">
        <v>107</v>
      </c>
      <c r="T278" t="s">
        <v>115</v>
      </c>
      <c r="U278" t="s">
        <v>196</v>
      </c>
      <c r="V278" t="s">
        <v>242</v>
      </c>
      <c r="W278" t="s">
        <v>70</v>
      </c>
      <c r="X278" t="s">
        <v>556</v>
      </c>
      <c r="Y278" t="s">
        <v>481</v>
      </c>
      <c r="Z278" t="s">
        <v>52</v>
      </c>
      <c r="AA278" t="s">
        <v>1203</v>
      </c>
      <c r="AB278" t="s">
        <v>3340</v>
      </c>
      <c r="AC278">
        <v>4</v>
      </c>
      <c r="AD278" t="s">
        <v>56</v>
      </c>
      <c r="AE278" t="s">
        <v>3336</v>
      </c>
      <c r="AF278" t="s">
        <v>57</v>
      </c>
      <c r="AG278" t="s">
        <v>111</v>
      </c>
      <c r="AH278" s="1">
        <v>45169</v>
      </c>
      <c r="AI278" s="1">
        <v>45176</v>
      </c>
      <c r="AJ278" s="1">
        <v>45181</v>
      </c>
      <c r="AK278" t="s">
        <v>3520</v>
      </c>
      <c r="AL278" t="s">
        <v>1202</v>
      </c>
    </row>
    <row r="279" spans="1:38" x14ac:dyDescent="0.35">
      <c r="A279" t="s">
        <v>1204</v>
      </c>
      <c r="B279" t="s">
        <v>1078</v>
      </c>
      <c r="C279" t="s">
        <v>43</v>
      </c>
      <c r="D279" t="s">
        <v>335</v>
      </c>
      <c r="E279" t="s">
        <v>336</v>
      </c>
      <c r="F279" t="s">
        <v>134</v>
      </c>
      <c r="G279" t="s">
        <v>135</v>
      </c>
      <c r="H279">
        <v>9250</v>
      </c>
      <c r="I279">
        <f>Sales_Transactions_Raw[[#This Row],[Unit_Price]]*Sales_Transactions_Raw[[#This Row],[Quantity]]</f>
        <v>9250</v>
      </c>
      <c r="J279">
        <v>1</v>
      </c>
      <c r="K279">
        <v>10</v>
      </c>
      <c r="L279">
        <v>925</v>
      </c>
      <c r="M279">
        <v>8325</v>
      </c>
      <c r="N279">
        <v>5</v>
      </c>
      <c r="O279">
        <v>416.25</v>
      </c>
      <c r="P279">
        <v>0</v>
      </c>
      <c r="Q279">
        <v>8741.25</v>
      </c>
      <c r="R279" t="s">
        <v>92</v>
      </c>
      <c r="S279" t="s">
        <v>93</v>
      </c>
      <c r="T279" t="s">
        <v>115</v>
      </c>
      <c r="U279" t="s">
        <v>214</v>
      </c>
      <c r="V279" t="s">
        <v>67</v>
      </c>
      <c r="W279" t="s">
        <v>68</v>
      </c>
      <c r="X279" t="s">
        <v>298</v>
      </c>
      <c r="Y279" t="s">
        <v>151</v>
      </c>
      <c r="Z279" t="s">
        <v>81</v>
      </c>
      <c r="AA279" t="s">
        <v>1206</v>
      </c>
      <c r="AB279" t="s">
        <v>3335</v>
      </c>
      <c r="AC279">
        <v>4</v>
      </c>
      <c r="AD279" t="s">
        <v>56</v>
      </c>
      <c r="AE279" t="s">
        <v>3336</v>
      </c>
      <c r="AF279" t="s">
        <v>279</v>
      </c>
      <c r="AG279" t="s">
        <v>58</v>
      </c>
      <c r="AH279" s="1">
        <v>44938</v>
      </c>
      <c r="AI279" s="1">
        <v>44941</v>
      </c>
      <c r="AJ279" s="1">
        <v>44947</v>
      </c>
      <c r="AK279" t="s">
        <v>3530</v>
      </c>
      <c r="AL279" t="s">
        <v>1205</v>
      </c>
    </row>
    <row r="280" spans="1:38" x14ac:dyDescent="0.35">
      <c r="A280" t="s">
        <v>1207</v>
      </c>
      <c r="B280" t="s">
        <v>414</v>
      </c>
      <c r="C280" t="s">
        <v>157</v>
      </c>
      <c r="D280" t="s">
        <v>526</v>
      </c>
      <c r="E280" t="s">
        <v>527</v>
      </c>
      <c r="F280" t="s">
        <v>185</v>
      </c>
      <c r="G280" t="s">
        <v>528</v>
      </c>
      <c r="H280">
        <v>910</v>
      </c>
      <c r="I280">
        <f>Sales_Transactions_Raw[[#This Row],[Unit_Price]]*Sales_Transactions_Raw[[#This Row],[Quantity]]</f>
        <v>2730</v>
      </c>
      <c r="J280">
        <v>3</v>
      </c>
      <c r="K280">
        <v>0</v>
      </c>
      <c r="L280">
        <v>0</v>
      </c>
      <c r="M280">
        <v>2730</v>
      </c>
      <c r="N280">
        <v>5</v>
      </c>
      <c r="O280">
        <v>136.5</v>
      </c>
      <c r="P280">
        <v>99</v>
      </c>
      <c r="Q280">
        <v>2866.5</v>
      </c>
      <c r="R280" t="s">
        <v>92</v>
      </c>
      <c r="S280" t="s">
        <v>65</v>
      </c>
      <c r="T280" t="s">
        <v>719</v>
      </c>
      <c r="U280" t="s">
        <v>161</v>
      </c>
      <c r="V280" t="s">
        <v>269</v>
      </c>
      <c r="W280" t="s">
        <v>70</v>
      </c>
      <c r="X280" t="s">
        <v>260</v>
      </c>
      <c r="Y280" t="s">
        <v>118</v>
      </c>
      <c r="Z280" t="s">
        <v>70</v>
      </c>
      <c r="AB280" t="s">
        <v>3344</v>
      </c>
      <c r="AC280">
        <v>4</v>
      </c>
      <c r="AD280" t="s">
        <v>56</v>
      </c>
      <c r="AE280" t="s">
        <v>3336</v>
      </c>
      <c r="AF280" t="s">
        <v>164</v>
      </c>
      <c r="AG280" t="s">
        <v>3342</v>
      </c>
      <c r="AH280" s="1">
        <v>44992</v>
      </c>
      <c r="AI280" s="1">
        <v>44993</v>
      </c>
      <c r="AJ280" s="1">
        <v>44997</v>
      </c>
      <c r="AK280" t="s">
        <v>3436</v>
      </c>
      <c r="AL280" t="s">
        <v>1208</v>
      </c>
    </row>
    <row r="281" spans="1:38" x14ac:dyDescent="0.35">
      <c r="A281" t="s">
        <v>1209</v>
      </c>
      <c r="B281" t="s">
        <v>717</v>
      </c>
      <c r="C281" t="s">
        <v>89</v>
      </c>
      <c r="D281" t="s">
        <v>375</v>
      </c>
      <c r="E281" t="s">
        <v>376</v>
      </c>
      <c r="F281" t="s">
        <v>146</v>
      </c>
      <c r="G281" t="s">
        <v>147</v>
      </c>
      <c r="H281">
        <v>8290</v>
      </c>
      <c r="I281">
        <f>Sales_Transactions_Raw[[#This Row],[Unit_Price]]*Sales_Transactions_Raw[[#This Row],[Quantity]]</f>
        <v>24870</v>
      </c>
      <c r="J281">
        <v>3</v>
      </c>
      <c r="K281">
        <v>15</v>
      </c>
      <c r="L281">
        <v>3730.5</v>
      </c>
      <c r="M281">
        <v>21139.5</v>
      </c>
      <c r="N281">
        <v>12</v>
      </c>
      <c r="O281">
        <v>2536.7399999999998</v>
      </c>
      <c r="P281">
        <v>0</v>
      </c>
      <c r="Q281">
        <v>23676.239999999998</v>
      </c>
      <c r="R281" t="s">
        <v>92</v>
      </c>
      <c r="S281" t="s">
        <v>107</v>
      </c>
      <c r="T281" t="s">
        <v>66</v>
      </c>
      <c r="U281" t="s">
        <v>214</v>
      </c>
      <c r="V281" t="s">
        <v>287</v>
      </c>
      <c r="W281" t="s">
        <v>95</v>
      </c>
      <c r="X281" t="s">
        <v>393</v>
      </c>
      <c r="Y281" t="s">
        <v>393</v>
      </c>
      <c r="Z281" t="s">
        <v>70</v>
      </c>
      <c r="AA281" t="s">
        <v>1211</v>
      </c>
      <c r="AB281" t="s">
        <v>3335</v>
      </c>
      <c r="AC281">
        <v>4</v>
      </c>
      <c r="AD281" t="s">
        <v>56</v>
      </c>
      <c r="AE281" t="s">
        <v>3336</v>
      </c>
      <c r="AF281" t="s">
        <v>164</v>
      </c>
      <c r="AG281" t="s">
        <v>85</v>
      </c>
      <c r="AH281" s="1">
        <v>45131</v>
      </c>
      <c r="AI281" s="1">
        <v>45136</v>
      </c>
      <c r="AJ281" s="1">
        <v>45138</v>
      </c>
      <c r="AK281" t="s">
        <v>3531</v>
      </c>
      <c r="AL281" t="s">
        <v>1210</v>
      </c>
    </row>
    <row r="282" spans="1:38" x14ac:dyDescent="0.35">
      <c r="A282" t="s">
        <v>1212</v>
      </c>
      <c r="B282" t="s">
        <v>699</v>
      </c>
      <c r="C282" t="s">
        <v>131</v>
      </c>
      <c r="D282" t="s">
        <v>303</v>
      </c>
      <c r="E282" t="s">
        <v>304</v>
      </c>
      <c r="F282" t="s">
        <v>134</v>
      </c>
      <c r="G282" t="s">
        <v>305</v>
      </c>
      <c r="H282">
        <v>35040</v>
      </c>
      <c r="I282">
        <f>Sales_Transactions_Raw[[#This Row],[Unit_Price]]*Sales_Transactions_Raw[[#This Row],[Quantity]]</f>
        <v>35040</v>
      </c>
      <c r="J282">
        <v>1</v>
      </c>
      <c r="K282">
        <v>15</v>
      </c>
      <c r="L282">
        <v>5256</v>
      </c>
      <c r="M282">
        <v>29784</v>
      </c>
      <c r="N282">
        <v>5</v>
      </c>
      <c r="O282">
        <v>1489.2</v>
      </c>
      <c r="P282">
        <v>0</v>
      </c>
      <c r="Q282">
        <v>31273.200000000001</v>
      </c>
      <c r="R282" t="s">
        <v>48</v>
      </c>
      <c r="S282" t="s">
        <v>93</v>
      </c>
      <c r="T282" t="s">
        <v>148</v>
      </c>
      <c r="U282" t="s">
        <v>161</v>
      </c>
      <c r="V282" t="s">
        <v>287</v>
      </c>
      <c r="W282" t="s">
        <v>95</v>
      </c>
      <c r="X282" t="s">
        <v>474</v>
      </c>
      <c r="Y282" t="s">
        <v>169</v>
      </c>
      <c r="Z282" t="s">
        <v>95</v>
      </c>
      <c r="AA282" t="s">
        <v>1214</v>
      </c>
      <c r="AB282" t="s">
        <v>3344</v>
      </c>
      <c r="AC282">
        <v>3</v>
      </c>
      <c r="AD282" t="s">
        <v>56</v>
      </c>
      <c r="AE282" t="s">
        <v>3336</v>
      </c>
      <c r="AF282" t="s">
        <v>164</v>
      </c>
      <c r="AG282" t="s">
        <v>58</v>
      </c>
      <c r="AH282" s="1">
        <v>45162</v>
      </c>
      <c r="AI282" s="1">
        <v>45167</v>
      </c>
      <c r="AJ282" s="1">
        <v>45173</v>
      </c>
      <c r="AK282" t="s">
        <v>3532</v>
      </c>
      <c r="AL282" t="s">
        <v>1213</v>
      </c>
    </row>
    <row r="283" spans="1:38" x14ac:dyDescent="0.35">
      <c r="A283" t="s">
        <v>1215</v>
      </c>
      <c r="B283" t="s">
        <v>461</v>
      </c>
      <c r="C283" t="s">
        <v>43</v>
      </c>
      <c r="D283" t="s">
        <v>490</v>
      </c>
      <c r="E283" t="s">
        <v>91</v>
      </c>
      <c r="F283" t="s">
        <v>46</v>
      </c>
      <c r="G283" t="s">
        <v>369</v>
      </c>
      <c r="H283">
        <v>79640</v>
      </c>
      <c r="I283">
        <f>Sales_Transactions_Raw[[#This Row],[Unit_Price]]*Sales_Transactions_Raw[[#This Row],[Quantity]]</f>
        <v>159280</v>
      </c>
      <c r="J283">
        <v>2</v>
      </c>
      <c r="K283">
        <v>10</v>
      </c>
      <c r="L283">
        <v>15928</v>
      </c>
      <c r="M283">
        <v>143352</v>
      </c>
      <c r="N283">
        <v>18</v>
      </c>
      <c r="O283">
        <v>25803.360000000001</v>
      </c>
      <c r="P283">
        <v>0</v>
      </c>
      <c r="Q283">
        <v>169155.36</v>
      </c>
      <c r="R283" t="s">
        <v>79</v>
      </c>
      <c r="S283" t="s">
        <v>107</v>
      </c>
      <c r="T283" t="s">
        <v>115</v>
      </c>
      <c r="U283" t="s">
        <v>161</v>
      </c>
      <c r="V283" t="s">
        <v>80</v>
      </c>
      <c r="W283" t="s">
        <v>81</v>
      </c>
      <c r="X283" t="s">
        <v>215</v>
      </c>
      <c r="Y283" t="s">
        <v>169</v>
      </c>
      <c r="Z283" t="s">
        <v>95</v>
      </c>
      <c r="AA283" t="s">
        <v>1217</v>
      </c>
      <c r="AB283" t="s">
        <v>3340</v>
      </c>
      <c r="AC283">
        <v>4</v>
      </c>
      <c r="AD283" t="s">
        <v>56</v>
      </c>
      <c r="AE283" t="s">
        <v>3336</v>
      </c>
      <c r="AF283" t="s">
        <v>153</v>
      </c>
      <c r="AG283" t="s">
        <v>3337</v>
      </c>
      <c r="AH283" s="1">
        <v>44941</v>
      </c>
      <c r="AI283" s="1">
        <v>44942</v>
      </c>
      <c r="AJ283" s="1">
        <v>45173</v>
      </c>
      <c r="AK283" t="s">
        <v>3483</v>
      </c>
      <c r="AL283" t="s">
        <v>1216</v>
      </c>
    </row>
    <row r="284" spans="1:38" x14ac:dyDescent="0.35">
      <c r="A284" t="s">
        <v>1218</v>
      </c>
      <c r="B284" t="s">
        <v>409</v>
      </c>
      <c r="C284" t="s">
        <v>43</v>
      </c>
      <c r="D284" t="s">
        <v>90</v>
      </c>
      <c r="E284" t="s">
        <v>91</v>
      </c>
      <c r="F284" t="s">
        <v>46</v>
      </c>
      <c r="G284" t="s">
        <v>78</v>
      </c>
      <c r="H284">
        <v>97120</v>
      </c>
      <c r="I284">
        <f>Sales_Transactions_Raw[[#This Row],[Unit_Price]]*Sales_Transactions_Raw[[#This Row],[Quantity]]</f>
        <v>194240</v>
      </c>
      <c r="J284">
        <v>2</v>
      </c>
      <c r="K284">
        <v>5</v>
      </c>
      <c r="L284">
        <v>9712</v>
      </c>
      <c r="M284">
        <v>184528</v>
      </c>
      <c r="N284">
        <v>18</v>
      </c>
      <c r="O284">
        <v>33215.040000000001</v>
      </c>
      <c r="P284">
        <v>0</v>
      </c>
      <c r="Q284">
        <v>217743.04</v>
      </c>
      <c r="R284" t="s">
        <v>92</v>
      </c>
      <c r="S284" t="s">
        <v>93</v>
      </c>
      <c r="T284" t="s">
        <v>66</v>
      </c>
      <c r="U284" t="s">
        <v>196</v>
      </c>
      <c r="V284" t="s">
        <v>224</v>
      </c>
      <c r="W284" t="s">
        <v>95</v>
      </c>
      <c r="X284" t="s">
        <v>318</v>
      </c>
      <c r="Y284" t="s">
        <v>319</v>
      </c>
      <c r="Z284" t="s">
        <v>95</v>
      </c>
      <c r="AA284" t="s">
        <v>1220</v>
      </c>
      <c r="AB284" t="s">
        <v>3338</v>
      </c>
      <c r="AC284">
        <v>4</v>
      </c>
      <c r="AD284" t="s">
        <v>56</v>
      </c>
      <c r="AE284" t="s">
        <v>3336</v>
      </c>
      <c r="AF284" t="s">
        <v>84</v>
      </c>
      <c r="AG284" t="s">
        <v>58</v>
      </c>
      <c r="AH284" s="1">
        <v>45307</v>
      </c>
      <c r="AI284" s="1">
        <v>45313</v>
      </c>
      <c r="AJ284" s="1">
        <v>45323</v>
      </c>
      <c r="AK284" t="s">
        <v>3425</v>
      </c>
      <c r="AL284" t="s">
        <v>1219</v>
      </c>
    </row>
    <row r="285" spans="1:38" x14ac:dyDescent="0.35">
      <c r="A285" t="s">
        <v>1221</v>
      </c>
      <c r="B285" t="s">
        <v>832</v>
      </c>
      <c r="C285" t="s">
        <v>43</v>
      </c>
      <c r="D285" t="s">
        <v>375</v>
      </c>
      <c r="E285" t="s">
        <v>376</v>
      </c>
      <c r="F285" t="s">
        <v>146</v>
      </c>
      <c r="G285" t="s">
        <v>147</v>
      </c>
      <c r="H285">
        <v>9480</v>
      </c>
      <c r="I285">
        <f>Sales_Transactions_Raw[[#This Row],[Unit_Price]]*Sales_Transactions_Raw[[#This Row],[Quantity]]</f>
        <v>28440</v>
      </c>
      <c r="J285">
        <v>3</v>
      </c>
      <c r="K285">
        <v>5</v>
      </c>
      <c r="L285">
        <v>948</v>
      </c>
      <c r="M285">
        <v>18012</v>
      </c>
      <c r="N285">
        <v>12</v>
      </c>
      <c r="O285">
        <v>2161.44</v>
      </c>
      <c r="P285">
        <v>0</v>
      </c>
      <c r="Q285">
        <v>20173.439999999999</v>
      </c>
      <c r="R285" t="s">
        <v>160</v>
      </c>
      <c r="S285" t="s">
        <v>93</v>
      </c>
      <c r="T285" t="s">
        <v>213</v>
      </c>
      <c r="U285" t="s">
        <v>214</v>
      </c>
      <c r="V285" t="s">
        <v>80</v>
      </c>
      <c r="W285" t="s">
        <v>81</v>
      </c>
      <c r="X285" t="s">
        <v>411</v>
      </c>
      <c r="Y285" t="s">
        <v>151</v>
      </c>
      <c r="Z285" t="s">
        <v>81</v>
      </c>
      <c r="AA285" t="s">
        <v>1223</v>
      </c>
      <c r="AB285" t="s">
        <v>3335</v>
      </c>
      <c r="AC285">
        <v>3</v>
      </c>
      <c r="AD285" t="s">
        <v>179</v>
      </c>
      <c r="AE285" t="s">
        <v>3336</v>
      </c>
      <c r="AF285" t="s">
        <v>99</v>
      </c>
      <c r="AG285" t="s">
        <v>3342</v>
      </c>
      <c r="AH285" s="1">
        <v>45159</v>
      </c>
      <c r="AI285" s="1">
        <v>45165</v>
      </c>
      <c r="AJ285" s="1">
        <v>45172</v>
      </c>
      <c r="AK285" t="s">
        <v>3533</v>
      </c>
      <c r="AL285" t="s">
        <v>1222</v>
      </c>
    </row>
    <row r="286" spans="1:38" x14ac:dyDescent="0.35">
      <c r="A286" t="s">
        <v>1224</v>
      </c>
      <c r="B286" t="s">
        <v>1225</v>
      </c>
      <c r="C286" t="s">
        <v>157</v>
      </c>
      <c r="D286" t="s">
        <v>426</v>
      </c>
      <c r="E286" t="s">
        <v>427</v>
      </c>
      <c r="F286" t="s">
        <v>134</v>
      </c>
      <c r="G286" t="s">
        <v>305</v>
      </c>
      <c r="H286">
        <v>47320</v>
      </c>
      <c r="I286">
        <f>Sales_Transactions_Raw[[#This Row],[Unit_Price]]*Sales_Transactions_Raw[[#This Row],[Quantity]]</f>
        <v>141960</v>
      </c>
      <c r="J286">
        <v>3</v>
      </c>
      <c r="K286">
        <v>25</v>
      </c>
      <c r="L286">
        <v>35490</v>
      </c>
      <c r="M286">
        <v>106470</v>
      </c>
      <c r="N286">
        <v>5</v>
      </c>
      <c r="O286">
        <v>5323.5</v>
      </c>
      <c r="P286">
        <v>0</v>
      </c>
      <c r="Q286">
        <v>111793.5</v>
      </c>
      <c r="R286" t="s">
        <v>92</v>
      </c>
      <c r="S286" t="s">
        <v>65</v>
      </c>
      <c r="T286" t="s">
        <v>115</v>
      </c>
      <c r="U286" t="s">
        <v>196</v>
      </c>
      <c r="V286" t="s">
        <v>51</v>
      </c>
      <c r="W286" t="s">
        <v>52</v>
      </c>
      <c r="X286" t="s">
        <v>318</v>
      </c>
      <c r="Y286" t="s">
        <v>319</v>
      </c>
      <c r="Z286" t="s">
        <v>95</v>
      </c>
      <c r="AA286" t="s">
        <v>1227</v>
      </c>
      <c r="AB286" t="s">
        <v>3335</v>
      </c>
      <c r="AC286">
        <v>5</v>
      </c>
      <c r="AD286" t="s">
        <v>56</v>
      </c>
      <c r="AE286" t="s">
        <v>3336</v>
      </c>
      <c r="AF286" t="s">
        <v>227</v>
      </c>
      <c r="AG286" t="s">
        <v>58</v>
      </c>
      <c r="AH286" s="1">
        <v>45238</v>
      </c>
      <c r="AI286" s="1">
        <v>45242</v>
      </c>
      <c r="AJ286" s="1">
        <v>45251</v>
      </c>
      <c r="AK286" t="s">
        <v>3534</v>
      </c>
      <c r="AL286" t="s">
        <v>1226</v>
      </c>
    </row>
    <row r="287" spans="1:38" x14ac:dyDescent="0.35">
      <c r="A287" t="s">
        <v>1228</v>
      </c>
      <c r="B287" t="s">
        <v>753</v>
      </c>
      <c r="C287" t="s">
        <v>43</v>
      </c>
      <c r="D287" t="s">
        <v>867</v>
      </c>
      <c r="E287" t="s">
        <v>868</v>
      </c>
      <c r="F287" t="s">
        <v>285</v>
      </c>
      <c r="G287" t="s">
        <v>869</v>
      </c>
      <c r="H287">
        <v>180</v>
      </c>
      <c r="I287">
        <f>Sales_Transactions_Raw[[#This Row],[Unit_Price]]*Sales_Transactions_Raw[[#This Row],[Quantity]]</f>
        <v>180</v>
      </c>
      <c r="J287">
        <v>1</v>
      </c>
      <c r="K287">
        <v>15</v>
      </c>
      <c r="L287">
        <v>27</v>
      </c>
      <c r="M287">
        <v>153</v>
      </c>
      <c r="N287">
        <v>5</v>
      </c>
      <c r="O287">
        <v>7.65</v>
      </c>
      <c r="P287">
        <v>49</v>
      </c>
      <c r="Q287">
        <v>160.65</v>
      </c>
      <c r="R287" t="s">
        <v>79</v>
      </c>
      <c r="S287" t="s">
        <v>107</v>
      </c>
      <c r="T287" t="s">
        <v>115</v>
      </c>
      <c r="U287" t="s">
        <v>161</v>
      </c>
      <c r="V287" t="s">
        <v>94</v>
      </c>
      <c r="W287" t="s">
        <v>95</v>
      </c>
      <c r="X287" t="s">
        <v>137</v>
      </c>
      <c r="Y287" t="s">
        <v>138</v>
      </c>
      <c r="Z287" t="s">
        <v>81</v>
      </c>
      <c r="AA287" t="s">
        <v>1230</v>
      </c>
      <c r="AB287" t="s">
        <v>3343</v>
      </c>
      <c r="AC287">
        <v>5</v>
      </c>
      <c r="AD287" t="s">
        <v>56</v>
      </c>
      <c r="AE287" t="s">
        <v>3336</v>
      </c>
      <c r="AF287" t="s">
        <v>217</v>
      </c>
      <c r="AG287" t="s">
        <v>3342</v>
      </c>
      <c r="AH287" s="1">
        <v>45382</v>
      </c>
      <c r="AI287" s="1">
        <v>45383</v>
      </c>
      <c r="AJ287" s="1">
        <v>45393</v>
      </c>
      <c r="AK287" t="s">
        <v>3535</v>
      </c>
      <c r="AL287" t="s">
        <v>1229</v>
      </c>
    </row>
    <row r="288" spans="1:38" x14ac:dyDescent="0.35">
      <c r="A288" t="s">
        <v>1231</v>
      </c>
      <c r="B288" t="s">
        <v>559</v>
      </c>
      <c r="C288" t="s">
        <v>43</v>
      </c>
      <c r="D288" t="s">
        <v>667</v>
      </c>
      <c r="E288" t="s">
        <v>668</v>
      </c>
      <c r="F288" t="s">
        <v>146</v>
      </c>
      <c r="G288" t="s">
        <v>195</v>
      </c>
      <c r="H288">
        <v>9290</v>
      </c>
      <c r="I288">
        <f>Sales_Transactions_Raw[[#This Row],[Unit_Price]]*Sales_Transactions_Raw[[#This Row],[Quantity]]</f>
        <v>18580</v>
      </c>
      <c r="J288">
        <v>2</v>
      </c>
      <c r="K288">
        <v>0</v>
      </c>
      <c r="L288">
        <v>0</v>
      </c>
      <c r="M288">
        <v>18580</v>
      </c>
      <c r="N288">
        <v>12</v>
      </c>
      <c r="O288">
        <v>2229.6</v>
      </c>
      <c r="P288">
        <v>0</v>
      </c>
      <c r="Q288">
        <v>20809.599999999999</v>
      </c>
      <c r="R288" t="s">
        <v>64</v>
      </c>
      <c r="S288" t="s">
        <v>125</v>
      </c>
      <c r="T288" t="s">
        <v>115</v>
      </c>
      <c r="U288" t="s">
        <v>161</v>
      </c>
      <c r="V288" t="s">
        <v>297</v>
      </c>
      <c r="W288" t="s">
        <v>52</v>
      </c>
      <c r="X288" t="s">
        <v>298</v>
      </c>
      <c r="Y288" t="s">
        <v>151</v>
      </c>
      <c r="Z288" t="s">
        <v>81</v>
      </c>
      <c r="AA288" t="s">
        <v>1233</v>
      </c>
      <c r="AB288" t="s">
        <v>3335</v>
      </c>
      <c r="AC288">
        <v>4</v>
      </c>
      <c r="AD288" t="s">
        <v>56</v>
      </c>
      <c r="AE288" t="s">
        <v>3336</v>
      </c>
      <c r="AF288" t="s">
        <v>72</v>
      </c>
      <c r="AG288" t="s">
        <v>3342</v>
      </c>
      <c r="AH288" s="1">
        <v>45035</v>
      </c>
      <c r="AI288" s="1">
        <v>45039</v>
      </c>
      <c r="AJ288" s="1">
        <v>45393</v>
      </c>
      <c r="AK288" t="s">
        <v>3536</v>
      </c>
      <c r="AL288" t="s">
        <v>1232</v>
      </c>
    </row>
    <row r="289" spans="1:38" x14ac:dyDescent="0.35">
      <c r="A289" t="s">
        <v>1234</v>
      </c>
      <c r="B289" t="s">
        <v>862</v>
      </c>
      <c r="C289" t="s">
        <v>157</v>
      </c>
      <c r="D289" t="s">
        <v>317</v>
      </c>
      <c r="E289" t="s">
        <v>77</v>
      </c>
      <c r="F289" t="s">
        <v>46</v>
      </c>
      <c r="G289" t="s">
        <v>176</v>
      </c>
      <c r="H289">
        <v>30630</v>
      </c>
      <c r="I289">
        <f>Sales_Transactions_Raw[[#This Row],[Unit_Price]]*Sales_Transactions_Raw[[#This Row],[Quantity]]</f>
        <v>61260</v>
      </c>
      <c r="J289">
        <v>2</v>
      </c>
      <c r="K289">
        <v>10</v>
      </c>
      <c r="L289">
        <v>6126</v>
      </c>
      <c r="M289">
        <v>55134</v>
      </c>
      <c r="N289">
        <v>18</v>
      </c>
      <c r="O289">
        <v>9924.1200000000008</v>
      </c>
      <c r="P289">
        <v>0</v>
      </c>
      <c r="Q289">
        <v>65058.12</v>
      </c>
      <c r="R289" t="s">
        <v>48</v>
      </c>
      <c r="S289" t="s">
        <v>49</v>
      </c>
      <c r="T289" t="s">
        <v>136</v>
      </c>
      <c r="U289" t="s">
        <v>50</v>
      </c>
      <c r="V289" t="s">
        <v>269</v>
      </c>
      <c r="W289" t="s">
        <v>70</v>
      </c>
      <c r="X289" t="s">
        <v>411</v>
      </c>
      <c r="Y289" t="s">
        <v>151</v>
      </c>
      <c r="Z289" t="s">
        <v>81</v>
      </c>
      <c r="AA289" t="s">
        <v>1236</v>
      </c>
      <c r="AB289" t="s">
        <v>3343</v>
      </c>
      <c r="AC289">
        <v>5</v>
      </c>
      <c r="AD289" t="s">
        <v>56</v>
      </c>
      <c r="AE289" t="s">
        <v>3336</v>
      </c>
      <c r="AF289" t="s">
        <v>279</v>
      </c>
      <c r="AG289" t="s">
        <v>3337</v>
      </c>
      <c r="AH289" s="1">
        <v>45416</v>
      </c>
      <c r="AI289" s="1">
        <v>45420</v>
      </c>
      <c r="AJ289" s="1">
        <v>45425</v>
      </c>
      <c r="AK289" t="s">
        <v>3478</v>
      </c>
      <c r="AL289" t="s">
        <v>1235</v>
      </c>
    </row>
    <row r="290" spans="1:38" x14ac:dyDescent="0.35">
      <c r="A290" t="s">
        <v>1237</v>
      </c>
      <c r="B290" t="s">
        <v>765</v>
      </c>
      <c r="C290" t="s">
        <v>43</v>
      </c>
      <c r="D290" t="s">
        <v>490</v>
      </c>
      <c r="E290" t="s">
        <v>91</v>
      </c>
      <c r="F290" t="s">
        <v>46</v>
      </c>
      <c r="G290" t="s">
        <v>369</v>
      </c>
      <c r="H290">
        <v>72330</v>
      </c>
      <c r="I290">
        <f>Sales_Transactions_Raw[[#This Row],[Unit_Price]]*Sales_Transactions_Raw[[#This Row],[Quantity]]</f>
        <v>72330</v>
      </c>
      <c r="J290">
        <v>1</v>
      </c>
      <c r="K290">
        <v>0</v>
      </c>
      <c r="L290">
        <v>0</v>
      </c>
      <c r="M290">
        <v>72330</v>
      </c>
      <c r="N290">
        <v>18</v>
      </c>
      <c r="O290">
        <v>13019.4</v>
      </c>
      <c r="P290">
        <v>0</v>
      </c>
      <c r="Q290">
        <v>85349.4</v>
      </c>
      <c r="R290" t="s">
        <v>92</v>
      </c>
      <c r="S290" t="s">
        <v>125</v>
      </c>
      <c r="T290" t="s">
        <v>66</v>
      </c>
      <c r="U290" t="s">
        <v>50</v>
      </c>
      <c r="V290" t="s">
        <v>116</v>
      </c>
      <c r="W290" t="s">
        <v>70</v>
      </c>
      <c r="X290" t="s">
        <v>397</v>
      </c>
      <c r="Y290" t="s">
        <v>226</v>
      </c>
      <c r="Z290" t="s">
        <v>95</v>
      </c>
      <c r="AA290" t="s">
        <v>1239</v>
      </c>
      <c r="AB290" t="s">
        <v>3335</v>
      </c>
      <c r="AC290">
        <v>3</v>
      </c>
      <c r="AD290" t="s">
        <v>56</v>
      </c>
      <c r="AE290" t="s">
        <v>3336</v>
      </c>
      <c r="AF290" t="s">
        <v>227</v>
      </c>
      <c r="AG290" t="s">
        <v>58</v>
      </c>
      <c r="AH290" s="1">
        <v>45013</v>
      </c>
      <c r="AI290" s="1">
        <v>45019</v>
      </c>
      <c r="AJ290" s="1">
        <v>45023</v>
      </c>
      <c r="AK290" t="s">
        <v>3537</v>
      </c>
      <c r="AL290" t="s">
        <v>1238</v>
      </c>
    </row>
    <row r="291" spans="1:38" x14ac:dyDescent="0.35">
      <c r="A291" t="s">
        <v>1240</v>
      </c>
      <c r="B291" t="s">
        <v>781</v>
      </c>
      <c r="C291" t="s">
        <v>157</v>
      </c>
      <c r="D291" t="s">
        <v>449</v>
      </c>
      <c r="E291" t="s">
        <v>450</v>
      </c>
      <c r="F291" t="s">
        <v>46</v>
      </c>
      <c r="G291" t="s">
        <v>78</v>
      </c>
      <c r="H291">
        <v>29347.846790890268</v>
      </c>
      <c r="I291">
        <f>Sales_Transactions_Raw[[#This Row],[Unit_Price]]*Sales_Transactions_Raw[[#This Row],[Quantity]]</f>
        <v>88043.540372670803</v>
      </c>
      <c r="J291">
        <v>3</v>
      </c>
      <c r="K291">
        <v>5</v>
      </c>
      <c r="L291">
        <v>6001.5</v>
      </c>
      <c r="M291">
        <v>114028.5</v>
      </c>
      <c r="N291">
        <v>18</v>
      </c>
      <c r="O291">
        <v>20525.13</v>
      </c>
      <c r="P291">
        <v>0</v>
      </c>
      <c r="Q291">
        <v>134553.63</v>
      </c>
      <c r="R291" t="s">
        <v>79</v>
      </c>
      <c r="S291" t="s">
        <v>125</v>
      </c>
      <c r="T291" t="s">
        <v>115</v>
      </c>
      <c r="U291" t="s">
        <v>214</v>
      </c>
      <c r="V291" t="s">
        <v>149</v>
      </c>
      <c r="W291" t="s">
        <v>81</v>
      </c>
      <c r="X291" t="s">
        <v>187</v>
      </c>
      <c r="Y291" t="s">
        <v>188</v>
      </c>
      <c r="Z291" t="s">
        <v>68</v>
      </c>
      <c r="AA291" t="s">
        <v>1242</v>
      </c>
      <c r="AB291" t="s">
        <v>3341</v>
      </c>
      <c r="AC291">
        <v>4</v>
      </c>
      <c r="AD291" t="s">
        <v>56</v>
      </c>
      <c r="AE291" t="s">
        <v>3336</v>
      </c>
      <c r="AF291" t="s">
        <v>164</v>
      </c>
      <c r="AG291" t="s">
        <v>58</v>
      </c>
      <c r="AH291" s="1">
        <v>45229</v>
      </c>
      <c r="AI291" s="1">
        <v>45231</v>
      </c>
      <c r="AJ291" s="1">
        <v>45238</v>
      </c>
      <c r="AK291" t="s">
        <v>3538</v>
      </c>
      <c r="AL291" t="s">
        <v>1241</v>
      </c>
    </row>
    <row r="292" spans="1:38" x14ac:dyDescent="0.35">
      <c r="A292" t="s">
        <v>1243</v>
      </c>
      <c r="B292" t="s">
        <v>101</v>
      </c>
      <c r="C292" t="s">
        <v>43</v>
      </c>
      <c r="D292" t="s">
        <v>432</v>
      </c>
      <c r="E292" t="s">
        <v>433</v>
      </c>
      <c r="F292" t="s">
        <v>146</v>
      </c>
      <c r="G292" t="s">
        <v>296</v>
      </c>
      <c r="H292">
        <v>29347.846790890268</v>
      </c>
      <c r="I292">
        <f>Sales_Transactions_Raw[[#This Row],[Unit_Price]]*Sales_Transactions_Raw[[#This Row],[Quantity]]</f>
        <v>58695.693581780535</v>
      </c>
      <c r="J292">
        <v>2</v>
      </c>
      <c r="K292">
        <v>0</v>
      </c>
      <c r="L292">
        <v>0</v>
      </c>
      <c r="M292">
        <v>10480</v>
      </c>
      <c r="N292">
        <v>12</v>
      </c>
      <c r="O292">
        <v>1257.5999999999999</v>
      </c>
      <c r="P292">
        <v>0</v>
      </c>
      <c r="Q292">
        <v>11737.6</v>
      </c>
      <c r="R292" t="s">
        <v>92</v>
      </c>
      <c r="S292" t="s">
        <v>65</v>
      </c>
      <c r="T292" t="s">
        <v>148</v>
      </c>
      <c r="U292" t="s">
        <v>50</v>
      </c>
      <c r="V292" t="s">
        <v>276</v>
      </c>
      <c r="W292" t="s">
        <v>95</v>
      </c>
      <c r="X292" t="s">
        <v>225</v>
      </c>
      <c r="Y292" t="s">
        <v>226</v>
      </c>
      <c r="Z292" t="s">
        <v>95</v>
      </c>
      <c r="AA292" t="s">
        <v>1245</v>
      </c>
      <c r="AB292" t="s">
        <v>3335</v>
      </c>
      <c r="AC292">
        <v>1</v>
      </c>
      <c r="AD292" t="s">
        <v>56</v>
      </c>
      <c r="AE292" t="s">
        <v>3336</v>
      </c>
      <c r="AF292" t="s">
        <v>57</v>
      </c>
      <c r="AG292" t="s">
        <v>3337</v>
      </c>
      <c r="AH292" s="1">
        <v>45247</v>
      </c>
      <c r="AI292" s="1">
        <v>45248</v>
      </c>
      <c r="AJ292" s="1">
        <v>45252</v>
      </c>
      <c r="AK292" t="s">
        <v>3539</v>
      </c>
      <c r="AL292" t="s">
        <v>1244</v>
      </c>
    </row>
    <row r="293" spans="1:38" x14ac:dyDescent="0.35">
      <c r="A293" t="s">
        <v>1246</v>
      </c>
      <c r="B293" t="s">
        <v>533</v>
      </c>
      <c r="C293" t="s">
        <v>43</v>
      </c>
      <c r="D293" t="s">
        <v>103</v>
      </c>
      <c r="E293" t="s">
        <v>104</v>
      </c>
      <c r="F293" t="s">
        <v>46</v>
      </c>
      <c r="G293" t="s">
        <v>105</v>
      </c>
      <c r="H293">
        <v>35950</v>
      </c>
      <c r="I293">
        <f>Sales_Transactions_Raw[[#This Row],[Unit_Price]]*Sales_Transactions_Raw[[#This Row],[Quantity]]</f>
        <v>35950</v>
      </c>
      <c r="J293">
        <v>1</v>
      </c>
      <c r="K293">
        <v>5</v>
      </c>
      <c r="L293">
        <v>1797.5</v>
      </c>
      <c r="M293">
        <v>34152.5</v>
      </c>
      <c r="N293">
        <v>18</v>
      </c>
      <c r="O293">
        <v>6147.45</v>
      </c>
      <c r="P293">
        <v>0</v>
      </c>
      <c r="Q293">
        <v>40299.949999999997</v>
      </c>
      <c r="R293" t="s">
        <v>106</v>
      </c>
      <c r="S293" t="s">
        <v>93</v>
      </c>
      <c r="T293" t="s">
        <v>148</v>
      </c>
      <c r="U293" t="s">
        <v>161</v>
      </c>
      <c r="V293" t="s">
        <v>242</v>
      </c>
      <c r="W293" t="s">
        <v>70</v>
      </c>
      <c r="X293" t="s">
        <v>474</v>
      </c>
      <c r="Y293" t="s">
        <v>169</v>
      </c>
      <c r="Z293" t="s">
        <v>95</v>
      </c>
      <c r="AA293" t="s">
        <v>1248</v>
      </c>
      <c r="AB293" t="s">
        <v>3341</v>
      </c>
      <c r="AC293">
        <v>4</v>
      </c>
      <c r="AD293" t="s">
        <v>56</v>
      </c>
      <c r="AE293" t="s">
        <v>3336</v>
      </c>
      <c r="AF293" t="s">
        <v>140</v>
      </c>
      <c r="AG293" t="s">
        <v>85</v>
      </c>
      <c r="AH293" s="1">
        <v>45096</v>
      </c>
      <c r="AI293" s="1">
        <v>45098</v>
      </c>
      <c r="AJ293" s="1">
        <v>45103</v>
      </c>
      <c r="AK293" t="s">
        <v>3540</v>
      </c>
      <c r="AL293" t="s">
        <v>1247</v>
      </c>
    </row>
    <row r="294" spans="1:38" x14ac:dyDescent="0.35">
      <c r="A294" t="s">
        <v>1249</v>
      </c>
      <c r="B294" t="s">
        <v>765</v>
      </c>
      <c r="C294" t="s">
        <v>43</v>
      </c>
      <c r="D294" t="s">
        <v>432</v>
      </c>
      <c r="E294" t="s">
        <v>433</v>
      </c>
      <c r="F294" t="s">
        <v>146</v>
      </c>
      <c r="G294" t="s">
        <v>296</v>
      </c>
      <c r="H294">
        <v>4910</v>
      </c>
      <c r="I294">
        <f>Sales_Transactions_Raw[[#This Row],[Unit_Price]]*Sales_Transactions_Raw[[#This Row],[Quantity]]</f>
        <v>24550</v>
      </c>
      <c r="J294">
        <v>5</v>
      </c>
      <c r="K294">
        <v>5</v>
      </c>
      <c r="L294">
        <v>1227.5</v>
      </c>
      <c r="M294">
        <v>23322.5</v>
      </c>
      <c r="N294">
        <v>12</v>
      </c>
      <c r="O294">
        <v>2798.7</v>
      </c>
      <c r="P294">
        <v>0</v>
      </c>
      <c r="Q294">
        <v>26121.200000000001</v>
      </c>
      <c r="R294" t="s">
        <v>124</v>
      </c>
      <c r="S294" t="s">
        <v>93</v>
      </c>
      <c r="T294" t="s">
        <v>115</v>
      </c>
      <c r="U294" t="s">
        <v>161</v>
      </c>
      <c r="V294" t="s">
        <v>224</v>
      </c>
      <c r="W294" t="s">
        <v>95</v>
      </c>
      <c r="X294" t="s">
        <v>137</v>
      </c>
      <c r="Y294" t="s">
        <v>138</v>
      </c>
      <c r="Z294" t="s">
        <v>81</v>
      </c>
      <c r="AA294" t="s">
        <v>1251</v>
      </c>
      <c r="AB294" t="s">
        <v>3335</v>
      </c>
      <c r="AC294">
        <v>4</v>
      </c>
      <c r="AD294" t="s">
        <v>56</v>
      </c>
      <c r="AE294" t="s">
        <v>3336</v>
      </c>
      <c r="AF294" t="s">
        <v>164</v>
      </c>
      <c r="AG294" t="s">
        <v>58</v>
      </c>
      <c r="AH294" s="1">
        <v>45176</v>
      </c>
      <c r="AI294" s="1">
        <v>45182</v>
      </c>
      <c r="AJ294" s="1">
        <v>45185</v>
      </c>
      <c r="AK294" t="s">
        <v>3541</v>
      </c>
      <c r="AL294" t="s">
        <v>1250</v>
      </c>
    </row>
    <row r="295" spans="1:38" x14ac:dyDescent="0.35">
      <c r="A295" t="s">
        <v>1252</v>
      </c>
      <c r="B295" t="s">
        <v>948</v>
      </c>
      <c r="C295" t="s">
        <v>43</v>
      </c>
      <c r="D295" t="s">
        <v>402</v>
      </c>
      <c r="E295" t="s">
        <v>403</v>
      </c>
      <c r="F295" t="s">
        <v>146</v>
      </c>
      <c r="G295" t="s">
        <v>223</v>
      </c>
      <c r="H295">
        <v>1890</v>
      </c>
      <c r="I295">
        <f>Sales_Transactions_Raw[[#This Row],[Unit_Price]]*Sales_Transactions_Raw[[#This Row],[Quantity]]</f>
        <v>3780</v>
      </c>
      <c r="J295">
        <v>2</v>
      </c>
      <c r="K295">
        <v>0</v>
      </c>
      <c r="L295">
        <v>0</v>
      </c>
      <c r="M295">
        <v>3780</v>
      </c>
      <c r="N295">
        <v>12</v>
      </c>
      <c r="O295">
        <v>453.6</v>
      </c>
      <c r="P295">
        <v>79</v>
      </c>
      <c r="Q295">
        <v>4233.6000000000004</v>
      </c>
      <c r="R295" t="s">
        <v>79</v>
      </c>
      <c r="S295" t="s">
        <v>65</v>
      </c>
      <c r="T295" t="s">
        <v>66</v>
      </c>
      <c r="U295" t="s">
        <v>108</v>
      </c>
      <c r="V295" t="s">
        <v>197</v>
      </c>
      <c r="W295" t="s">
        <v>68</v>
      </c>
      <c r="X295" t="s">
        <v>232</v>
      </c>
      <c r="Y295" t="s">
        <v>82</v>
      </c>
      <c r="Z295" t="s">
        <v>52</v>
      </c>
      <c r="AA295" t="s">
        <v>1254</v>
      </c>
      <c r="AB295" t="s">
        <v>3338</v>
      </c>
      <c r="AC295">
        <v>5</v>
      </c>
      <c r="AD295" t="s">
        <v>56</v>
      </c>
      <c r="AE295" t="s">
        <v>3336</v>
      </c>
      <c r="AF295" t="s">
        <v>279</v>
      </c>
      <c r="AG295" t="s">
        <v>85</v>
      </c>
      <c r="AH295" s="1">
        <v>45107</v>
      </c>
      <c r="AI295" s="1">
        <v>45110</v>
      </c>
      <c r="AJ295" s="1">
        <v>45120</v>
      </c>
      <c r="AK295" t="s">
        <v>3491</v>
      </c>
      <c r="AL295" t="s">
        <v>1253</v>
      </c>
    </row>
    <row r="296" spans="1:38" x14ac:dyDescent="0.35">
      <c r="A296" t="s">
        <v>1255</v>
      </c>
      <c r="B296" t="s">
        <v>549</v>
      </c>
      <c r="C296" t="s">
        <v>43</v>
      </c>
      <c r="D296" t="s">
        <v>406</v>
      </c>
      <c r="E296" t="s">
        <v>231</v>
      </c>
      <c r="F296" t="s">
        <v>46</v>
      </c>
      <c r="G296" t="s">
        <v>369</v>
      </c>
      <c r="H296">
        <v>90600</v>
      </c>
      <c r="I296">
        <f>Sales_Transactions_Raw[[#This Row],[Unit_Price]]*Sales_Transactions_Raw[[#This Row],[Quantity]]</f>
        <v>181200</v>
      </c>
      <c r="J296">
        <v>2</v>
      </c>
      <c r="K296">
        <v>5</v>
      </c>
      <c r="L296">
        <v>9060</v>
      </c>
      <c r="M296">
        <v>172140</v>
      </c>
      <c r="N296">
        <v>18</v>
      </c>
      <c r="O296">
        <v>30985.200000000001</v>
      </c>
      <c r="P296">
        <v>0</v>
      </c>
      <c r="Q296">
        <v>203125.2</v>
      </c>
      <c r="R296" t="s">
        <v>64</v>
      </c>
      <c r="S296" t="s">
        <v>107</v>
      </c>
      <c r="T296" t="s">
        <v>115</v>
      </c>
      <c r="U296" t="s">
        <v>196</v>
      </c>
      <c r="V296" t="s">
        <v>269</v>
      </c>
      <c r="W296" t="s">
        <v>70</v>
      </c>
      <c r="X296" t="s">
        <v>306</v>
      </c>
      <c r="Y296" t="s">
        <v>97</v>
      </c>
      <c r="Z296" t="s">
        <v>95</v>
      </c>
      <c r="AA296" t="s">
        <v>1257</v>
      </c>
      <c r="AB296" t="s">
        <v>3335</v>
      </c>
      <c r="AC296">
        <v>4</v>
      </c>
      <c r="AD296" t="s">
        <v>56</v>
      </c>
      <c r="AE296" t="s">
        <v>3336</v>
      </c>
      <c r="AF296" t="s">
        <v>72</v>
      </c>
      <c r="AG296" t="s">
        <v>58</v>
      </c>
      <c r="AH296" s="1">
        <v>45468</v>
      </c>
      <c r="AI296" s="1">
        <v>45475</v>
      </c>
      <c r="AJ296" s="1">
        <v>45484</v>
      </c>
      <c r="AK296" t="s">
        <v>3542</v>
      </c>
      <c r="AL296" t="s">
        <v>1256</v>
      </c>
    </row>
    <row r="297" spans="1:38" x14ac:dyDescent="0.35">
      <c r="A297" t="s">
        <v>1258</v>
      </c>
      <c r="B297" t="s">
        <v>832</v>
      </c>
      <c r="C297" t="s">
        <v>43</v>
      </c>
      <c r="D297" t="s">
        <v>193</v>
      </c>
      <c r="E297" t="s">
        <v>194</v>
      </c>
      <c r="F297" t="s">
        <v>146</v>
      </c>
      <c r="G297" t="s">
        <v>195</v>
      </c>
      <c r="H297">
        <v>2970</v>
      </c>
      <c r="I297">
        <f>Sales_Transactions_Raw[[#This Row],[Unit_Price]]*Sales_Transactions_Raw[[#This Row],[Quantity]]</f>
        <v>5940</v>
      </c>
      <c r="J297">
        <v>2</v>
      </c>
      <c r="K297">
        <v>20</v>
      </c>
      <c r="L297">
        <v>1188</v>
      </c>
      <c r="M297">
        <v>4752</v>
      </c>
      <c r="N297">
        <v>12</v>
      </c>
      <c r="O297">
        <v>570.24</v>
      </c>
      <c r="P297">
        <v>0</v>
      </c>
      <c r="Q297">
        <v>5322.24</v>
      </c>
      <c r="R297" t="s">
        <v>79</v>
      </c>
      <c r="S297" t="s">
        <v>125</v>
      </c>
      <c r="T297" t="s">
        <v>213</v>
      </c>
      <c r="U297" t="s">
        <v>196</v>
      </c>
      <c r="V297" t="s">
        <v>269</v>
      </c>
      <c r="W297" t="s">
        <v>70</v>
      </c>
      <c r="X297" t="s">
        <v>357</v>
      </c>
      <c r="Y297" t="s">
        <v>358</v>
      </c>
      <c r="Z297" t="s">
        <v>95</v>
      </c>
      <c r="AA297" t="s">
        <v>1260</v>
      </c>
      <c r="AB297" t="s">
        <v>3339</v>
      </c>
      <c r="AC297">
        <v>3</v>
      </c>
      <c r="AD297" t="s">
        <v>179</v>
      </c>
      <c r="AE297" t="s">
        <v>3336</v>
      </c>
      <c r="AF297" t="s">
        <v>326</v>
      </c>
      <c r="AG297" t="s">
        <v>58</v>
      </c>
      <c r="AH297" s="1">
        <v>45403</v>
      </c>
      <c r="AI297" s="1">
        <v>45406</v>
      </c>
      <c r="AJ297" s="1">
        <v>45411</v>
      </c>
      <c r="AK297" t="s">
        <v>3543</v>
      </c>
      <c r="AL297" t="s">
        <v>1259</v>
      </c>
    </row>
    <row r="298" spans="1:38" x14ac:dyDescent="0.35">
      <c r="A298" t="s">
        <v>1261</v>
      </c>
      <c r="B298" t="s">
        <v>680</v>
      </c>
      <c r="C298" t="s">
        <v>43</v>
      </c>
      <c r="D298" t="s">
        <v>335</v>
      </c>
      <c r="E298" t="s">
        <v>336</v>
      </c>
      <c r="F298" t="s">
        <v>134</v>
      </c>
      <c r="G298" t="s">
        <v>135</v>
      </c>
      <c r="H298">
        <v>29347.846790890268</v>
      </c>
      <c r="I298">
        <f>Sales_Transactions_Raw[[#This Row],[Unit_Price]]*Sales_Transactions_Raw[[#This Row],[Quantity]]</f>
        <v>88043.540372670803</v>
      </c>
      <c r="J298">
        <v>3</v>
      </c>
      <c r="K298">
        <v>25</v>
      </c>
      <c r="L298">
        <v>6982.5</v>
      </c>
      <c r="M298">
        <v>20947.5</v>
      </c>
      <c r="N298">
        <v>5</v>
      </c>
      <c r="O298">
        <v>1047.3800000000001</v>
      </c>
      <c r="P298">
        <v>0</v>
      </c>
      <c r="Q298">
        <v>21994.880000000001</v>
      </c>
      <c r="R298" t="s">
        <v>124</v>
      </c>
      <c r="S298" t="s">
        <v>125</v>
      </c>
      <c r="T298" t="s">
        <v>213</v>
      </c>
      <c r="U298" t="s">
        <v>161</v>
      </c>
      <c r="V298" t="s">
        <v>94</v>
      </c>
      <c r="W298" t="s">
        <v>95</v>
      </c>
      <c r="X298" t="s">
        <v>277</v>
      </c>
      <c r="Y298" t="s">
        <v>127</v>
      </c>
      <c r="Z298" t="s">
        <v>68</v>
      </c>
      <c r="AA298" t="s">
        <v>1263</v>
      </c>
      <c r="AB298" t="s">
        <v>3335</v>
      </c>
      <c r="AC298">
        <v>1</v>
      </c>
      <c r="AD298" t="s">
        <v>179</v>
      </c>
      <c r="AE298" t="s">
        <v>3336</v>
      </c>
      <c r="AF298" t="s">
        <v>326</v>
      </c>
      <c r="AG298" t="s">
        <v>3337</v>
      </c>
      <c r="AH298" s="1">
        <v>44964</v>
      </c>
      <c r="AI298" s="1">
        <v>44970</v>
      </c>
      <c r="AJ298" s="1">
        <v>44980</v>
      </c>
      <c r="AK298" t="s">
        <v>3544</v>
      </c>
      <c r="AL298" t="s">
        <v>1262</v>
      </c>
    </row>
    <row r="299" spans="1:38" x14ac:dyDescent="0.35">
      <c r="A299" t="s">
        <v>1264</v>
      </c>
      <c r="B299" t="s">
        <v>343</v>
      </c>
      <c r="C299" t="s">
        <v>89</v>
      </c>
      <c r="D299" t="s">
        <v>375</v>
      </c>
      <c r="E299" t="s">
        <v>376</v>
      </c>
      <c r="F299" t="s">
        <v>146</v>
      </c>
      <c r="G299" t="s">
        <v>147</v>
      </c>
      <c r="H299">
        <v>9480</v>
      </c>
      <c r="I299">
        <f>Sales_Transactions_Raw[[#This Row],[Unit_Price]]*Sales_Transactions_Raw[[#This Row],[Quantity]]</f>
        <v>37920</v>
      </c>
      <c r="J299">
        <v>4</v>
      </c>
      <c r="K299">
        <v>10</v>
      </c>
      <c r="L299">
        <v>3792</v>
      </c>
      <c r="M299">
        <v>34128</v>
      </c>
      <c r="N299">
        <v>12</v>
      </c>
      <c r="O299">
        <v>4095.36</v>
      </c>
      <c r="P299">
        <v>0</v>
      </c>
      <c r="Q299">
        <v>38223.360000000001</v>
      </c>
      <c r="R299" t="s">
        <v>106</v>
      </c>
      <c r="S299" t="s">
        <v>107</v>
      </c>
      <c r="T299" t="s">
        <v>66</v>
      </c>
      <c r="U299" t="s">
        <v>214</v>
      </c>
      <c r="V299" t="s">
        <v>67</v>
      </c>
      <c r="W299" t="s">
        <v>68</v>
      </c>
      <c r="X299" t="s">
        <v>198</v>
      </c>
      <c r="Y299" t="s">
        <v>199</v>
      </c>
      <c r="Z299" t="s">
        <v>52</v>
      </c>
      <c r="AA299" t="s">
        <v>1266</v>
      </c>
      <c r="AB299" t="s">
        <v>3341</v>
      </c>
      <c r="AC299">
        <v>5</v>
      </c>
      <c r="AD299" t="s">
        <v>56</v>
      </c>
      <c r="AE299" t="s">
        <v>3336</v>
      </c>
      <c r="AF299" t="s">
        <v>262</v>
      </c>
      <c r="AG299" t="s">
        <v>3342</v>
      </c>
      <c r="AH299" s="1">
        <v>45265</v>
      </c>
      <c r="AI299" s="1">
        <v>45271</v>
      </c>
      <c r="AJ299" s="1">
        <v>45278</v>
      </c>
      <c r="AK299" t="s">
        <v>3545</v>
      </c>
      <c r="AL299" t="s">
        <v>1265</v>
      </c>
    </row>
    <row r="300" spans="1:38" x14ac:dyDescent="0.35">
      <c r="A300" t="s">
        <v>1267</v>
      </c>
      <c r="B300" t="s">
        <v>315</v>
      </c>
      <c r="C300" t="s">
        <v>43</v>
      </c>
      <c r="D300" t="s">
        <v>490</v>
      </c>
      <c r="E300" t="s">
        <v>91</v>
      </c>
      <c r="F300" t="s">
        <v>46</v>
      </c>
      <c r="G300" t="s">
        <v>369</v>
      </c>
      <c r="H300">
        <v>80130</v>
      </c>
      <c r="I300">
        <f>Sales_Transactions_Raw[[#This Row],[Unit_Price]]*Sales_Transactions_Raw[[#This Row],[Quantity]]</f>
        <v>1602600</v>
      </c>
      <c r="J300">
        <v>20</v>
      </c>
      <c r="K300">
        <v>5</v>
      </c>
      <c r="L300">
        <v>80130</v>
      </c>
      <c r="M300">
        <v>1522470</v>
      </c>
      <c r="N300">
        <v>18</v>
      </c>
      <c r="O300">
        <v>274044.59999999998</v>
      </c>
      <c r="P300">
        <v>0</v>
      </c>
      <c r="Q300">
        <v>1796514.6</v>
      </c>
      <c r="R300" t="s">
        <v>124</v>
      </c>
      <c r="S300" t="s">
        <v>49</v>
      </c>
      <c r="T300" t="s">
        <v>115</v>
      </c>
      <c r="U300" t="s">
        <v>196</v>
      </c>
      <c r="V300" t="s">
        <v>297</v>
      </c>
      <c r="W300" t="s">
        <v>52</v>
      </c>
      <c r="X300" t="s">
        <v>422</v>
      </c>
      <c r="Y300" t="s">
        <v>319</v>
      </c>
      <c r="Z300" t="s">
        <v>95</v>
      </c>
      <c r="AA300" t="s">
        <v>1269</v>
      </c>
      <c r="AB300" t="s">
        <v>3341</v>
      </c>
      <c r="AC300">
        <v>4</v>
      </c>
      <c r="AD300" t="s">
        <v>56</v>
      </c>
      <c r="AE300" t="s">
        <v>3336</v>
      </c>
      <c r="AF300" t="s">
        <v>262</v>
      </c>
      <c r="AG300" t="s">
        <v>3337</v>
      </c>
      <c r="AH300" s="1">
        <v>45048</v>
      </c>
      <c r="AI300" s="1">
        <v>45051</v>
      </c>
      <c r="AJ300" s="1">
        <v>45056</v>
      </c>
      <c r="AK300" t="s">
        <v>3373</v>
      </c>
      <c r="AL300" t="s">
        <v>1268</v>
      </c>
    </row>
    <row r="301" spans="1:38" x14ac:dyDescent="0.35">
      <c r="A301" t="s">
        <v>1270</v>
      </c>
      <c r="B301" t="s">
        <v>101</v>
      </c>
      <c r="C301" t="s">
        <v>43</v>
      </c>
      <c r="D301" t="s">
        <v>44</v>
      </c>
      <c r="E301" t="s">
        <v>45</v>
      </c>
      <c r="F301" t="s">
        <v>46</v>
      </c>
      <c r="G301" t="s">
        <v>47</v>
      </c>
      <c r="H301">
        <v>13200</v>
      </c>
      <c r="I301">
        <f>Sales_Transactions_Raw[[#This Row],[Unit_Price]]*Sales_Transactions_Raw[[#This Row],[Quantity]]</f>
        <v>26400</v>
      </c>
      <c r="J301">
        <v>2</v>
      </c>
      <c r="K301">
        <v>0</v>
      </c>
      <c r="L301">
        <v>0</v>
      </c>
      <c r="M301">
        <v>26400</v>
      </c>
      <c r="N301">
        <v>18</v>
      </c>
      <c r="O301">
        <v>4752</v>
      </c>
      <c r="P301">
        <v>0</v>
      </c>
      <c r="Q301">
        <v>31152</v>
      </c>
      <c r="R301" t="s">
        <v>160</v>
      </c>
      <c r="S301" t="s">
        <v>65</v>
      </c>
      <c r="T301" t="s">
        <v>136</v>
      </c>
      <c r="U301" t="s">
        <v>161</v>
      </c>
      <c r="V301" t="s">
        <v>177</v>
      </c>
      <c r="W301" t="s">
        <v>81</v>
      </c>
      <c r="X301" t="s">
        <v>556</v>
      </c>
      <c r="Y301" t="s">
        <v>481</v>
      </c>
      <c r="Z301" t="s">
        <v>52</v>
      </c>
      <c r="AA301" t="s">
        <v>1272</v>
      </c>
      <c r="AB301" t="s">
        <v>3335</v>
      </c>
      <c r="AC301">
        <v>4</v>
      </c>
      <c r="AD301" t="s">
        <v>56</v>
      </c>
      <c r="AE301" t="s">
        <v>3336</v>
      </c>
      <c r="AF301" t="s">
        <v>217</v>
      </c>
      <c r="AG301" t="s">
        <v>3342</v>
      </c>
      <c r="AH301" s="1">
        <v>45465</v>
      </c>
      <c r="AI301" s="1">
        <v>45466</v>
      </c>
      <c r="AJ301" s="1">
        <v>45472</v>
      </c>
      <c r="AK301" t="s">
        <v>3349</v>
      </c>
      <c r="AL301" t="s">
        <v>1271</v>
      </c>
    </row>
    <row r="302" spans="1:38" x14ac:dyDescent="0.35">
      <c r="A302" t="s">
        <v>1273</v>
      </c>
      <c r="B302" t="s">
        <v>1000</v>
      </c>
      <c r="C302" t="s">
        <v>157</v>
      </c>
      <c r="D302" t="s">
        <v>274</v>
      </c>
      <c r="E302" t="s">
        <v>275</v>
      </c>
      <c r="F302" t="s">
        <v>211</v>
      </c>
      <c r="G302" t="s">
        <v>268</v>
      </c>
      <c r="H302">
        <v>14670</v>
      </c>
      <c r="I302">
        <f>Sales_Transactions_Raw[[#This Row],[Unit_Price]]*Sales_Transactions_Raw[[#This Row],[Quantity]]</f>
        <v>58680</v>
      </c>
      <c r="J302">
        <v>4</v>
      </c>
      <c r="K302">
        <v>5</v>
      </c>
      <c r="L302">
        <v>2934</v>
      </c>
      <c r="M302">
        <v>55746</v>
      </c>
      <c r="N302">
        <v>5</v>
      </c>
      <c r="O302">
        <v>2787.3</v>
      </c>
      <c r="P302">
        <v>0</v>
      </c>
      <c r="Q302">
        <v>58533.3</v>
      </c>
      <c r="R302" t="s">
        <v>79</v>
      </c>
      <c r="S302" t="s">
        <v>65</v>
      </c>
      <c r="T302" t="s">
        <v>115</v>
      </c>
      <c r="U302" t="s">
        <v>196</v>
      </c>
      <c r="V302" t="s">
        <v>149</v>
      </c>
      <c r="W302" t="s">
        <v>81</v>
      </c>
      <c r="X302" t="s">
        <v>198</v>
      </c>
      <c r="Y302" t="s">
        <v>199</v>
      </c>
      <c r="Z302" t="s">
        <v>52</v>
      </c>
      <c r="AA302" t="s">
        <v>1275</v>
      </c>
      <c r="AB302" t="s">
        <v>3335</v>
      </c>
      <c r="AC302">
        <v>4</v>
      </c>
      <c r="AD302" t="s">
        <v>56</v>
      </c>
      <c r="AE302" t="s">
        <v>3336</v>
      </c>
      <c r="AF302" t="s">
        <v>262</v>
      </c>
      <c r="AG302" t="s">
        <v>58</v>
      </c>
      <c r="AH302" s="1">
        <v>45088</v>
      </c>
      <c r="AI302" s="1">
        <v>45271</v>
      </c>
      <c r="AJ302" s="1">
        <v>45247</v>
      </c>
      <c r="AK302" t="s">
        <v>3546</v>
      </c>
      <c r="AL302" t="s">
        <v>1274</v>
      </c>
    </row>
    <row r="303" spans="1:38" x14ac:dyDescent="0.35">
      <c r="A303" t="s">
        <v>1276</v>
      </c>
      <c r="B303" t="s">
        <v>617</v>
      </c>
      <c r="C303" t="s">
        <v>157</v>
      </c>
      <c r="D303" t="s">
        <v>391</v>
      </c>
      <c r="E303" t="s">
        <v>392</v>
      </c>
      <c r="F303" t="s">
        <v>46</v>
      </c>
      <c r="G303" t="s">
        <v>176</v>
      </c>
      <c r="H303">
        <v>10140</v>
      </c>
      <c r="I303">
        <f>Sales_Transactions_Raw[[#This Row],[Unit_Price]]*Sales_Transactions_Raw[[#This Row],[Quantity]]</f>
        <v>30420</v>
      </c>
      <c r="J303">
        <v>3</v>
      </c>
      <c r="K303">
        <v>20</v>
      </c>
      <c r="L303">
        <v>6084</v>
      </c>
      <c r="M303">
        <v>24336</v>
      </c>
      <c r="N303">
        <v>18</v>
      </c>
      <c r="O303">
        <v>4380.4799999999996</v>
      </c>
      <c r="P303">
        <v>0</v>
      </c>
      <c r="Q303">
        <v>28716.48</v>
      </c>
      <c r="R303" t="s">
        <v>106</v>
      </c>
      <c r="S303" t="s">
        <v>65</v>
      </c>
      <c r="T303" t="s">
        <v>115</v>
      </c>
      <c r="U303" t="s">
        <v>161</v>
      </c>
      <c r="V303" t="s">
        <v>297</v>
      </c>
      <c r="W303" t="s">
        <v>52</v>
      </c>
      <c r="X303" t="s">
        <v>362</v>
      </c>
      <c r="Y303" t="s">
        <v>118</v>
      </c>
      <c r="Z303" t="s">
        <v>70</v>
      </c>
      <c r="AA303" t="s">
        <v>1278</v>
      </c>
      <c r="AB303" t="s">
        <v>3335</v>
      </c>
      <c r="AC303">
        <v>4</v>
      </c>
      <c r="AD303" t="s">
        <v>56</v>
      </c>
      <c r="AE303" t="s">
        <v>3336</v>
      </c>
      <c r="AF303" t="s">
        <v>153</v>
      </c>
      <c r="AG303" t="s">
        <v>85</v>
      </c>
      <c r="AH303" s="1">
        <v>45444</v>
      </c>
      <c r="AI303" s="1">
        <v>45447</v>
      </c>
      <c r="AJ303" s="1">
        <v>45457</v>
      </c>
      <c r="AK303" t="s">
        <v>3424</v>
      </c>
      <c r="AL303" t="s">
        <v>1277</v>
      </c>
    </row>
    <row r="304" spans="1:38" x14ac:dyDescent="0.35">
      <c r="A304" t="s">
        <v>1279</v>
      </c>
      <c r="B304" t="s">
        <v>588</v>
      </c>
      <c r="C304" t="s">
        <v>157</v>
      </c>
      <c r="D304" t="s">
        <v>495</v>
      </c>
      <c r="E304" t="s">
        <v>496</v>
      </c>
      <c r="F304" t="s">
        <v>134</v>
      </c>
      <c r="G304" t="s">
        <v>497</v>
      </c>
      <c r="H304">
        <v>33430</v>
      </c>
      <c r="I304">
        <f>Sales_Transactions_Raw[[#This Row],[Unit_Price]]*Sales_Transactions_Raw[[#This Row],[Quantity]]</f>
        <v>100290</v>
      </c>
      <c r="J304">
        <v>3</v>
      </c>
      <c r="K304">
        <v>20</v>
      </c>
      <c r="L304">
        <v>20058</v>
      </c>
      <c r="M304">
        <v>80232</v>
      </c>
      <c r="N304">
        <v>5</v>
      </c>
      <c r="O304">
        <v>4011.6</v>
      </c>
      <c r="P304">
        <v>0</v>
      </c>
      <c r="Q304">
        <v>84243.6</v>
      </c>
      <c r="R304" t="s">
        <v>124</v>
      </c>
      <c r="S304" t="s">
        <v>107</v>
      </c>
      <c r="T304" t="s">
        <v>213</v>
      </c>
      <c r="U304" t="s">
        <v>196</v>
      </c>
      <c r="V304" t="s">
        <v>242</v>
      </c>
      <c r="W304" t="s">
        <v>70</v>
      </c>
      <c r="X304" t="s">
        <v>187</v>
      </c>
      <c r="Y304" t="s">
        <v>188</v>
      </c>
      <c r="Z304" t="s">
        <v>68</v>
      </c>
      <c r="AA304" t="s">
        <v>1281</v>
      </c>
      <c r="AB304" t="s">
        <v>3343</v>
      </c>
      <c r="AC304">
        <v>4</v>
      </c>
      <c r="AD304" t="s">
        <v>179</v>
      </c>
      <c r="AE304" t="s">
        <v>476</v>
      </c>
      <c r="AF304" t="s">
        <v>217</v>
      </c>
      <c r="AG304" t="s">
        <v>3342</v>
      </c>
      <c r="AH304" s="1">
        <v>44979</v>
      </c>
      <c r="AI304" s="1">
        <v>44983</v>
      </c>
      <c r="AJ304" s="1">
        <v>44988</v>
      </c>
      <c r="AK304" t="s">
        <v>3438</v>
      </c>
      <c r="AL304" t="s">
        <v>1280</v>
      </c>
    </row>
    <row r="305" spans="1:38" x14ac:dyDescent="0.35">
      <c r="A305" t="s">
        <v>1282</v>
      </c>
      <c r="B305" t="s">
        <v>748</v>
      </c>
      <c r="C305" t="s">
        <v>43</v>
      </c>
      <c r="D305" t="s">
        <v>294</v>
      </c>
      <c r="E305" t="s">
        <v>295</v>
      </c>
      <c r="F305" t="s">
        <v>146</v>
      </c>
      <c r="G305" t="s">
        <v>296</v>
      </c>
      <c r="H305">
        <v>13090</v>
      </c>
      <c r="I305">
        <f>Sales_Transactions_Raw[[#This Row],[Unit_Price]]*Sales_Transactions_Raw[[#This Row],[Quantity]]</f>
        <v>26180</v>
      </c>
      <c r="J305">
        <v>2</v>
      </c>
      <c r="K305">
        <v>0</v>
      </c>
      <c r="L305">
        <v>0</v>
      </c>
      <c r="M305">
        <v>26180</v>
      </c>
      <c r="N305">
        <v>12</v>
      </c>
      <c r="O305">
        <v>3141.6</v>
      </c>
      <c r="P305">
        <v>0</v>
      </c>
      <c r="Q305">
        <v>29321.599999999999</v>
      </c>
      <c r="R305" t="s">
        <v>160</v>
      </c>
      <c r="S305" t="s">
        <v>125</v>
      </c>
      <c r="T305" t="s">
        <v>136</v>
      </c>
      <c r="U305" t="s">
        <v>108</v>
      </c>
      <c r="V305" t="s">
        <v>116</v>
      </c>
      <c r="W305" t="s">
        <v>70</v>
      </c>
      <c r="X305" t="s">
        <v>922</v>
      </c>
      <c r="Y305" t="s">
        <v>199</v>
      </c>
      <c r="Z305" t="s">
        <v>52</v>
      </c>
      <c r="AA305" t="s">
        <v>1284</v>
      </c>
      <c r="AB305" t="s">
        <v>3335</v>
      </c>
      <c r="AC305">
        <v>5</v>
      </c>
      <c r="AD305" t="s">
        <v>56</v>
      </c>
      <c r="AE305" t="s">
        <v>3336</v>
      </c>
      <c r="AF305" t="s">
        <v>140</v>
      </c>
      <c r="AG305" t="s">
        <v>111</v>
      </c>
      <c r="AH305" s="1">
        <v>45419</v>
      </c>
      <c r="AI305" s="1">
        <v>45425</v>
      </c>
      <c r="AJ305" s="1">
        <v>45431</v>
      </c>
      <c r="AK305" t="s">
        <v>3547</v>
      </c>
      <c r="AL305" t="s">
        <v>1283</v>
      </c>
    </row>
    <row r="306" spans="1:38" x14ac:dyDescent="0.35">
      <c r="A306" t="s">
        <v>1285</v>
      </c>
      <c r="B306" t="s">
        <v>1286</v>
      </c>
      <c r="C306" t="s">
        <v>157</v>
      </c>
      <c r="D306" t="s">
        <v>310</v>
      </c>
      <c r="E306" t="s">
        <v>311</v>
      </c>
      <c r="F306" t="s">
        <v>211</v>
      </c>
      <c r="G306" t="s">
        <v>312</v>
      </c>
      <c r="H306">
        <v>12180</v>
      </c>
      <c r="I306">
        <f>Sales_Transactions_Raw[[#This Row],[Unit_Price]]*Sales_Transactions_Raw[[#This Row],[Quantity]]</f>
        <v>73080</v>
      </c>
      <c r="J306">
        <v>6</v>
      </c>
      <c r="K306">
        <v>10</v>
      </c>
      <c r="L306">
        <v>7308</v>
      </c>
      <c r="M306">
        <v>65772</v>
      </c>
      <c r="N306">
        <v>5</v>
      </c>
      <c r="O306">
        <v>3288.6</v>
      </c>
      <c r="P306">
        <v>0</v>
      </c>
      <c r="Q306">
        <v>69060.600000000006</v>
      </c>
      <c r="R306" t="s">
        <v>48</v>
      </c>
      <c r="S306" t="s">
        <v>93</v>
      </c>
      <c r="T306" t="s">
        <v>115</v>
      </c>
      <c r="U306" t="s">
        <v>161</v>
      </c>
      <c r="V306" t="s">
        <v>276</v>
      </c>
      <c r="W306" t="s">
        <v>696</v>
      </c>
      <c r="X306" t="s">
        <v>422</v>
      </c>
      <c r="Y306" t="s">
        <v>319</v>
      </c>
      <c r="Z306" t="s">
        <v>95</v>
      </c>
      <c r="AA306" t="s">
        <v>1288</v>
      </c>
      <c r="AB306" t="s">
        <v>3335</v>
      </c>
      <c r="AC306">
        <v>5</v>
      </c>
      <c r="AD306" t="s">
        <v>56</v>
      </c>
      <c r="AE306" t="s">
        <v>3336</v>
      </c>
      <c r="AF306" t="s">
        <v>84</v>
      </c>
      <c r="AG306" t="s">
        <v>3337</v>
      </c>
      <c r="AH306" s="1">
        <v>44934</v>
      </c>
      <c r="AI306" s="1">
        <v>44937</v>
      </c>
      <c r="AJ306" s="1">
        <v>45431</v>
      </c>
      <c r="AK306" t="s">
        <v>3548</v>
      </c>
      <c r="AL306" t="s">
        <v>1287</v>
      </c>
    </row>
    <row r="307" spans="1:38" x14ac:dyDescent="0.35">
      <c r="A307" t="s">
        <v>1289</v>
      </c>
      <c r="B307" t="s">
        <v>609</v>
      </c>
      <c r="C307" t="s">
        <v>43</v>
      </c>
      <c r="D307" t="s">
        <v>867</v>
      </c>
      <c r="E307" t="s">
        <v>868</v>
      </c>
      <c r="F307" t="s">
        <v>285</v>
      </c>
      <c r="G307" t="s">
        <v>869</v>
      </c>
      <c r="H307">
        <v>170</v>
      </c>
      <c r="I307">
        <f>Sales_Transactions_Raw[[#This Row],[Unit_Price]]*Sales_Transactions_Raw[[#This Row],[Quantity]]</f>
        <v>170</v>
      </c>
      <c r="J307">
        <v>1</v>
      </c>
      <c r="K307">
        <v>5</v>
      </c>
      <c r="L307">
        <v>8.5</v>
      </c>
      <c r="M307">
        <v>161.5</v>
      </c>
      <c r="N307">
        <v>5</v>
      </c>
      <c r="O307">
        <v>8.07</v>
      </c>
      <c r="P307">
        <v>49</v>
      </c>
      <c r="Q307">
        <v>169.57</v>
      </c>
      <c r="R307" t="s">
        <v>160</v>
      </c>
      <c r="S307" t="s">
        <v>107</v>
      </c>
      <c r="T307" t="s">
        <v>136</v>
      </c>
      <c r="U307" t="s">
        <v>50</v>
      </c>
      <c r="V307" t="s">
        <v>297</v>
      </c>
      <c r="W307" t="s">
        <v>52</v>
      </c>
      <c r="X307" t="s">
        <v>422</v>
      </c>
      <c r="Y307" t="s">
        <v>319</v>
      </c>
      <c r="Z307" t="s">
        <v>95</v>
      </c>
      <c r="AA307" t="s">
        <v>1291</v>
      </c>
      <c r="AB307" t="s">
        <v>3338</v>
      </c>
      <c r="AC307">
        <v>5</v>
      </c>
      <c r="AD307" t="s">
        <v>56</v>
      </c>
      <c r="AE307" t="s">
        <v>3336</v>
      </c>
      <c r="AF307" t="s">
        <v>262</v>
      </c>
      <c r="AG307" t="s">
        <v>3342</v>
      </c>
      <c r="AH307" s="1">
        <v>45053</v>
      </c>
      <c r="AI307" s="1">
        <v>45055</v>
      </c>
      <c r="AJ307" s="1">
        <v>45060</v>
      </c>
      <c r="AK307" t="s">
        <v>3496</v>
      </c>
      <c r="AL307" t="s">
        <v>1290</v>
      </c>
    </row>
    <row r="308" spans="1:38" x14ac:dyDescent="0.35">
      <c r="A308" t="s">
        <v>1292</v>
      </c>
      <c r="B308" t="s">
        <v>240</v>
      </c>
      <c r="C308" t="s">
        <v>43</v>
      </c>
      <c r="D308" t="s">
        <v>704</v>
      </c>
      <c r="E308" t="s">
        <v>705</v>
      </c>
      <c r="F308" t="s">
        <v>285</v>
      </c>
      <c r="G308" t="s">
        <v>706</v>
      </c>
      <c r="H308">
        <v>280</v>
      </c>
      <c r="I308">
        <f>Sales_Transactions_Raw[[#This Row],[Unit_Price]]*Sales_Transactions_Raw[[#This Row],[Quantity]]</f>
        <v>1680</v>
      </c>
      <c r="J308">
        <v>6</v>
      </c>
      <c r="K308">
        <v>15</v>
      </c>
      <c r="L308">
        <v>252</v>
      </c>
      <c r="M308">
        <v>1428</v>
      </c>
      <c r="N308">
        <v>5</v>
      </c>
      <c r="O308">
        <v>71.400000000000006</v>
      </c>
      <c r="P308">
        <v>79</v>
      </c>
      <c r="Q308">
        <v>1499.4</v>
      </c>
      <c r="R308" t="s">
        <v>48</v>
      </c>
      <c r="S308" t="s">
        <v>65</v>
      </c>
      <c r="T308" t="s">
        <v>115</v>
      </c>
      <c r="U308" t="s">
        <v>161</v>
      </c>
      <c r="V308" t="s">
        <v>94</v>
      </c>
      <c r="W308" t="s">
        <v>95</v>
      </c>
      <c r="X308" t="s">
        <v>150</v>
      </c>
      <c r="Y308" t="s">
        <v>151</v>
      </c>
      <c r="Z308" t="s">
        <v>81</v>
      </c>
      <c r="AA308" t="s">
        <v>1294</v>
      </c>
      <c r="AB308" t="s">
        <v>3341</v>
      </c>
      <c r="AC308">
        <v>4</v>
      </c>
      <c r="AD308" t="s">
        <v>56</v>
      </c>
      <c r="AE308" t="s">
        <v>3336</v>
      </c>
      <c r="AF308" t="s">
        <v>99</v>
      </c>
      <c r="AG308" t="s">
        <v>3342</v>
      </c>
      <c r="AH308" s="1">
        <v>45171</v>
      </c>
      <c r="AI308" s="1">
        <v>45175</v>
      </c>
      <c r="AJ308" s="1">
        <v>45177</v>
      </c>
      <c r="AK308" t="s">
        <v>3510</v>
      </c>
      <c r="AL308" t="s">
        <v>1293</v>
      </c>
    </row>
    <row r="309" spans="1:38" x14ac:dyDescent="0.35">
      <c r="A309" t="s">
        <v>1295</v>
      </c>
      <c r="B309" t="s">
        <v>1296</v>
      </c>
      <c r="C309" t="s">
        <v>157</v>
      </c>
      <c r="D309" t="s">
        <v>526</v>
      </c>
      <c r="E309" t="s">
        <v>527</v>
      </c>
      <c r="F309" t="s">
        <v>185</v>
      </c>
      <c r="G309" t="s">
        <v>528</v>
      </c>
      <c r="H309">
        <v>800</v>
      </c>
      <c r="I309">
        <f>Sales_Transactions_Raw[[#This Row],[Unit_Price]]*Sales_Transactions_Raw[[#This Row],[Quantity]]</f>
        <v>1600</v>
      </c>
      <c r="J309">
        <v>2</v>
      </c>
      <c r="K309">
        <v>10</v>
      </c>
      <c r="L309">
        <v>160</v>
      </c>
      <c r="M309">
        <v>1440</v>
      </c>
      <c r="N309">
        <v>5</v>
      </c>
      <c r="O309">
        <v>72</v>
      </c>
      <c r="P309">
        <v>49</v>
      </c>
      <c r="Q309">
        <v>1512</v>
      </c>
      <c r="R309" t="s">
        <v>92</v>
      </c>
      <c r="S309" t="s">
        <v>93</v>
      </c>
      <c r="T309" t="s">
        <v>148</v>
      </c>
      <c r="U309" t="s">
        <v>161</v>
      </c>
      <c r="V309" t="s">
        <v>67</v>
      </c>
      <c r="W309" t="s">
        <v>68</v>
      </c>
      <c r="X309" t="s">
        <v>469</v>
      </c>
      <c r="Y309" t="s">
        <v>244</v>
      </c>
      <c r="Z309" t="s">
        <v>70</v>
      </c>
      <c r="AA309" t="s">
        <v>1298</v>
      </c>
      <c r="AB309" t="s">
        <v>3335</v>
      </c>
      <c r="AC309">
        <v>4</v>
      </c>
      <c r="AD309" t="s">
        <v>56</v>
      </c>
      <c r="AE309" t="s">
        <v>3336</v>
      </c>
      <c r="AF309" t="s">
        <v>217</v>
      </c>
      <c r="AG309" t="s">
        <v>3342</v>
      </c>
      <c r="AH309" s="1">
        <v>44941</v>
      </c>
      <c r="AI309" s="1">
        <v>44945</v>
      </c>
      <c r="AJ309" s="1">
        <v>44948</v>
      </c>
      <c r="AK309" t="s">
        <v>3549</v>
      </c>
      <c r="AL309" t="s">
        <v>1297</v>
      </c>
    </row>
    <row r="310" spans="1:38" x14ac:dyDescent="0.35">
      <c r="A310" t="s">
        <v>1299</v>
      </c>
      <c r="B310" t="s">
        <v>829</v>
      </c>
      <c r="C310" t="s">
        <v>131</v>
      </c>
      <c r="D310" t="s">
        <v>432</v>
      </c>
      <c r="E310" t="s">
        <v>433</v>
      </c>
      <c r="F310" t="s">
        <v>146</v>
      </c>
      <c r="G310" t="s">
        <v>296</v>
      </c>
      <c r="H310">
        <v>5220</v>
      </c>
      <c r="I310">
        <f>Sales_Transactions_Raw[[#This Row],[Unit_Price]]*Sales_Transactions_Raw[[#This Row],[Quantity]]</f>
        <v>5220</v>
      </c>
      <c r="J310">
        <v>1</v>
      </c>
      <c r="K310">
        <v>10</v>
      </c>
      <c r="L310">
        <v>522</v>
      </c>
      <c r="M310">
        <v>4698</v>
      </c>
      <c r="N310">
        <v>12</v>
      </c>
      <c r="O310">
        <v>563.76</v>
      </c>
      <c r="P310">
        <v>0</v>
      </c>
      <c r="Q310">
        <v>5261.76</v>
      </c>
      <c r="R310" t="s">
        <v>160</v>
      </c>
      <c r="S310" t="s">
        <v>107</v>
      </c>
      <c r="T310" t="s">
        <v>115</v>
      </c>
      <c r="U310" t="s">
        <v>214</v>
      </c>
      <c r="V310" t="s">
        <v>177</v>
      </c>
      <c r="W310" t="s">
        <v>696</v>
      </c>
      <c r="X310" t="s">
        <v>491</v>
      </c>
      <c r="Y310" t="s">
        <v>358</v>
      </c>
      <c r="Z310" t="s">
        <v>95</v>
      </c>
      <c r="AA310" t="s">
        <v>1301</v>
      </c>
      <c r="AB310" t="s">
        <v>3340</v>
      </c>
      <c r="AC310">
        <v>1</v>
      </c>
      <c r="AD310" t="s">
        <v>56</v>
      </c>
      <c r="AE310" t="s">
        <v>3336</v>
      </c>
      <c r="AF310" t="s">
        <v>227</v>
      </c>
      <c r="AG310" t="s">
        <v>58</v>
      </c>
      <c r="AH310" s="1">
        <v>45091</v>
      </c>
      <c r="AI310" s="1">
        <v>45095</v>
      </c>
      <c r="AJ310" s="1">
        <v>45100</v>
      </c>
      <c r="AK310" t="s">
        <v>3550</v>
      </c>
      <c r="AL310" t="s">
        <v>1300</v>
      </c>
    </row>
    <row r="311" spans="1:38" x14ac:dyDescent="0.35">
      <c r="A311" t="s">
        <v>1302</v>
      </c>
      <c r="B311" t="s">
        <v>617</v>
      </c>
      <c r="C311" t="s">
        <v>43</v>
      </c>
      <c r="D311" t="s">
        <v>350</v>
      </c>
      <c r="E311" t="s">
        <v>351</v>
      </c>
      <c r="F311" t="s">
        <v>211</v>
      </c>
      <c r="G311" t="s">
        <v>352</v>
      </c>
      <c r="H311">
        <v>43160</v>
      </c>
      <c r="I311">
        <f>Sales_Transactions_Raw[[#This Row],[Unit_Price]]*Sales_Transactions_Raw[[#This Row],[Quantity]]</f>
        <v>43160</v>
      </c>
      <c r="J311">
        <v>1</v>
      </c>
      <c r="K311">
        <v>0</v>
      </c>
      <c r="L311">
        <v>0</v>
      </c>
      <c r="M311">
        <v>43160</v>
      </c>
      <c r="N311">
        <v>5</v>
      </c>
      <c r="O311">
        <v>2158</v>
      </c>
      <c r="P311">
        <v>0</v>
      </c>
      <c r="Q311">
        <v>45318</v>
      </c>
      <c r="R311" t="s">
        <v>124</v>
      </c>
      <c r="S311" t="s">
        <v>49</v>
      </c>
      <c r="T311" t="s">
        <v>115</v>
      </c>
      <c r="U311" t="s">
        <v>50</v>
      </c>
      <c r="V311" t="s">
        <v>224</v>
      </c>
      <c r="W311" t="s">
        <v>95</v>
      </c>
      <c r="X311" t="s">
        <v>357</v>
      </c>
      <c r="Y311" t="s">
        <v>358</v>
      </c>
      <c r="Z311" t="s">
        <v>95</v>
      </c>
      <c r="AA311" t="s">
        <v>1304</v>
      </c>
      <c r="AB311" t="s">
        <v>3344</v>
      </c>
      <c r="AC311">
        <v>4</v>
      </c>
      <c r="AD311" t="s">
        <v>56</v>
      </c>
      <c r="AE311" t="s">
        <v>3336</v>
      </c>
      <c r="AF311" t="s">
        <v>153</v>
      </c>
      <c r="AG311" t="s">
        <v>85</v>
      </c>
      <c r="AH311" s="1">
        <v>45292</v>
      </c>
      <c r="AI311" s="1">
        <v>45293</v>
      </c>
      <c r="AJ311" s="1">
        <v>45301</v>
      </c>
      <c r="AK311" t="s">
        <v>3551</v>
      </c>
      <c r="AL311" t="s">
        <v>1303</v>
      </c>
    </row>
    <row r="312" spans="1:38" x14ac:dyDescent="0.35">
      <c r="A312" t="s">
        <v>1305</v>
      </c>
      <c r="B312" t="s">
        <v>520</v>
      </c>
      <c r="C312" t="s">
        <v>89</v>
      </c>
      <c r="D312" t="s">
        <v>350</v>
      </c>
      <c r="E312" t="s">
        <v>351</v>
      </c>
      <c r="F312" t="s">
        <v>211</v>
      </c>
      <c r="G312" t="s">
        <v>352</v>
      </c>
      <c r="H312">
        <v>46410</v>
      </c>
      <c r="I312">
        <f>Sales_Transactions_Raw[[#This Row],[Unit_Price]]*Sales_Transactions_Raw[[#This Row],[Quantity]]</f>
        <v>185640</v>
      </c>
      <c r="J312">
        <v>4</v>
      </c>
      <c r="K312">
        <v>0</v>
      </c>
      <c r="L312">
        <v>0</v>
      </c>
      <c r="M312">
        <v>185640</v>
      </c>
      <c r="N312">
        <v>5</v>
      </c>
      <c r="O312">
        <v>9282</v>
      </c>
      <c r="P312">
        <v>0</v>
      </c>
      <c r="Q312">
        <v>194922</v>
      </c>
      <c r="R312" t="s">
        <v>106</v>
      </c>
      <c r="S312" t="s">
        <v>49</v>
      </c>
      <c r="T312" t="s">
        <v>148</v>
      </c>
      <c r="U312" t="s">
        <v>161</v>
      </c>
      <c r="V312" t="s">
        <v>51</v>
      </c>
      <c r="W312" t="s">
        <v>52</v>
      </c>
      <c r="X312" t="s">
        <v>277</v>
      </c>
      <c r="Y312" t="s">
        <v>127</v>
      </c>
      <c r="Z312" t="s">
        <v>68</v>
      </c>
      <c r="AA312" t="s">
        <v>1307</v>
      </c>
      <c r="AB312" t="s">
        <v>3344</v>
      </c>
      <c r="AC312">
        <v>4</v>
      </c>
      <c r="AD312" t="s">
        <v>56</v>
      </c>
      <c r="AE312" t="s">
        <v>3336</v>
      </c>
      <c r="AF312" t="s">
        <v>164</v>
      </c>
      <c r="AG312" t="s">
        <v>85</v>
      </c>
      <c r="AH312" s="1">
        <v>44972</v>
      </c>
      <c r="AI312" s="1">
        <v>44976</v>
      </c>
      <c r="AJ312" s="1">
        <v>45301</v>
      </c>
      <c r="AK312" t="s">
        <v>3552</v>
      </c>
      <c r="AL312" t="s">
        <v>1306</v>
      </c>
    </row>
    <row r="313" spans="1:38" x14ac:dyDescent="0.35">
      <c r="A313" t="s">
        <v>1308</v>
      </c>
      <c r="B313" t="s">
        <v>960</v>
      </c>
      <c r="C313" t="s">
        <v>157</v>
      </c>
      <c r="D313" t="s">
        <v>90</v>
      </c>
      <c r="E313" t="s">
        <v>91</v>
      </c>
      <c r="F313" t="s">
        <v>46</v>
      </c>
      <c r="G313" t="s">
        <v>78</v>
      </c>
      <c r="H313">
        <v>100210</v>
      </c>
      <c r="I313">
        <f>Sales_Transactions_Raw[[#This Row],[Unit_Price]]*Sales_Transactions_Raw[[#This Row],[Quantity]]</f>
        <v>100210</v>
      </c>
      <c r="J313">
        <v>1</v>
      </c>
      <c r="K313">
        <v>5</v>
      </c>
      <c r="L313">
        <v>5010.5</v>
      </c>
      <c r="M313">
        <v>95199.5</v>
      </c>
      <c r="N313">
        <v>18</v>
      </c>
      <c r="O313">
        <v>17135.91</v>
      </c>
      <c r="P313">
        <v>0</v>
      </c>
      <c r="Q313">
        <v>112335.41</v>
      </c>
      <c r="R313" t="s">
        <v>48</v>
      </c>
      <c r="S313" t="s">
        <v>49</v>
      </c>
      <c r="T313" t="s">
        <v>115</v>
      </c>
      <c r="U313" t="s">
        <v>108</v>
      </c>
      <c r="V313" t="s">
        <v>276</v>
      </c>
      <c r="W313" t="s">
        <v>95</v>
      </c>
      <c r="X313" t="s">
        <v>215</v>
      </c>
      <c r="Y313" t="s">
        <v>169</v>
      </c>
      <c r="Z313" t="s">
        <v>95</v>
      </c>
      <c r="AA313" t="s">
        <v>1310</v>
      </c>
      <c r="AB313" t="s">
        <v>3343</v>
      </c>
      <c r="AC313">
        <v>3</v>
      </c>
      <c r="AD313" t="s">
        <v>56</v>
      </c>
      <c r="AE313" t="s">
        <v>3336</v>
      </c>
      <c r="AF313" t="s">
        <v>279</v>
      </c>
      <c r="AG313" t="s">
        <v>58</v>
      </c>
      <c r="AH313" s="1">
        <v>44934</v>
      </c>
      <c r="AI313" s="1">
        <v>44936</v>
      </c>
      <c r="AJ313" s="1">
        <v>44943</v>
      </c>
      <c r="AK313" t="s">
        <v>3553</v>
      </c>
      <c r="AL313" t="s">
        <v>1309</v>
      </c>
    </row>
    <row r="314" spans="1:38" x14ac:dyDescent="0.35">
      <c r="A314" t="s">
        <v>1311</v>
      </c>
      <c r="B314" t="s">
        <v>41</v>
      </c>
      <c r="C314" t="s">
        <v>157</v>
      </c>
      <c r="D314" t="s">
        <v>183</v>
      </c>
      <c r="E314" t="s">
        <v>184</v>
      </c>
      <c r="F314" t="s">
        <v>185</v>
      </c>
      <c r="G314" t="s">
        <v>186</v>
      </c>
      <c r="H314">
        <v>120</v>
      </c>
      <c r="I314">
        <f>Sales_Transactions_Raw[[#This Row],[Unit_Price]]*Sales_Transactions_Raw[[#This Row],[Quantity]]</f>
        <v>360</v>
      </c>
      <c r="J314">
        <v>3</v>
      </c>
      <c r="K314">
        <v>15</v>
      </c>
      <c r="L314">
        <v>54</v>
      </c>
      <c r="M314">
        <v>306</v>
      </c>
      <c r="N314">
        <v>5</v>
      </c>
      <c r="O314">
        <v>15.3</v>
      </c>
      <c r="P314">
        <v>49</v>
      </c>
      <c r="Q314">
        <v>321.3</v>
      </c>
      <c r="R314" t="s">
        <v>160</v>
      </c>
      <c r="S314" t="s">
        <v>49</v>
      </c>
      <c r="T314" t="s">
        <v>115</v>
      </c>
      <c r="U314" t="s">
        <v>214</v>
      </c>
      <c r="V314" t="s">
        <v>67</v>
      </c>
      <c r="W314" t="s">
        <v>68</v>
      </c>
      <c r="X314" t="s">
        <v>510</v>
      </c>
      <c r="Y314" t="s">
        <v>199</v>
      </c>
      <c r="Z314" t="s">
        <v>52</v>
      </c>
      <c r="AA314" t="s">
        <v>1313</v>
      </c>
      <c r="AB314" t="s">
        <v>3341</v>
      </c>
      <c r="AC314">
        <v>5</v>
      </c>
      <c r="AD314" t="s">
        <v>56</v>
      </c>
      <c r="AE314" t="s">
        <v>3336</v>
      </c>
      <c r="AF314" t="s">
        <v>326</v>
      </c>
      <c r="AG314" t="s">
        <v>58</v>
      </c>
      <c r="AH314" s="1">
        <v>45042</v>
      </c>
      <c r="AI314" s="1">
        <v>45047</v>
      </c>
      <c r="AJ314" s="1">
        <v>45056</v>
      </c>
      <c r="AK314" t="s">
        <v>3376</v>
      </c>
      <c r="AL314" t="s">
        <v>1312</v>
      </c>
    </row>
    <row r="315" spans="1:38" x14ac:dyDescent="0.35">
      <c r="A315" t="s">
        <v>1314</v>
      </c>
      <c r="B315" t="s">
        <v>646</v>
      </c>
      <c r="C315" t="s">
        <v>43</v>
      </c>
      <c r="D315" t="s">
        <v>867</v>
      </c>
      <c r="E315" t="s">
        <v>868</v>
      </c>
      <c r="F315" t="s">
        <v>285</v>
      </c>
      <c r="G315" t="s">
        <v>869</v>
      </c>
      <c r="H315">
        <v>190</v>
      </c>
      <c r="I315">
        <f>Sales_Transactions_Raw[[#This Row],[Unit_Price]]*Sales_Transactions_Raw[[#This Row],[Quantity]]</f>
        <v>190</v>
      </c>
      <c r="J315">
        <v>1</v>
      </c>
      <c r="K315">
        <v>10</v>
      </c>
      <c r="L315">
        <v>19</v>
      </c>
      <c r="M315">
        <v>171</v>
      </c>
      <c r="N315">
        <v>5</v>
      </c>
      <c r="O315">
        <v>8.5500000000000007</v>
      </c>
      <c r="P315">
        <v>49</v>
      </c>
      <c r="Q315">
        <v>179.55</v>
      </c>
      <c r="R315" t="s">
        <v>48</v>
      </c>
      <c r="S315" t="s">
        <v>93</v>
      </c>
      <c r="T315" t="s">
        <v>115</v>
      </c>
      <c r="U315" t="s">
        <v>108</v>
      </c>
      <c r="V315" t="s">
        <v>149</v>
      </c>
      <c r="W315" t="s">
        <v>81</v>
      </c>
      <c r="X315" t="s">
        <v>411</v>
      </c>
      <c r="Y315" t="s">
        <v>151</v>
      </c>
      <c r="Z315" t="s">
        <v>81</v>
      </c>
      <c r="AA315" t="s">
        <v>1316</v>
      </c>
      <c r="AB315" t="s">
        <v>3335</v>
      </c>
      <c r="AC315">
        <v>5</v>
      </c>
      <c r="AD315" t="s">
        <v>56</v>
      </c>
      <c r="AE315" t="s">
        <v>3336</v>
      </c>
      <c r="AF315" t="s">
        <v>227</v>
      </c>
      <c r="AG315" t="s">
        <v>3342</v>
      </c>
      <c r="AH315" s="1">
        <v>44951</v>
      </c>
      <c r="AI315" s="1">
        <v>44958</v>
      </c>
      <c r="AJ315" s="1">
        <v>44960</v>
      </c>
      <c r="AK315" t="s">
        <v>3554</v>
      </c>
      <c r="AL315" t="s">
        <v>1315</v>
      </c>
    </row>
    <row r="316" spans="1:38" x14ac:dyDescent="0.35">
      <c r="A316" t="s">
        <v>1317</v>
      </c>
      <c r="B316" t="s">
        <v>609</v>
      </c>
      <c r="C316" t="s">
        <v>157</v>
      </c>
      <c r="D316" t="s">
        <v>103</v>
      </c>
      <c r="E316" t="s">
        <v>104</v>
      </c>
      <c r="F316" t="s">
        <v>46</v>
      </c>
      <c r="G316" t="s">
        <v>105</v>
      </c>
      <c r="H316">
        <v>33040</v>
      </c>
      <c r="I316">
        <f>Sales_Transactions_Raw[[#This Row],[Unit_Price]]*Sales_Transactions_Raw[[#This Row],[Quantity]]</f>
        <v>33040</v>
      </c>
      <c r="J316">
        <v>1</v>
      </c>
      <c r="K316">
        <v>5</v>
      </c>
      <c r="L316">
        <v>1652</v>
      </c>
      <c r="M316">
        <v>31388</v>
      </c>
      <c r="N316">
        <v>18</v>
      </c>
      <c r="O316">
        <v>5649.84</v>
      </c>
      <c r="P316">
        <v>0</v>
      </c>
      <c r="Q316">
        <v>37037.839999999997</v>
      </c>
      <c r="R316" t="s">
        <v>124</v>
      </c>
      <c r="S316" t="s">
        <v>49</v>
      </c>
      <c r="T316" t="s">
        <v>115</v>
      </c>
      <c r="U316" t="s">
        <v>196</v>
      </c>
      <c r="V316" t="s">
        <v>297</v>
      </c>
      <c r="W316" t="s">
        <v>52</v>
      </c>
      <c r="X316" t="s">
        <v>491</v>
      </c>
      <c r="Y316" t="s">
        <v>358</v>
      </c>
      <c r="Z316" t="s">
        <v>95</v>
      </c>
      <c r="AA316" t="s">
        <v>1319</v>
      </c>
      <c r="AB316" t="s">
        <v>3335</v>
      </c>
      <c r="AC316">
        <v>4</v>
      </c>
      <c r="AD316" t="s">
        <v>56</v>
      </c>
      <c r="AE316" t="s">
        <v>3336</v>
      </c>
      <c r="AF316" t="s">
        <v>164</v>
      </c>
      <c r="AG316" t="s">
        <v>85</v>
      </c>
      <c r="AH316" s="1">
        <v>45276</v>
      </c>
      <c r="AI316" s="1">
        <v>45277</v>
      </c>
      <c r="AJ316" s="1">
        <v>45284</v>
      </c>
      <c r="AK316" t="s">
        <v>3496</v>
      </c>
      <c r="AL316" t="s">
        <v>1318</v>
      </c>
    </row>
    <row r="317" spans="1:38" x14ac:dyDescent="0.35">
      <c r="A317" t="s">
        <v>1320</v>
      </c>
      <c r="B317" t="s">
        <v>418</v>
      </c>
      <c r="C317" t="s">
        <v>157</v>
      </c>
      <c r="D317" t="s">
        <v>956</v>
      </c>
      <c r="E317" t="s">
        <v>957</v>
      </c>
      <c r="F317" t="s">
        <v>46</v>
      </c>
      <c r="G317" t="s">
        <v>147</v>
      </c>
      <c r="H317">
        <v>9540</v>
      </c>
      <c r="I317">
        <f>Sales_Transactions_Raw[[#This Row],[Unit_Price]]*Sales_Transactions_Raw[[#This Row],[Quantity]]</f>
        <v>19080</v>
      </c>
      <c r="J317">
        <v>2</v>
      </c>
      <c r="K317">
        <v>0</v>
      </c>
      <c r="L317">
        <v>0</v>
      </c>
      <c r="M317">
        <v>19080</v>
      </c>
      <c r="N317">
        <v>18</v>
      </c>
      <c r="O317">
        <v>3434.4</v>
      </c>
      <c r="P317">
        <v>0</v>
      </c>
      <c r="Q317">
        <v>22514.400000000001</v>
      </c>
      <c r="R317" t="s">
        <v>64</v>
      </c>
      <c r="S317" t="s">
        <v>49</v>
      </c>
      <c r="T317" t="s">
        <v>115</v>
      </c>
      <c r="U317" t="s">
        <v>50</v>
      </c>
      <c r="V317" t="s">
        <v>149</v>
      </c>
      <c r="W317" t="s">
        <v>81</v>
      </c>
      <c r="X317" t="s">
        <v>515</v>
      </c>
      <c r="Y317" t="s">
        <v>82</v>
      </c>
      <c r="Z317" t="s">
        <v>52</v>
      </c>
      <c r="AA317" t="s">
        <v>1322</v>
      </c>
      <c r="AB317" t="s">
        <v>3335</v>
      </c>
      <c r="AC317">
        <v>4</v>
      </c>
      <c r="AD317" t="s">
        <v>56</v>
      </c>
      <c r="AE317" t="s">
        <v>3336</v>
      </c>
      <c r="AF317" t="s">
        <v>326</v>
      </c>
      <c r="AG317" t="s">
        <v>85</v>
      </c>
      <c r="AH317" s="1">
        <v>45191</v>
      </c>
      <c r="AI317" s="1">
        <v>45198</v>
      </c>
      <c r="AJ317" s="1">
        <v>45202</v>
      </c>
      <c r="AK317" t="s">
        <v>3401</v>
      </c>
      <c r="AL317" t="s">
        <v>1321</v>
      </c>
    </row>
    <row r="318" spans="1:38" x14ac:dyDescent="0.35">
      <c r="A318" t="s">
        <v>1323</v>
      </c>
      <c r="B318" t="s">
        <v>753</v>
      </c>
      <c r="C318" t="s">
        <v>89</v>
      </c>
      <c r="D318" t="s">
        <v>303</v>
      </c>
      <c r="E318" t="s">
        <v>304</v>
      </c>
      <c r="F318" t="s">
        <v>134</v>
      </c>
      <c r="G318" t="s">
        <v>305</v>
      </c>
      <c r="H318">
        <v>35100</v>
      </c>
      <c r="I318">
        <f>Sales_Transactions_Raw[[#This Row],[Unit_Price]]*Sales_Transactions_Raw[[#This Row],[Quantity]]</f>
        <v>280800</v>
      </c>
      <c r="J318">
        <v>8</v>
      </c>
      <c r="K318">
        <v>0</v>
      </c>
      <c r="L318">
        <v>0</v>
      </c>
      <c r="M318">
        <v>280800</v>
      </c>
      <c r="N318">
        <v>5</v>
      </c>
      <c r="O318">
        <v>14040</v>
      </c>
      <c r="P318">
        <v>0</v>
      </c>
      <c r="Q318">
        <v>294840</v>
      </c>
      <c r="R318" t="s">
        <v>124</v>
      </c>
      <c r="S318" t="s">
        <v>125</v>
      </c>
      <c r="T318" t="s">
        <v>115</v>
      </c>
      <c r="U318" t="s">
        <v>196</v>
      </c>
      <c r="V318" t="s">
        <v>94</v>
      </c>
      <c r="W318" t="s">
        <v>95</v>
      </c>
      <c r="X318" t="s">
        <v>422</v>
      </c>
      <c r="Y318" t="s">
        <v>319</v>
      </c>
      <c r="Z318" t="s">
        <v>95</v>
      </c>
      <c r="AA318" t="s">
        <v>1325</v>
      </c>
      <c r="AB318" t="s">
        <v>3335</v>
      </c>
      <c r="AC318">
        <v>4</v>
      </c>
      <c r="AD318" t="s">
        <v>56</v>
      </c>
      <c r="AE318" t="s">
        <v>3336</v>
      </c>
      <c r="AF318" t="s">
        <v>140</v>
      </c>
      <c r="AG318" t="s">
        <v>85</v>
      </c>
      <c r="AH318" s="1">
        <v>45118</v>
      </c>
      <c r="AI318" s="1">
        <v>45121</v>
      </c>
      <c r="AJ318" s="1">
        <v>45126</v>
      </c>
      <c r="AK318" t="s">
        <v>3555</v>
      </c>
      <c r="AL318" t="s">
        <v>1324</v>
      </c>
    </row>
    <row r="319" spans="1:38" x14ac:dyDescent="0.35">
      <c r="A319" t="s">
        <v>1326</v>
      </c>
      <c r="B319" t="s">
        <v>765</v>
      </c>
      <c r="C319" t="s">
        <v>43</v>
      </c>
      <c r="D319" t="s">
        <v>294</v>
      </c>
      <c r="E319" t="s">
        <v>295</v>
      </c>
      <c r="F319" t="s">
        <v>146</v>
      </c>
      <c r="G319" t="s">
        <v>296</v>
      </c>
      <c r="H319">
        <v>14210</v>
      </c>
      <c r="I319">
        <f>Sales_Transactions_Raw[[#This Row],[Unit_Price]]*Sales_Transactions_Raw[[#This Row],[Quantity]]</f>
        <v>14210</v>
      </c>
      <c r="J319">
        <v>1</v>
      </c>
      <c r="K319">
        <v>10</v>
      </c>
      <c r="L319">
        <v>1421</v>
      </c>
      <c r="M319">
        <v>12789</v>
      </c>
      <c r="N319">
        <v>12</v>
      </c>
      <c r="O319">
        <v>1534.68</v>
      </c>
      <c r="P319">
        <v>0</v>
      </c>
      <c r="Q319">
        <v>14323.68</v>
      </c>
      <c r="R319" t="s">
        <v>48</v>
      </c>
      <c r="S319" t="s">
        <v>49</v>
      </c>
      <c r="T319" t="s">
        <v>115</v>
      </c>
      <c r="U319" t="s">
        <v>161</v>
      </c>
      <c r="V319" t="s">
        <v>269</v>
      </c>
      <c r="W319" t="s">
        <v>70</v>
      </c>
      <c r="X319" t="s">
        <v>381</v>
      </c>
      <c r="Y319" t="s">
        <v>199</v>
      </c>
      <c r="Z319" t="s">
        <v>52</v>
      </c>
      <c r="AA319" t="s">
        <v>1328</v>
      </c>
      <c r="AB319" t="s">
        <v>3335</v>
      </c>
      <c r="AC319">
        <v>3</v>
      </c>
      <c r="AD319" t="s">
        <v>56</v>
      </c>
      <c r="AE319" t="s">
        <v>3336</v>
      </c>
      <c r="AF319" t="s">
        <v>99</v>
      </c>
      <c r="AG319" t="s">
        <v>85</v>
      </c>
      <c r="AH319" s="1">
        <v>45053</v>
      </c>
      <c r="AI319" s="1">
        <v>45058</v>
      </c>
      <c r="AJ319" s="1">
        <v>45060</v>
      </c>
      <c r="AK319" t="s">
        <v>3537</v>
      </c>
      <c r="AL319" t="s">
        <v>1327</v>
      </c>
    </row>
    <row r="320" spans="1:38" x14ac:dyDescent="0.35">
      <c r="A320" t="s">
        <v>1329</v>
      </c>
      <c r="B320" t="s">
        <v>484</v>
      </c>
      <c r="C320" t="s">
        <v>43</v>
      </c>
      <c r="D320" t="s">
        <v>466</v>
      </c>
      <c r="E320" t="s">
        <v>467</v>
      </c>
      <c r="F320" t="s">
        <v>185</v>
      </c>
      <c r="G320" t="s">
        <v>468</v>
      </c>
      <c r="H320">
        <v>640</v>
      </c>
      <c r="I320">
        <f>Sales_Transactions_Raw[[#This Row],[Unit_Price]]*Sales_Transactions_Raw[[#This Row],[Quantity]]</f>
        <v>1280</v>
      </c>
      <c r="J320">
        <v>2</v>
      </c>
      <c r="K320">
        <v>0</v>
      </c>
      <c r="L320">
        <v>0</v>
      </c>
      <c r="M320">
        <v>1280</v>
      </c>
      <c r="N320">
        <v>5</v>
      </c>
      <c r="O320">
        <v>64</v>
      </c>
      <c r="P320">
        <v>49</v>
      </c>
      <c r="Q320">
        <v>1344</v>
      </c>
      <c r="R320" t="s">
        <v>106</v>
      </c>
      <c r="S320" t="s">
        <v>107</v>
      </c>
      <c r="T320" t="s">
        <v>136</v>
      </c>
      <c r="U320" t="s">
        <v>50</v>
      </c>
      <c r="V320" t="s">
        <v>287</v>
      </c>
      <c r="W320" t="s">
        <v>95</v>
      </c>
      <c r="X320" t="s">
        <v>397</v>
      </c>
      <c r="Y320" t="s">
        <v>226</v>
      </c>
      <c r="Z320" t="s">
        <v>95</v>
      </c>
      <c r="AA320" t="s">
        <v>1331</v>
      </c>
      <c r="AB320" t="s">
        <v>3338</v>
      </c>
      <c r="AC320">
        <v>4</v>
      </c>
      <c r="AD320" t="s">
        <v>56</v>
      </c>
      <c r="AE320" t="s">
        <v>3336</v>
      </c>
      <c r="AF320" t="s">
        <v>326</v>
      </c>
      <c r="AG320" t="s">
        <v>58</v>
      </c>
      <c r="AH320" s="1">
        <v>45145</v>
      </c>
      <c r="AI320" s="1">
        <v>45149</v>
      </c>
      <c r="AJ320" s="1">
        <v>45156</v>
      </c>
      <c r="AK320" t="s">
        <v>3556</v>
      </c>
      <c r="AL320" t="s">
        <v>1330</v>
      </c>
    </row>
    <row r="321" spans="1:38" x14ac:dyDescent="0.35">
      <c r="A321" t="s">
        <v>1332</v>
      </c>
      <c r="B321" t="s">
        <v>400</v>
      </c>
      <c r="C321" t="s">
        <v>43</v>
      </c>
      <c r="D321" t="s">
        <v>667</v>
      </c>
      <c r="E321" t="s">
        <v>668</v>
      </c>
      <c r="F321" t="s">
        <v>146</v>
      </c>
      <c r="G321" t="s">
        <v>195</v>
      </c>
      <c r="H321">
        <v>9630</v>
      </c>
      <c r="I321">
        <f>Sales_Transactions_Raw[[#This Row],[Unit_Price]]*Sales_Transactions_Raw[[#This Row],[Quantity]]</f>
        <v>57780</v>
      </c>
      <c r="J321">
        <v>6</v>
      </c>
      <c r="K321">
        <v>20</v>
      </c>
      <c r="L321">
        <v>11556</v>
      </c>
      <c r="M321">
        <v>46224</v>
      </c>
      <c r="N321">
        <v>12</v>
      </c>
      <c r="O321">
        <v>5546.88</v>
      </c>
      <c r="P321">
        <v>0</v>
      </c>
      <c r="Q321">
        <v>51770.879999999997</v>
      </c>
      <c r="R321" t="s">
        <v>79</v>
      </c>
      <c r="S321" t="s">
        <v>107</v>
      </c>
      <c r="T321" t="s">
        <v>148</v>
      </c>
      <c r="U321" t="s">
        <v>214</v>
      </c>
      <c r="V321" t="s">
        <v>116</v>
      </c>
      <c r="W321" t="s">
        <v>70</v>
      </c>
      <c r="X321" t="s">
        <v>298</v>
      </c>
      <c r="Y321" t="s">
        <v>151</v>
      </c>
      <c r="Z321" t="s">
        <v>81</v>
      </c>
      <c r="AA321" t="s">
        <v>1334</v>
      </c>
      <c r="AB321" t="s">
        <v>3344</v>
      </c>
      <c r="AC321">
        <v>3</v>
      </c>
      <c r="AD321" t="s">
        <v>56</v>
      </c>
      <c r="AE321" t="s">
        <v>3336</v>
      </c>
      <c r="AF321" t="s">
        <v>164</v>
      </c>
      <c r="AG321" t="s">
        <v>111</v>
      </c>
      <c r="AH321" s="1">
        <v>45046</v>
      </c>
      <c r="AI321" s="1">
        <v>45052</v>
      </c>
      <c r="AJ321" s="1">
        <v>45156</v>
      </c>
      <c r="AK321" t="s">
        <v>3386</v>
      </c>
      <c r="AL321" t="s">
        <v>1333</v>
      </c>
    </row>
    <row r="322" spans="1:38" x14ac:dyDescent="0.35">
      <c r="A322" t="s">
        <v>1183</v>
      </c>
      <c r="B322" t="s">
        <v>1335</v>
      </c>
      <c r="C322" t="s">
        <v>43</v>
      </c>
      <c r="D322" t="s">
        <v>867</v>
      </c>
      <c r="E322" t="s">
        <v>868</v>
      </c>
      <c r="F322" t="s">
        <v>285</v>
      </c>
      <c r="G322" t="s">
        <v>869</v>
      </c>
      <c r="H322">
        <v>190</v>
      </c>
      <c r="I322">
        <f>Sales_Transactions_Raw[[#This Row],[Unit_Price]]*Sales_Transactions_Raw[[#This Row],[Quantity]]</f>
        <v>1520</v>
      </c>
      <c r="J322">
        <v>8</v>
      </c>
      <c r="K322">
        <v>10</v>
      </c>
      <c r="L322">
        <v>152</v>
      </c>
      <c r="M322">
        <v>1368</v>
      </c>
      <c r="N322">
        <v>5</v>
      </c>
      <c r="O322">
        <v>68.400000000000006</v>
      </c>
      <c r="P322">
        <v>149</v>
      </c>
      <c r="Q322">
        <v>1436.4</v>
      </c>
      <c r="R322" t="s">
        <v>48</v>
      </c>
      <c r="S322" t="s">
        <v>125</v>
      </c>
      <c r="T322" t="s">
        <v>115</v>
      </c>
      <c r="U322" t="s">
        <v>50</v>
      </c>
      <c r="V322" t="s">
        <v>297</v>
      </c>
      <c r="W322" t="s">
        <v>52</v>
      </c>
      <c r="X322" t="s">
        <v>162</v>
      </c>
      <c r="Y322" t="s">
        <v>109</v>
      </c>
      <c r="Z322" t="s">
        <v>70</v>
      </c>
      <c r="AA322" t="s">
        <v>1337</v>
      </c>
      <c r="AB322" t="s">
        <v>3340</v>
      </c>
      <c r="AC322">
        <v>4</v>
      </c>
      <c r="AD322" t="s">
        <v>56</v>
      </c>
      <c r="AE322" t="s">
        <v>3336</v>
      </c>
      <c r="AF322" t="s">
        <v>99</v>
      </c>
      <c r="AG322" t="s">
        <v>85</v>
      </c>
      <c r="AH322" s="1">
        <v>44968</v>
      </c>
      <c r="AI322" s="1">
        <v>45027</v>
      </c>
      <c r="AJ322" s="1">
        <v>45243</v>
      </c>
      <c r="AK322" t="s">
        <v>3557</v>
      </c>
      <c r="AL322" t="s">
        <v>1336</v>
      </c>
    </row>
    <row r="323" spans="1:38" x14ac:dyDescent="0.35">
      <c r="A323" t="s">
        <v>1338</v>
      </c>
      <c r="B323" t="s">
        <v>624</v>
      </c>
      <c r="C323" t="s">
        <v>43</v>
      </c>
      <c r="D323" t="s">
        <v>221</v>
      </c>
      <c r="E323" t="s">
        <v>222</v>
      </c>
      <c r="F323" t="s">
        <v>146</v>
      </c>
      <c r="G323" t="s">
        <v>223</v>
      </c>
      <c r="H323">
        <v>2920</v>
      </c>
      <c r="I323">
        <f>Sales_Transactions_Raw[[#This Row],[Unit_Price]]*Sales_Transactions_Raw[[#This Row],[Quantity]]</f>
        <v>2920</v>
      </c>
      <c r="J323">
        <v>1</v>
      </c>
      <c r="K323">
        <v>20</v>
      </c>
      <c r="L323">
        <v>584</v>
      </c>
      <c r="M323">
        <v>2336</v>
      </c>
      <c r="N323">
        <v>12</v>
      </c>
      <c r="O323">
        <v>280.32</v>
      </c>
      <c r="P323">
        <v>79</v>
      </c>
      <c r="Q323">
        <v>2616.3200000000002</v>
      </c>
      <c r="R323" t="s">
        <v>48</v>
      </c>
      <c r="S323" t="s">
        <v>65</v>
      </c>
      <c r="T323" t="s">
        <v>213</v>
      </c>
      <c r="U323" t="s">
        <v>214</v>
      </c>
      <c r="V323" t="s">
        <v>224</v>
      </c>
      <c r="W323" t="s">
        <v>95</v>
      </c>
      <c r="X323" t="s">
        <v>491</v>
      </c>
      <c r="Y323" t="s">
        <v>358</v>
      </c>
      <c r="Z323" t="s">
        <v>95</v>
      </c>
      <c r="AA323" t="s">
        <v>1340</v>
      </c>
      <c r="AB323" t="s">
        <v>3341</v>
      </c>
      <c r="AC323">
        <v>2</v>
      </c>
      <c r="AD323" t="s">
        <v>179</v>
      </c>
      <c r="AE323" t="s">
        <v>3336</v>
      </c>
      <c r="AF323" t="s">
        <v>262</v>
      </c>
      <c r="AG323" t="s">
        <v>85</v>
      </c>
      <c r="AH323" s="1">
        <v>45181</v>
      </c>
      <c r="AI323" s="1">
        <v>45183</v>
      </c>
      <c r="AJ323" s="1">
        <v>45190</v>
      </c>
      <c r="AK323" t="s">
        <v>3426</v>
      </c>
      <c r="AL323" t="s">
        <v>1339</v>
      </c>
    </row>
    <row r="324" spans="1:38" x14ac:dyDescent="0.35">
      <c r="A324" t="s">
        <v>1341</v>
      </c>
      <c r="B324" t="s">
        <v>191</v>
      </c>
      <c r="C324" t="s">
        <v>157</v>
      </c>
      <c r="D324" t="s">
        <v>274</v>
      </c>
      <c r="E324" t="s">
        <v>275</v>
      </c>
      <c r="F324" t="s">
        <v>211</v>
      </c>
      <c r="G324" t="s">
        <v>268</v>
      </c>
      <c r="H324">
        <v>14150</v>
      </c>
      <c r="I324">
        <f>Sales_Transactions_Raw[[#This Row],[Unit_Price]]*Sales_Transactions_Raw[[#This Row],[Quantity]]</f>
        <v>84900</v>
      </c>
      <c r="J324">
        <v>6</v>
      </c>
      <c r="K324">
        <v>10</v>
      </c>
      <c r="L324">
        <v>8490</v>
      </c>
      <c r="M324">
        <v>76410</v>
      </c>
      <c r="N324">
        <v>5</v>
      </c>
      <c r="O324">
        <v>3820.5</v>
      </c>
      <c r="P324">
        <v>0</v>
      </c>
      <c r="Q324">
        <v>80230.5</v>
      </c>
      <c r="R324" t="s">
        <v>64</v>
      </c>
      <c r="S324" t="s">
        <v>49</v>
      </c>
      <c r="T324" t="s">
        <v>115</v>
      </c>
      <c r="U324" t="s">
        <v>161</v>
      </c>
      <c r="V324" t="s">
        <v>80</v>
      </c>
      <c r="W324" t="s">
        <v>81</v>
      </c>
      <c r="X324" t="s">
        <v>469</v>
      </c>
      <c r="Y324" t="s">
        <v>244</v>
      </c>
      <c r="Z324" t="s">
        <v>70</v>
      </c>
      <c r="AA324" t="s">
        <v>1343</v>
      </c>
      <c r="AB324" t="s">
        <v>3335</v>
      </c>
      <c r="AC324">
        <v>1</v>
      </c>
      <c r="AD324" t="s">
        <v>56</v>
      </c>
      <c r="AE324" t="s">
        <v>3336</v>
      </c>
      <c r="AF324" t="s">
        <v>140</v>
      </c>
      <c r="AG324" t="s">
        <v>58</v>
      </c>
      <c r="AH324" s="1">
        <v>45371</v>
      </c>
      <c r="AI324" s="1">
        <v>45374</v>
      </c>
      <c r="AJ324" s="1">
        <v>45376</v>
      </c>
      <c r="AK324" t="s">
        <v>3718</v>
      </c>
      <c r="AL324" t="s">
        <v>1342</v>
      </c>
    </row>
    <row r="325" spans="1:38" x14ac:dyDescent="0.35">
      <c r="A325" t="s">
        <v>1344</v>
      </c>
      <c r="B325" t="s">
        <v>765</v>
      </c>
      <c r="C325" t="s">
        <v>43</v>
      </c>
      <c r="D325" t="s">
        <v>420</v>
      </c>
      <c r="E325" t="s">
        <v>421</v>
      </c>
      <c r="F325" t="s">
        <v>134</v>
      </c>
      <c r="G325" t="s">
        <v>135</v>
      </c>
      <c r="H325">
        <v>3590</v>
      </c>
      <c r="I325">
        <f>Sales_Transactions_Raw[[#This Row],[Unit_Price]]*Sales_Transactions_Raw[[#This Row],[Quantity]]</f>
        <v>3590</v>
      </c>
      <c r="J325">
        <v>1</v>
      </c>
      <c r="K325">
        <v>15</v>
      </c>
      <c r="L325">
        <v>538.5</v>
      </c>
      <c r="M325">
        <v>3051.5</v>
      </c>
      <c r="N325">
        <v>5</v>
      </c>
      <c r="O325">
        <v>152.57</v>
      </c>
      <c r="P325">
        <v>99</v>
      </c>
      <c r="Q325">
        <v>3204.07</v>
      </c>
      <c r="R325" t="s">
        <v>106</v>
      </c>
      <c r="S325" t="s">
        <v>65</v>
      </c>
      <c r="T325" t="s">
        <v>136</v>
      </c>
      <c r="U325" t="s">
        <v>108</v>
      </c>
      <c r="V325" t="s">
        <v>116</v>
      </c>
      <c r="W325" t="s">
        <v>70</v>
      </c>
      <c r="X325" t="s">
        <v>491</v>
      </c>
      <c r="Y325" t="s">
        <v>358</v>
      </c>
      <c r="Z325" t="s">
        <v>95</v>
      </c>
      <c r="AA325" t="s">
        <v>1346</v>
      </c>
      <c r="AB325" t="s">
        <v>3340</v>
      </c>
      <c r="AC325">
        <v>3</v>
      </c>
      <c r="AD325" t="s">
        <v>56</v>
      </c>
      <c r="AE325" t="s">
        <v>3336</v>
      </c>
      <c r="AF325" t="s">
        <v>279</v>
      </c>
      <c r="AG325" t="s">
        <v>58</v>
      </c>
      <c r="AH325" s="1">
        <v>44983</v>
      </c>
      <c r="AI325" s="1">
        <v>44984</v>
      </c>
      <c r="AJ325" s="1">
        <v>44992</v>
      </c>
      <c r="AK325" t="s">
        <v>3558</v>
      </c>
      <c r="AL325" t="s">
        <v>1345</v>
      </c>
    </row>
    <row r="326" spans="1:38" x14ac:dyDescent="0.35">
      <c r="A326" t="s">
        <v>408</v>
      </c>
      <c r="B326" t="s">
        <v>520</v>
      </c>
      <c r="C326" t="s">
        <v>157</v>
      </c>
      <c r="D326" t="s">
        <v>193</v>
      </c>
      <c r="E326" t="s">
        <v>194</v>
      </c>
      <c r="F326" t="s">
        <v>146</v>
      </c>
      <c r="G326" t="s">
        <v>195</v>
      </c>
      <c r="H326">
        <v>3420</v>
      </c>
      <c r="I326">
        <f>Sales_Transactions_Raw[[#This Row],[Unit_Price]]*Sales_Transactions_Raw[[#This Row],[Quantity]]</f>
        <v>10260</v>
      </c>
      <c r="J326">
        <v>3</v>
      </c>
      <c r="K326">
        <v>0</v>
      </c>
      <c r="L326">
        <v>0</v>
      </c>
      <c r="M326">
        <v>10260</v>
      </c>
      <c r="N326">
        <v>12</v>
      </c>
      <c r="O326">
        <v>1231.2</v>
      </c>
      <c r="P326">
        <v>0</v>
      </c>
      <c r="Q326">
        <v>11491.2</v>
      </c>
      <c r="R326" t="s">
        <v>79</v>
      </c>
      <c r="S326" t="s">
        <v>93</v>
      </c>
      <c r="T326" t="s">
        <v>136</v>
      </c>
      <c r="U326" t="s">
        <v>50</v>
      </c>
      <c r="V326" t="s">
        <v>224</v>
      </c>
      <c r="W326" t="s">
        <v>95</v>
      </c>
      <c r="X326" t="s">
        <v>750</v>
      </c>
      <c r="Y326" t="s">
        <v>127</v>
      </c>
      <c r="Z326" t="s">
        <v>68</v>
      </c>
      <c r="AA326" t="s">
        <v>1348</v>
      </c>
      <c r="AB326" t="s">
        <v>3335</v>
      </c>
      <c r="AC326">
        <v>4</v>
      </c>
      <c r="AD326" t="s">
        <v>56</v>
      </c>
      <c r="AE326" t="s">
        <v>3336</v>
      </c>
      <c r="AF326" t="s">
        <v>84</v>
      </c>
      <c r="AG326" t="s">
        <v>3337</v>
      </c>
      <c r="AH326" s="1">
        <v>45412</v>
      </c>
      <c r="AI326" s="1">
        <v>45416</v>
      </c>
      <c r="AJ326" s="1">
        <v>45418</v>
      </c>
      <c r="AK326" t="s">
        <v>3552</v>
      </c>
      <c r="AL326" t="s">
        <v>1347</v>
      </c>
    </row>
    <row r="327" spans="1:38" x14ac:dyDescent="0.35">
      <c r="A327" t="s">
        <v>1349</v>
      </c>
      <c r="B327" t="s">
        <v>247</v>
      </c>
      <c r="C327" t="s">
        <v>43</v>
      </c>
      <c r="D327" t="s">
        <v>391</v>
      </c>
      <c r="E327" t="s">
        <v>392</v>
      </c>
      <c r="F327" t="s">
        <v>46</v>
      </c>
      <c r="G327" t="s">
        <v>176</v>
      </c>
      <c r="H327">
        <v>9470</v>
      </c>
      <c r="I327">
        <f>Sales_Transactions_Raw[[#This Row],[Unit_Price]]*Sales_Transactions_Raw[[#This Row],[Quantity]]</f>
        <v>37880</v>
      </c>
      <c r="J327">
        <v>4</v>
      </c>
      <c r="K327">
        <v>10</v>
      </c>
      <c r="L327">
        <v>3788</v>
      </c>
      <c r="M327">
        <v>34092</v>
      </c>
      <c r="N327">
        <v>18</v>
      </c>
      <c r="O327">
        <v>6136.56</v>
      </c>
      <c r="P327">
        <v>0</v>
      </c>
      <c r="Q327">
        <v>40228.559999999998</v>
      </c>
      <c r="R327" t="s">
        <v>106</v>
      </c>
      <c r="S327" t="s">
        <v>93</v>
      </c>
      <c r="T327" t="s">
        <v>115</v>
      </c>
      <c r="U327" t="s">
        <v>196</v>
      </c>
      <c r="V327" t="s">
        <v>116</v>
      </c>
      <c r="W327" t="s">
        <v>70</v>
      </c>
      <c r="X327" t="s">
        <v>168</v>
      </c>
      <c r="Y327" t="s">
        <v>169</v>
      </c>
      <c r="Z327" t="s">
        <v>95</v>
      </c>
      <c r="AA327" t="s">
        <v>1351</v>
      </c>
      <c r="AB327" t="s">
        <v>3335</v>
      </c>
      <c r="AC327">
        <v>4</v>
      </c>
      <c r="AD327" t="s">
        <v>56</v>
      </c>
      <c r="AE327" t="s">
        <v>3336</v>
      </c>
      <c r="AF327" t="s">
        <v>57</v>
      </c>
      <c r="AG327" t="s">
        <v>85</v>
      </c>
      <c r="AH327" s="1">
        <v>45230</v>
      </c>
      <c r="AI327" s="1">
        <v>45233</v>
      </c>
      <c r="AJ327" s="1">
        <v>45239</v>
      </c>
      <c r="AK327" t="s">
        <v>3559</v>
      </c>
      <c r="AL327" t="s">
        <v>1350</v>
      </c>
    </row>
    <row r="328" spans="1:38" x14ac:dyDescent="0.35">
      <c r="A328" t="s">
        <v>1352</v>
      </c>
      <c r="B328" t="s">
        <v>656</v>
      </c>
      <c r="C328" t="s">
        <v>43</v>
      </c>
      <c r="D328" t="s">
        <v>323</v>
      </c>
      <c r="E328" t="s">
        <v>324</v>
      </c>
      <c r="F328" t="s">
        <v>146</v>
      </c>
      <c r="G328" t="s">
        <v>296</v>
      </c>
      <c r="H328">
        <v>11660</v>
      </c>
      <c r="I328">
        <f>Sales_Transactions_Raw[[#This Row],[Unit_Price]]*Sales_Transactions_Raw[[#This Row],[Quantity]]</f>
        <v>34980</v>
      </c>
      <c r="J328">
        <v>3</v>
      </c>
      <c r="K328">
        <v>15</v>
      </c>
      <c r="L328">
        <v>5247</v>
      </c>
      <c r="M328">
        <v>29733</v>
      </c>
      <c r="N328">
        <v>12</v>
      </c>
      <c r="O328">
        <v>3567.96</v>
      </c>
      <c r="P328">
        <v>0</v>
      </c>
      <c r="Q328">
        <v>33300.959999999999</v>
      </c>
      <c r="R328" t="s">
        <v>64</v>
      </c>
      <c r="S328" t="s">
        <v>125</v>
      </c>
      <c r="T328" t="s">
        <v>115</v>
      </c>
      <c r="U328" t="s">
        <v>161</v>
      </c>
      <c r="V328" t="s">
        <v>197</v>
      </c>
      <c r="W328" t="s">
        <v>68</v>
      </c>
      <c r="X328" t="s">
        <v>69</v>
      </c>
      <c r="Y328" t="s">
        <v>54</v>
      </c>
      <c r="Z328" t="s">
        <v>70</v>
      </c>
      <c r="AA328" t="s">
        <v>1354</v>
      </c>
      <c r="AB328" t="s">
        <v>3339</v>
      </c>
      <c r="AC328">
        <v>3</v>
      </c>
      <c r="AD328" t="s">
        <v>56</v>
      </c>
      <c r="AE328" t="s">
        <v>3336</v>
      </c>
      <c r="AF328" t="s">
        <v>99</v>
      </c>
      <c r="AG328" t="s">
        <v>3342</v>
      </c>
      <c r="AH328" s="1">
        <v>45629</v>
      </c>
      <c r="AI328" s="1">
        <v>45370</v>
      </c>
      <c r="AJ328" s="1">
        <v>45375</v>
      </c>
      <c r="AK328" t="s">
        <v>3560</v>
      </c>
      <c r="AL328" t="s">
        <v>1353</v>
      </c>
    </row>
    <row r="329" spans="1:38" x14ac:dyDescent="0.35">
      <c r="A329" t="s">
        <v>1355</v>
      </c>
      <c r="B329" t="s">
        <v>1335</v>
      </c>
      <c r="C329" t="s">
        <v>43</v>
      </c>
      <c r="D329" t="s">
        <v>122</v>
      </c>
      <c r="E329" t="s">
        <v>123</v>
      </c>
      <c r="F329" t="s">
        <v>46</v>
      </c>
      <c r="G329" t="s">
        <v>63</v>
      </c>
      <c r="H329">
        <v>60510</v>
      </c>
      <c r="I329">
        <f>Sales_Transactions_Raw[[#This Row],[Unit_Price]]*Sales_Transactions_Raw[[#This Row],[Quantity]]</f>
        <v>181530</v>
      </c>
      <c r="J329">
        <v>3</v>
      </c>
      <c r="K329">
        <v>0</v>
      </c>
      <c r="L329">
        <v>0</v>
      </c>
      <c r="M329">
        <v>181530</v>
      </c>
      <c r="N329">
        <v>18</v>
      </c>
      <c r="O329">
        <v>32675.4</v>
      </c>
      <c r="P329">
        <v>0</v>
      </c>
      <c r="Q329">
        <v>214205.4</v>
      </c>
      <c r="R329" t="s">
        <v>48</v>
      </c>
      <c r="S329" t="s">
        <v>125</v>
      </c>
      <c r="T329" t="s">
        <v>719</v>
      </c>
      <c r="U329" t="s">
        <v>50</v>
      </c>
      <c r="V329" t="s">
        <v>177</v>
      </c>
      <c r="W329" t="s">
        <v>81</v>
      </c>
      <c r="X329" t="s">
        <v>150</v>
      </c>
      <c r="Y329" t="s">
        <v>151</v>
      </c>
      <c r="Z329" t="s">
        <v>81</v>
      </c>
      <c r="AA329" t="s">
        <v>1357</v>
      </c>
      <c r="AB329" t="s">
        <v>3335</v>
      </c>
      <c r="AC329">
        <v>5</v>
      </c>
      <c r="AD329" t="s">
        <v>56</v>
      </c>
      <c r="AE329" t="s">
        <v>3336</v>
      </c>
      <c r="AF329" t="s">
        <v>153</v>
      </c>
      <c r="AG329" t="s">
        <v>3337</v>
      </c>
      <c r="AH329" s="1">
        <v>45341</v>
      </c>
      <c r="AI329" s="1">
        <v>45346</v>
      </c>
      <c r="AJ329" s="1">
        <v>45350</v>
      </c>
      <c r="AK329" t="s">
        <v>3561</v>
      </c>
      <c r="AL329" t="s">
        <v>1356</v>
      </c>
    </row>
    <row r="330" spans="1:38" x14ac:dyDescent="0.35">
      <c r="A330" t="s">
        <v>1358</v>
      </c>
      <c r="B330" t="s">
        <v>409</v>
      </c>
      <c r="C330" t="s">
        <v>43</v>
      </c>
      <c r="D330" t="s">
        <v>971</v>
      </c>
      <c r="E330" t="s">
        <v>972</v>
      </c>
      <c r="F330" t="s">
        <v>146</v>
      </c>
      <c r="G330" t="s">
        <v>195</v>
      </c>
      <c r="H330">
        <v>1530</v>
      </c>
      <c r="I330">
        <f>Sales_Transactions_Raw[[#This Row],[Unit_Price]]*Sales_Transactions_Raw[[#This Row],[Quantity]]</f>
        <v>12240</v>
      </c>
      <c r="J330">
        <v>8</v>
      </c>
      <c r="K330">
        <v>10</v>
      </c>
      <c r="L330">
        <v>1224</v>
      </c>
      <c r="M330">
        <v>11016</v>
      </c>
      <c r="N330">
        <v>12</v>
      </c>
      <c r="O330">
        <v>1321.92</v>
      </c>
      <c r="P330">
        <v>0</v>
      </c>
      <c r="Q330">
        <v>12337.92</v>
      </c>
      <c r="R330" t="s">
        <v>124</v>
      </c>
      <c r="S330" t="s">
        <v>49</v>
      </c>
      <c r="T330" t="s">
        <v>115</v>
      </c>
      <c r="U330" t="s">
        <v>50</v>
      </c>
      <c r="V330" t="s">
        <v>197</v>
      </c>
      <c r="W330" t="s">
        <v>68</v>
      </c>
      <c r="X330" t="s">
        <v>474</v>
      </c>
      <c r="Y330" t="s">
        <v>169</v>
      </c>
      <c r="Z330" t="s">
        <v>95</v>
      </c>
      <c r="AA330" t="s">
        <v>1360</v>
      </c>
      <c r="AB330" t="s">
        <v>3335</v>
      </c>
      <c r="AC330">
        <v>4</v>
      </c>
      <c r="AD330" t="s">
        <v>56</v>
      </c>
      <c r="AE330" t="s">
        <v>3336</v>
      </c>
      <c r="AF330" t="s">
        <v>326</v>
      </c>
      <c r="AG330" t="s">
        <v>58</v>
      </c>
      <c r="AH330" s="1">
        <v>44963</v>
      </c>
      <c r="AI330" s="1">
        <v>44969</v>
      </c>
      <c r="AJ330" s="1">
        <v>44978</v>
      </c>
      <c r="AK330" t="s">
        <v>3425</v>
      </c>
      <c r="AL330" t="s">
        <v>1359</v>
      </c>
    </row>
    <row r="331" spans="1:38" x14ac:dyDescent="0.35">
      <c r="A331" t="s">
        <v>1361</v>
      </c>
      <c r="B331" t="s">
        <v>842</v>
      </c>
      <c r="C331" t="s">
        <v>43</v>
      </c>
      <c r="D331" t="s">
        <v>303</v>
      </c>
      <c r="E331" t="s">
        <v>304</v>
      </c>
      <c r="F331" t="s">
        <v>134</v>
      </c>
      <c r="G331" t="s">
        <v>305</v>
      </c>
      <c r="H331">
        <v>35150</v>
      </c>
      <c r="I331">
        <f>Sales_Transactions_Raw[[#This Row],[Unit_Price]]*Sales_Transactions_Raw[[#This Row],[Quantity]]</f>
        <v>105450</v>
      </c>
      <c r="J331">
        <v>3</v>
      </c>
      <c r="K331">
        <v>0</v>
      </c>
      <c r="L331">
        <v>0</v>
      </c>
      <c r="M331">
        <v>105450</v>
      </c>
      <c r="N331">
        <v>5</v>
      </c>
      <c r="O331">
        <v>5272.5</v>
      </c>
      <c r="P331">
        <v>0</v>
      </c>
      <c r="Q331">
        <v>110722.5</v>
      </c>
      <c r="R331" t="s">
        <v>160</v>
      </c>
      <c r="S331" t="s">
        <v>49</v>
      </c>
      <c r="T331" t="s">
        <v>115</v>
      </c>
      <c r="U331" t="s">
        <v>196</v>
      </c>
      <c r="V331" t="s">
        <v>276</v>
      </c>
      <c r="W331" t="s">
        <v>95</v>
      </c>
      <c r="X331" t="s">
        <v>277</v>
      </c>
      <c r="Y331" t="s">
        <v>127</v>
      </c>
      <c r="Z331" t="s">
        <v>68</v>
      </c>
      <c r="AA331" t="s">
        <v>1363</v>
      </c>
      <c r="AB331" t="s">
        <v>3344</v>
      </c>
      <c r="AC331">
        <v>1</v>
      </c>
      <c r="AD331" t="s">
        <v>56</v>
      </c>
      <c r="AE331" t="s">
        <v>3336</v>
      </c>
      <c r="AF331" t="s">
        <v>72</v>
      </c>
      <c r="AG331" t="s">
        <v>3342</v>
      </c>
      <c r="AH331" s="1">
        <v>45317</v>
      </c>
      <c r="AI331" s="1">
        <v>45323</v>
      </c>
      <c r="AJ331" s="1">
        <v>45330</v>
      </c>
      <c r="AK331" t="s">
        <v>3482</v>
      </c>
      <c r="AL331" t="s">
        <v>1362</v>
      </c>
    </row>
    <row r="332" spans="1:38" x14ac:dyDescent="0.35">
      <c r="A332" t="s">
        <v>1364</v>
      </c>
      <c r="B332" t="s">
        <v>533</v>
      </c>
      <c r="C332" t="s">
        <v>43</v>
      </c>
      <c r="D332" t="s">
        <v>504</v>
      </c>
      <c r="E332" t="s">
        <v>91</v>
      </c>
      <c r="F332" t="s">
        <v>134</v>
      </c>
      <c r="G332" t="s">
        <v>330</v>
      </c>
      <c r="H332">
        <v>25300</v>
      </c>
      <c r="I332">
        <f>Sales_Transactions_Raw[[#This Row],[Unit_Price]]*Sales_Transactions_Raw[[#This Row],[Quantity]]</f>
        <v>202400</v>
      </c>
      <c r="J332">
        <v>8</v>
      </c>
      <c r="K332">
        <v>15</v>
      </c>
      <c r="L332">
        <v>30360</v>
      </c>
      <c r="M332">
        <v>172040</v>
      </c>
      <c r="N332">
        <v>5</v>
      </c>
      <c r="O332">
        <v>8602</v>
      </c>
      <c r="P332">
        <v>0</v>
      </c>
      <c r="Q332">
        <v>180642</v>
      </c>
      <c r="R332" t="s">
        <v>79</v>
      </c>
      <c r="S332" t="s">
        <v>93</v>
      </c>
      <c r="T332" t="s">
        <v>115</v>
      </c>
      <c r="U332" t="s">
        <v>50</v>
      </c>
      <c r="V332" t="s">
        <v>242</v>
      </c>
      <c r="W332" t="s">
        <v>70</v>
      </c>
      <c r="X332" t="s">
        <v>381</v>
      </c>
      <c r="Y332" t="s">
        <v>199</v>
      </c>
      <c r="Z332" t="s">
        <v>52</v>
      </c>
      <c r="AA332" t="s">
        <v>1366</v>
      </c>
      <c r="AB332" t="s">
        <v>3338</v>
      </c>
      <c r="AC332">
        <v>5</v>
      </c>
      <c r="AD332" t="s">
        <v>56</v>
      </c>
      <c r="AE332" t="s">
        <v>3336</v>
      </c>
      <c r="AF332" t="s">
        <v>326</v>
      </c>
      <c r="AG332" t="s">
        <v>85</v>
      </c>
      <c r="AH332" s="1">
        <v>45305</v>
      </c>
      <c r="AI332" s="1">
        <v>45323</v>
      </c>
      <c r="AJ332" s="1">
        <v>45311</v>
      </c>
      <c r="AK332" t="s">
        <v>3562</v>
      </c>
      <c r="AL332" t="s">
        <v>1365</v>
      </c>
    </row>
    <row r="333" spans="1:38" x14ac:dyDescent="0.35">
      <c r="A333" t="s">
        <v>1367</v>
      </c>
      <c r="B333" t="s">
        <v>130</v>
      </c>
      <c r="C333" t="s">
        <v>43</v>
      </c>
      <c r="D333" t="s">
        <v>303</v>
      </c>
      <c r="E333" t="s">
        <v>304</v>
      </c>
      <c r="F333" t="s">
        <v>134</v>
      </c>
      <c r="G333" t="s">
        <v>305</v>
      </c>
      <c r="H333">
        <v>37680</v>
      </c>
      <c r="I333">
        <f>Sales_Transactions_Raw[[#This Row],[Unit_Price]]*Sales_Transactions_Raw[[#This Row],[Quantity]]</f>
        <v>188400</v>
      </c>
      <c r="J333">
        <v>5</v>
      </c>
      <c r="K333">
        <v>5</v>
      </c>
      <c r="L333">
        <v>9420</v>
      </c>
      <c r="M333">
        <v>178980</v>
      </c>
      <c r="N333">
        <v>5</v>
      </c>
      <c r="O333">
        <v>8949</v>
      </c>
      <c r="P333">
        <v>0</v>
      </c>
      <c r="Q333">
        <v>187929</v>
      </c>
      <c r="R333" t="s">
        <v>160</v>
      </c>
      <c r="S333" t="s">
        <v>125</v>
      </c>
      <c r="T333" t="s">
        <v>115</v>
      </c>
      <c r="U333" t="s">
        <v>214</v>
      </c>
      <c r="V333" t="s">
        <v>51</v>
      </c>
      <c r="W333" t="s">
        <v>52</v>
      </c>
      <c r="X333" t="s">
        <v>288</v>
      </c>
      <c r="Y333" t="s">
        <v>289</v>
      </c>
      <c r="Z333" t="s">
        <v>52</v>
      </c>
      <c r="AA333" t="s">
        <v>1369</v>
      </c>
      <c r="AB333" t="s">
        <v>3335</v>
      </c>
      <c r="AC333">
        <v>5</v>
      </c>
      <c r="AD333" t="s">
        <v>56</v>
      </c>
      <c r="AE333" t="s">
        <v>3336</v>
      </c>
      <c r="AF333" t="s">
        <v>326</v>
      </c>
      <c r="AG333" t="s">
        <v>111</v>
      </c>
      <c r="AH333" s="1">
        <v>45356</v>
      </c>
      <c r="AI333" s="1">
        <v>45360</v>
      </c>
      <c r="AJ333" s="1">
        <v>45370</v>
      </c>
      <c r="AK333" t="s">
        <v>3352</v>
      </c>
      <c r="AL333" t="s">
        <v>1368</v>
      </c>
    </row>
    <row r="334" spans="1:38" x14ac:dyDescent="0.35">
      <c r="A334" t="s">
        <v>1370</v>
      </c>
      <c r="B334" t="s">
        <v>202</v>
      </c>
      <c r="C334" t="s">
        <v>157</v>
      </c>
      <c r="D334" t="s">
        <v>323</v>
      </c>
      <c r="E334" t="s">
        <v>324</v>
      </c>
      <c r="F334" t="s">
        <v>146</v>
      </c>
      <c r="G334" t="s">
        <v>296</v>
      </c>
      <c r="H334">
        <v>11010</v>
      </c>
      <c r="I334">
        <f>Sales_Transactions_Raw[[#This Row],[Unit_Price]]*Sales_Transactions_Raw[[#This Row],[Quantity]]</f>
        <v>44040</v>
      </c>
      <c r="J334">
        <v>4</v>
      </c>
      <c r="K334">
        <v>25</v>
      </c>
      <c r="L334">
        <v>11010</v>
      </c>
      <c r="M334">
        <v>33030</v>
      </c>
      <c r="N334">
        <v>12</v>
      </c>
      <c r="O334">
        <v>3963.6</v>
      </c>
      <c r="P334">
        <v>0</v>
      </c>
      <c r="Q334">
        <v>36993.599999999999</v>
      </c>
      <c r="R334" t="s">
        <v>92</v>
      </c>
      <c r="S334" t="s">
        <v>107</v>
      </c>
      <c r="T334" t="s">
        <v>213</v>
      </c>
      <c r="U334" t="s">
        <v>196</v>
      </c>
      <c r="V334" t="s">
        <v>269</v>
      </c>
      <c r="W334" t="s">
        <v>70</v>
      </c>
      <c r="X334" t="s">
        <v>510</v>
      </c>
      <c r="Y334" t="s">
        <v>199</v>
      </c>
      <c r="Z334" t="s">
        <v>52</v>
      </c>
      <c r="AA334" t="s">
        <v>1372</v>
      </c>
      <c r="AB334" t="s">
        <v>3335</v>
      </c>
      <c r="AC334">
        <v>3</v>
      </c>
      <c r="AD334" t="s">
        <v>179</v>
      </c>
      <c r="AE334" t="s">
        <v>476</v>
      </c>
      <c r="AF334" t="s">
        <v>140</v>
      </c>
      <c r="AG334" t="s">
        <v>58</v>
      </c>
      <c r="AH334" s="1">
        <v>45213</v>
      </c>
      <c r="AI334" s="1">
        <v>45216</v>
      </c>
      <c r="AJ334" s="1">
        <v>45220</v>
      </c>
      <c r="AK334" t="s">
        <v>3359</v>
      </c>
      <c r="AL334" t="s">
        <v>1371</v>
      </c>
    </row>
    <row r="335" spans="1:38" x14ac:dyDescent="0.35">
      <c r="A335" t="s">
        <v>1373</v>
      </c>
      <c r="B335" t="s">
        <v>1296</v>
      </c>
      <c r="C335" t="s">
        <v>43</v>
      </c>
      <c r="D335" t="s">
        <v>350</v>
      </c>
      <c r="E335" t="s">
        <v>351</v>
      </c>
      <c r="F335" t="s">
        <v>211</v>
      </c>
      <c r="G335" t="s">
        <v>352</v>
      </c>
      <c r="H335">
        <v>45140</v>
      </c>
      <c r="I335">
        <f>Sales_Transactions_Raw[[#This Row],[Unit_Price]]*Sales_Transactions_Raw[[#This Row],[Quantity]]</f>
        <v>45140</v>
      </c>
      <c r="J335">
        <v>1</v>
      </c>
      <c r="K335">
        <v>10</v>
      </c>
      <c r="L335">
        <v>4514</v>
      </c>
      <c r="M335">
        <v>40626</v>
      </c>
      <c r="N335">
        <v>5</v>
      </c>
      <c r="O335">
        <v>2031.3</v>
      </c>
      <c r="P335">
        <v>0</v>
      </c>
      <c r="Q335">
        <v>42657.3</v>
      </c>
      <c r="R335" t="s">
        <v>160</v>
      </c>
      <c r="S335" t="s">
        <v>93</v>
      </c>
      <c r="T335" t="s">
        <v>115</v>
      </c>
      <c r="U335" t="s">
        <v>214</v>
      </c>
      <c r="V335" t="s">
        <v>276</v>
      </c>
      <c r="W335" t="s">
        <v>95</v>
      </c>
      <c r="X335" t="s">
        <v>515</v>
      </c>
      <c r="Y335" t="s">
        <v>82</v>
      </c>
      <c r="Z335" t="s">
        <v>52</v>
      </c>
      <c r="AA335" t="s">
        <v>1375</v>
      </c>
      <c r="AB335" t="s">
        <v>3335</v>
      </c>
      <c r="AC335">
        <v>5</v>
      </c>
      <c r="AD335" t="s">
        <v>56</v>
      </c>
      <c r="AE335" t="s">
        <v>3336</v>
      </c>
      <c r="AF335" t="s">
        <v>262</v>
      </c>
      <c r="AG335" t="s">
        <v>3342</v>
      </c>
      <c r="AH335" s="1">
        <v>45113</v>
      </c>
      <c r="AI335" s="1">
        <v>45119</v>
      </c>
      <c r="AJ335" s="1">
        <v>45122</v>
      </c>
      <c r="AK335" t="s">
        <v>3563</v>
      </c>
      <c r="AL335" t="s">
        <v>1374</v>
      </c>
    </row>
    <row r="336" spans="1:38" x14ac:dyDescent="0.35">
      <c r="A336" t="s">
        <v>348</v>
      </c>
      <c r="B336" t="s">
        <v>142</v>
      </c>
      <c r="C336" t="s">
        <v>43</v>
      </c>
      <c r="D336" t="s">
        <v>103</v>
      </c>
      <c r="E336" t="s">
        <v>104</v>
      </c>
      <c r="F336" t="s">
        <v>46</v>
      </c>
      <c r="G336" t="s">
        <v>105</v>
      </c>
      <c r="H336">
        <v>32330</v>
      </c>
      <c r="I336">
        <f>Sales_Transactions_Raw[[#This Row],[Unit_Price]]*Sales_Transactions_Raw[[#This Row],[Quantity]]</f>
        <v>64660</v>
      </c>
      <c r="J336">
        <v>2</v>
      </c>
      <c r="K336">
        <v>0</v>
      </c>
      <c r="L336">
        <v>0</v>
      </c>
      <c r="M336">
        <v>64660</v>
      </c>
      <c r="N336">
        <v>18</v>
      </c>
      <c r="O336">
        <v>11638.8</v>
      </c>
      <c r="P336">
        <v>0</v>
      </c>
      <c r="Q336">
        <v>76298.8</v>
      </c>
      <c r="R336" t="s">
        <v>160</v>
      </c>
      <c r="S336" t="s">
        <v>65</v>
      </c>
      <c r="T336" t="s">
        <v>115</v>
      </c>
      <c r="U336" t="s">
        <v>161</v>
      </c>
      <c r="V336" t="s">
        <v>177</v>
      </c>
      <c r="W336" t="s">
        <v>81</v>
      </c>
      <c r="X336" t="s">
        <v>397</v>
      </c>
      <c r="Y336" t="s">
        <v>226</v>
      </c>
      <c r="Z336" t="s">
        <v>95</v>
      </c>
      <c r="AA336" t="s">
        <v>1377</v>
      </c>
      <c r="AB336" t="s">
        <v>3343</v>
      </c>
      <c r="AC336">
        <v>5</v>
      </c>
      <c r="AD336" t="s">
        <v>56</v>
      </c>
      <c r="AE336" t="s">
        <v>3336</v>
      </c>
      <c r="AF336" t="s">
        <v>57</v>
      </c>
      <c r="AG336" t="s">
        <v>85</v>
      </c>
      <c r="AH336" s="1">
        <v>45428</v>
      </c>
      <c r="AI336" s="1">
        <v>45430</v>
      </c>
      <c r="AJ336" s="1">
        <v>45435</v>
      </c>
      <c r="AK336" t="s">
        <v>3447</v>
      </c>
      <c r="AL336" t="s">
        <v>1376</v>
      </c>
    </row>
    <row r="337" spans="1:38" x14ac:dyDescent="0.35">
      <c r="A337" t="s">
        <v>1378</v>
      </c>
      <c r="B337" t="s">
        <v>646</v>
      </c>
      <c r="C337" t="s">
        <v>157</v>
      </c>
      <c r="D337" t="s">
        <v>630</v>
      </c>
      <c r="E337" t="s">
        <v>450</v>
      </c>
      <c r="F337" t="s">
        <v>134</v>
      </c>
      <c r="G337" t="s">
        <v>497</v>
      </c>
      <c r="H337">
        <v>51500</v>
      </c>
      <c r="I337">
        <f>Sales_Transactions_Raw[[#This Row],[Unit_Price]]*Sales_Transactions_Raw[[#This Row],[Quantity]]</f>
        <v>360500</v>
      </c>
      <c r="J337">
        <v>7</v>
      </c>
      <c r="K337">
        <v>15</v>
      </c>
      <c r="L337">
        <v>54075</v>
      </c>
      <c r="M337">
        <v>306425</v>
      </c>
      <c r="N337">
        <v>5</v>
      </c>
      <c r="O337">
        <v>15321.25</v>
      </c>
      <c r="P337">
        <v>0</v>
      </c>
      <c r="Q337">
        <v>321746.25</v>
      </c>
      <c r="R337" t="s">
        <v>64</v>
      </c>
      <c r="S337" t="s">
        <v>107</v>
      </c>
      <c r="T337" t="s">
        <v>136</v>
      </c>
      <c r="U337" t="s">
        <v>108</v>
      </c>
      <c r="V337" t="s">
        <v>80</v>
      </c>
      <c r="W337" t="s">
        <v>81</v>
      </c>
      <c r="X337" t="s">
        <v>117</v>
      </c>
      <c r="Y337" t="s">
        <v>118</v>
      </c>
      <c r="Z337" t="s">
        <v>70</v>
      </c>
      <c r="AA337" t="s">
        <v>1380</v>
      </c>
      <c r="AB337" t="s">
        <v>3335</v>
      </c>
      <c r="AC337">
        <v>2</v>
      </c>
      <c r="AD337" t="s">
        <v>56</v>
      </c>
      <c r="AE337" t="s">
        <v>3336</v>
      </c>
      <c r="AF337" t="s">
        <v>279</v>
      </c>
      <c r="AG337" t="s">
        <v>85</v>
      </c>
      <c r="AH337" s="1">
        <v>45085</v>
      </c>
      <c r="AI337" s="1">
        <v>45090</v>
      </c>
      <c r="AJ337" s="1">
        <v>45095</v>
      </c>
      <c r="AK337" t="s">
        <v>3554</v>
      </c>
      <c r="AL337" t="s">
        <v>1379</v>
      </c>
    </row>
    <row r="338" spans="1:38" x14ac:dyDescent="0.35">
      <c r="A338" t="s">
        <v>1381</v>
      </c>
      <c r="B338" t="s">
        <v>343</v>
      </c>
      <c r="C338" t="s">
        <v>157</v>
      </c>
      <c r="D338" t="s">
        <v>174</v>
      </c>
      <c r="E338" t="s">
        <v>175</v>
      </c>
      <c r="F338" t="s">
        <v>46</v>
      </c>
      <c r="G338" t="s">
        <v>176</v>
      </c>
      <c r="H338">
        <v>1490</v>
      </c>
      <c r="I338">
        <f>Sales_Transactions_Raw[[#This Row],[Unit_Price]]*Sales_Transactions_Raw[[#This Row],[Quantity]]</f>
        <v>10430</v>
      </c>
      <c r="J338">
        <v>7</v>
      </c>
      <c r="K338">
        <v>10</v>
      </c>
      <c r="L338">
        <v>1043</v>
      </c>
      <c r="M338">
        <v>9387</v>
      </c>
      <c r="N338">
        <v>18</v>
      </c>
      <c r="O338">
        <v>1689.66</v>
      </c>
      <c r="P338">
        <v>0</v>
      </c>
      <c r="Q338">
        <v>11076.66</v>
      </c>
      <c r="R338" t="s">
        <v>79</v>
      </c>
      <c r="S338" t="s">
        <v>49</v>
      </c>
      <c r="T338" t="s">
        <v>115</v>
      </c>
      <c r="U338" t="s">
        <v>161</v>
      </c>
      <c r="V338" t="s">
        <v>116</v>
      </c>
      <c r="W338" t="s">
        <v>70</v>
      </c>
      <c r="X338" t="s">
        <v>168</v>
      </c>
      <c r="Y338" t="s">
        <v>169</v>
      </c>
      <c r="Z338" t="s">
        <v>95</v>
      </c>
      <c r="AA338" t="s">
        <v>1383</v>
      </c>
      <c r="AB338" t="s">
        <v>3344</v>
      </c>
      <c r="AC338">
        <v>4</v>
      </c>
      <c r="AD338" t="s">
        <v>179</v>
      </c>
      <c r="AE338" t="s">
        <v>180</v>
      </c>
      <c r="AF338" t="s">
        <v>99</v>
      </c>
      <c r="AG338" t="s">
        <v>3337</v>
      </c>
      <c r="AH338" s="1">
        <v>45092</v>
      </c>
      <c r="AI338" s="1">
        <v>45093</v>
      </c>
      <c r="AJ338" s="1">
        <v>45100</v>
      </c>
      <c r="AK338" t="s">
        <v>3457</v>
      </c>
      <c r="AL338" t="s">
        <v>1382</v>
      </c>
    </row>
    <row r="339" spans="1:38" x14ac:dyDescent="0.35">
      <c r="A339" t="s">
        <v>1384</v>
      </c>
      <c r="B339" t="s">
        <v>400</v>
      </c>
      <c r="C339" t="s">
        <v>43</v>
      </c>
      <c r="D339" t="s">
        <v>317</v>
      </c>
      <c r="E339" t="s">
        <v>77</v>
      </c>
      <c r="F339" t="s">
        <v>46</v>
      </c>
      <c r="G339" t="s">
        <v>176</v>
      </c>
      <c r="H339">
        <v>31690</v>
      </c>
      <c r="I339">
        <f>Sales_Transactions_Raw[[#This Row],[Unit_Price]]*Sales_Transactions_Raw[[#This Row],[Quantity]]</f>
        <v>158450</v>
      </c>
      <c r="J339">
        <v>5</v>
      </c>
      <c r="K339">
        <v>10</v>
      </c>
      <c r="L339">
        <v>15845</v>
      </c>
      <c r="M339">
        <v>142605</v>
      </c>
      <c r="N339">
        <v>18</v>
      </c>
      <c r="O339">
        <v>25668.9</v>
      </c>
      <c r="P339">
        <v>0</v>
      </c>
      <c r="Q339">
        <v>168273.9</v>
      </c>
      <c r="R339" t="s">
        <v>79</v>
      </c>
      <c r="S339" t="s">
        <v>125</v>
      </c>
      <c r="T339" t="s">
        <v>115</v>
      </c>
      <c r="U339" t="s">
        <v>214</v>
      </c>
      <c r="V339" t="s">
        <v>177</v>
      </c>
      <c r="W339" t="s">
        <v>81</v>
      </c>
      <c r="X339" t="s">
        <v>137</v>
      </c>
      <c r="Y339" t="s">
        <v>138</v>
      </c>
      <c r="Z339" t="s">
        <v>81</v>
      </c>
      <c r="AA339" t="s">
        <v>1386</v>
      </c>
      <c r="AB339" t="s">
        <v>3341</v>
      </c>
      <c r="AC339">
        <v>5</v>
      </c>
      <c r="AD339" t="s">
        <v>56</v>
      </c>
      <c r="AE339" t="s">
        <v>3336</v>
      </c>
      <c r="AF339" t="s">
        <v>153</v>
      </c>
      <c r="AG339" t="s">
        <v>58</v>
      </c>
      <c r="AH339" s="1">
        <v>45236</v>
      </c>
      <c r="AI339" s="1">
        <v>45238</v>
      </c>
      <c r="AJ339" s="1">
        <v>45246</v>
      </c>
      <c r="AK339" t="s">
        <v>3564</v>
      </c>
      <c r="AL339" t="s">
        <v>1385</v>
      </c>
    </row>
    <row r="340" spans="1:38" x14ac:dyDescent="0.35">
      <c r="A340" t="s">
        <v>1387</v>
      </c>
      <c r="B340" t="s">
        <v>1107</v>
      </c>
      <c r="C340" t="s">
        <v>89</v>
      </c>
      <c r="D340" t="s">
        <v>294</v>
      </c>
      <c r="E340" t="s">
        <v>295</v>
      </c>
      <c r="F340" t="s">
        <v>146</v>
      </c>
      <c r="G340" t="s">
        <v>296</v>
      </c>
      <c r="H340">
        <v>13080</v>
      </c>
      <c r="I340">
        <f>Sales_Transactions_Raw[[#This Row],[Unit_Price]]*Sales_Transactions_Raw[[#This Row],[Quantity]]</f>
        <v>52320</v>
      </c>
      <c r="J340">
        <v>4</v>
      </c>
      <c r="K340">
        <v>0</v>
      </c>
      <c r="L340">
        <v>0</v>
      </c>
      <c r="M340">
        <v>52320</v>
      </c>
      <c r="N340">
        <v>12</v>
      </c>
      <c r="O340">
        <v>6278.4</v>
      </c>
      <c r="P340">
        <v>0</v>
      </c>
      <c r="Q340">
        <v>58598.400000000001</v>
      </c>
      <c r="R340" t="s">
        <v>48</v>
      </c>
      <c r="S340" t="s">
        <v>49</v>
      </c>
      <c r="T340" t="s">
        <v>115</v>
      </c>
      <c r="U340" t="s">
        <v>108</v>
      </c>
      <c r="V340" t="s">
        <v>269</v>
      </c>
      <c r="W340" t="s">
        <v>70</v>
      </c>
      <c r="X340" t="s">
        <v>397</v>
      </c>
      <c r="Y340" t="s">
        <v>226</v>
      </c>
      <c r="Z340" t="s">
        <v>95</v>
      </c>
      <c r="AA340" t="s">
        <v>1389</v>
      </c>
      <c r="AB340" t="s">
        <v>3340</v>
      </c>
      <c r="AC340">
        <v>4</v>
      </c>
      <c r="AD340" t="s">
        <v>56</v>
      </c>
      <c r="AE340" t="s">
        <v>3336</v>
      </c>
      <c r="AF340" t="s">
        <v>99</v>
      </c>
      <c r="AG340" t="s">
        <v>3337</v>
      </c>
      <c r="AH340" s="1">
        <v>45069</v>
      </c>
      <c r="AI340" s="1">
        <v>45070</v>
      </c>
      <c r="AJ340" s="1">
        <v>45073</v>
      </c>
      <c r="AK340" t="s">
        <v>3565</v>
      </c>
      <c r="AL340" t="s">
        <v>1388</v>
      </c>
    </row>
    <row r="341" spans="1:38" x14ac:dyDescent="0.35">
      <c r="A341" t="s">
        <v>1390</v>
      </c>
      <c r="B341" t="s">
        <v>1000</v>
      </c>
      <c r="C341" t="s">
        <v>43</v>
      </c>
      <c r="D341" t="s">
        <v>630</v>
      </c>
      <c r="E341" t="s">
        <v>450</v>
      </c>
      <c r="F341" t="s">
        <v>134</v>
      </c>
      <c r="G341" t="s">
        <v>497</v>
      </c>
      <c r="H341">
        <v>45650</v>
      </c>
      <c r="I341">
        <f>Sales_Transactions_Raw[[#This Row],[Unit_Price]]*Sales_Transactions_Raw[[#This Row],[Quantity]]</f>
        <v>228250</v>
      </c>
      <c r="J341">
        <v>5</v>
      </c>
      <c r="K341">
        <v>15</v>
      </c>
      <c r="L341">
        <v>34237.5</v>
      </c>
      <c r="M341">
        <v>194012.5</v>
      </c>
      <c r="N341">
        <v>5</v>
      </c>
      <c r="O341">
        <v>9700.6200000000008</v>
      </c>
      <c r="P341">
        <v>0</v>
      </c>
      <c r="Q341">
        <v>203713.12</v>
      </c>
      <c r="R341" t="s">
        <v>92</v>
      </c>
      <c r="S341" t="s">
        <v>93</v>
      </c>
      <c r="T341" t="s">
        <v>719</v>
      </c>
      <c r="U341" t="s">
        <v>108</v>
      </c>
      <c r="V341" t="s">
        <v>80</v>
      </c>
      <c r="W341" t="s">
        <v>81</v>
      </c>
      <c r="X341" t="s">
        <v>260</v>
      </c>
      <c r="Y341" t="s">
        <v>118</v>
      </c>
      <c r="Z341" t="s">
        <v>70</v>
      </c>
      <c r="AA341" t="s">
        <v>1392</v>
      </c>
      <c r="AB341" t="s">
        <v>3335</v>
      </c>
      <c r="AC341">
        <v>4</v>
      </c>
      <c r="AD341" t="s">
        <v>56</v>
      </c>
      <c r="AE341" t="s">
        <v>3336</v>
      </c>
      <c r="AF341" t="s">
        <v>326</v>
      </c>
      <c r="AG341" t="s">
        <v>3337</v>
      </c>
      <c r="AH341" s="1">
        <v>45220</v>
      </c>
      <c r="AI341" s="1">
        <v>45224</v>
      </c>
      <c r="AJ341" s="1">
        <v>45228</v>
      </c>
      <c r="AK341" t="s">
        <v>3498</v>
      </c>
      <c r="AL341" t="s">
        <v>1391</v>
      </c>
    </row>
    <row r="342" spans="1:38" x14ac:dyDescent="0.35">
      <c r="A342" t="s">
        <v>1393</v>
      </c>
      <c r="B342" t="s">
        <v>940</v>
      </c>
      <c r="C342" t="s">
        <v>43</v>
      </c>
      <c r="D342" t="s">
        <v>44</v>
      </c>
      <c r="E342" t="s">
        <v>45</v>
      </c>
      <c r="F342" t="s">
        <v>46</v>
      </c>
      <c r="G342" t="s">
        <v>47</v>
      </c>
      <c r="H342">
        <v>11540</v>
      </c>
      <c r="I342">
        <f>Sales_Transactions_Raw[[#This Row],[Unit_Price]]*Sales_Transactions_Raw[[#This Row],[Quantity]]</f>
        <v>69240</v>
      </c>
      <c r="J342">
        <v>6</v>
      </c>
      <c r="K342">
        <v>0</v>
      </c>
      <c r="L342">
        <v>0</v>
      </c>
      <c r="M342">
        <v>69240</v>
      </c>
      <c r="N342">
        <v>18</v>
      </c>
      <c r="O342">
        <v>12463.2</v>
      </c>
      <c r="P342">
        <v>0</v>
      </c>
      <c r="Q342">
        <v>81703.199999999997</v>
      </c>
      <c r="R342" t="s">
        <v>92</v>
      </c>
      <c r="S342" t="s">
        <v>107</v>
      </c>
      <c r="T342" t="s">
        <v>115</v>
      </c>
      <c r="U342" t="s">
        <v>108</v>
      </c>
      <c r="V342" t="s">
        <v>80</v>
      </c>
      <c r="W342" t="s">
        <v>81</v>
      </c>
      <c r="X342" t="s">
        <v>486</v>
      </c>
      <c r="Y342" t="s">
        <v>138</v>
      </c>
      <c r="Z342" t="s">
        <v>81</v>
      </c>
      <c r="AA342" t="s">
        <v>1395</v>
      </c>
      <c r="AB342" t="s">
        <v>3344</v>
      </c>
      <c r="AC342">
        <v>2</v>
      </c>
      <c r="AD342" t="s">
        <v>179</v>
      </c>
      <c r="AE342" t="s">
        <v>3336</v>
      </c>
      <c r="AF342" t="s">
        <v>217</v>
      </c>
      <c r="AG342" t="s">
        <v>3342</v>
      </c>
      <c r="AH342" s="1">
        <v>44989</v>
      </c>
      <c r="AI342" s="1">
        <v>44993</v>
      </c>
      <c r="AJ342" s="1">
        <v>44996</v>
      </c>
      <c r="AK342" t="s">
        <v>3566</v>
      </c>
      <c r="AL342" t="s">
        <v>1394</v>
      </c>
    </row>
    <row r="343" spans="1:38" x14ac:dyDescent="0.35">
      <c r="A343" t="s">
        <v>1396</v>
      </c>
      <c r="B343" t="s">
        <v>484</v>
      </c>
      <c r="C343" t="s">
        <v>43</v>
      </c>
      <c r="D343" t="s">
        <v>971</v>
      </c>
      <c r="E343" t="s">
        <v>972</v>
      </c>
      <c r="F343" t="s">
        <v>146</v>
      </c>
      <c r="G343" t="s">
        <v>195</v>
      </c>
      <c r="H343">
        <v>1570</v>
      </c>
      <c r="I343">
        <f>Sales_Transactions_Raw[[#This Row],[Unit_Price]]*Sales_Transactions_Raw[[#This Row],[Quantity]]</f>
        <v>1570</v>
      </c>
      <c r="J343">
        <v>1</v>
      </c>
      <c r="K343">
        <v>15</v>
      </c>
      <c r="L343">
        <v>235.5</v>
      </c>
      <c r="M343">
        <v>1334.5</v>
      </c>
      <c r="N343">
        <v>12</v>
      </c>
      <c r="O343">
        <v>160.13999999999999</v>
      </c>
      <c r="P343">
        <v>49</v>
      </c>
      <c r="Q343">
        <v>1494.6399999999999</v>
      </c>
      <c r="R343" t="s">
        <v>124</v>
      </c>
      <c r="S343" t="s">
        <v>107</v>
      </c>
      <c r="T343" t="s">
        <v>115</v>
      </c>
      <c r="U343" t="s">
        <v>108</v>
      </c>
      <c r="V343" t="s">
        <v>287</v>
      </c>
      <c r="W343" t="s">
        <v>95</v>
      </c>
      <c r="X343" t="s">
        <v>469</v>
      </c>
      <c r="Y343" t="s">
        <v>244</v>
      </c>
      <c r="Z343" t="s">
        <v>70</v>
      </c>
      <c r="AB343" t="s">
        <v>3335</v>
      </c>
      <c r="AC343">
        <v>4</v>
      </c>
      <c r="AD343" t="s">
        <v>56</v>
      </c>
      <c r="AE343" t="s">
        <v>3336</v>
      </c>
      <c r="AF343" t="s">
        <v>279</v>
      </c>
      <c r="AG343" t="s">
        <v>3342</v>
      </c>
      <c r="AH343" s="1">
        <v>45139</v>
      </c>
      <c r="AI343" s="1">
        <v>45140</v>
      </c>
      <c r="AJ343" s="1">
        <v>45148</v>
      </c>
      <c r="AK343" t="s">
        <v>3567</v>
      </c>
      <c r="AL343" t="s">
        <v>1397</v>
      </c>
    </row>
    <row r="344" spans="1:38" x14ac:dyDescent="0.35">
      <c r="A344" t="s">
        <v>1398</v>
      </c>
      <c r="B344" t="s">
        <v>753</v>
      </c>
      <c r="C344" t="s">
        <v>43</v>
      </c>
      <c r="D344" t="s">
        <v>329</v>
      </c>
      <c r="E344" t="s">
        <v>250</v>
      </c>
      <c r="F344" t="s">
        <v>134</v>
      </c>
      <c r="G344" t="s">
        <v>330</v>
      </c>
      <c r="H344">
        <v>22220</v>
      </c>
      <c r="I344">
        <f>Sales_Transactions_Raw[[#This Row],[Unit_Price]]*Sales_Transactions_Raw[[#This Row],[Quantity]]</f>
        <v>22220</v>
      </c>
      <c r="J344">
        <v>1</v>
      </c>
      <c r="K344">
        <v>5</v>
      </c>
      <c r="L344">
        <v>1111</v>
      </c>
      <c r="M344">
        <v>21109</v>
      </c>
      <c r="N344">
        <v>5</v>
      </c>
      <c r="O344">
        <v>1055.45</v>
      </c>
      <c r="P344">
        <v>0</v>
      </c>
      <c r="Q344">
        <v>22164.45</v>
      </c>
      <c r="R344" t="s">
        <v>106</v>
      </c>
      <c r="S344" t="s">
        <v>49</v>
      </c>
      <c r="T344" t="s">
        <v>719</v>
      </c>
      <c r="U344" t="s">
        <v>50</v>
      </c>
      <c r="V344" t="s">
        <v>276</v>
      </c>
      <c r="W344" t="s">
        <v>95</v>
      </c>
      <c r="X344" t="s">
        <v>168</v>
      </c>
      <c r="Y344" t="s">
        <v>169</v>
      </c>
      <c r="Z344" t="s">
        <v>95</v>
      </c>
      <c r="AA344" t="s">
        <v>1400</v>
      </c>
      <c r="AB344" t="s">
        <v>3335</v>
      </c>
      <c r="AC344">
        <v>4</v>
      </c>
      <c r="AD344" t="s">
        <v>56</v>
      </c>
      <c r="AE344" t="s">
        <v>3336</v>
      </c>
      <c r="AF344" t="s">
        <v>262</v>
      </c>
      <c r="AG344" t="s">
        <v>58</v>
      </c>
      <c r="AH344" s="1">
        <v>45366</v>
      </c>
      <c r="AI344" s="1">
        <v>45371</v>
      </c>
      <c r="AJ344" s="1">
        <v>45377</v>
      </c>
      <c r="AK344" t="s">
        <v>3454</v>
      </c>
      <c r="AL344" t="s">
        <v>1399</v>
      </c>
    </row>
    <row r="345" spans="1:38" x14ac:dyDescent="0.35">
      <c r="A345" t="s">
        <v>1401</v>
      </c>
      <c r="B345" t="s">
        <v>166</v>
      </c>
      <c r="C345" t="s">
        <v>89</v>
      </c>
      <c r="D345" t="s">
        <v>144</v>
      </c>
      <c r="E345" t="s">
        <v>145</v>
      </c>
      <c r="F345" t="s">
        <v>146</v>
      </c>
      <c r="G345" t="s">
        <v>147</v>
      </c>
      <c r="H345">
        <v>2570</v>
      </c>
      <c r="I345">
        <f>Sales_Transactions_Raw[[#This Row],[Unit_Price]]*Sales_Transactions_Raw[[#This Row],[Quantity]]</f>
        <v>5140</v>
      </c>
      <c r="J345">
        <v>2</v>
      </c>
      <c r="K345">
        <v>15</v>
      </c>
      <c r="L345">
        <v>771</v>
      </c>
      <c r="M345">
        <v>4369</v>
      </c>
      <c r="N345">
        <v>12</v>
      </c>
      <c r="O345">
        <v>524.28</v>
      </c>
      <c r="P345">
        <v>99</v>
      </c>
      <c r="Q345">
        <v>4893.28</v>
      </c>
      <c r="R345" t="s">
        <v>79</v>
      </c>
      <c r="S345" t="s">
        <v>125</v>
      </c>
      <c r="T345" t="s">
        <v>136</v>
      </c>
      <c r="U345" t="s">
        <v>50</v>
      </c>
      <c r="V345" t="s">
        <v>94</v>
      </c>
      <c r="W345" t="s">
        <v>95</v>
      </c>
      <c r="X345" t="s">
        <v>187</v>
      </c>
      <c r="Y345" t="s">
        <v>188</v>
      </c>
      <c r="Z345" t="s">
        <v>68</v>
      </c>
      <c r="AA345" t="s">
        <v>1403</v>
      </c>
      <c r="AB345" t="s">
        <v>3335</v>
      </c>
      <c r="AC345">
        <v>4</v>
      </c>
      <c r="AD345" t="s">
        <v>56</v>
      </c>
      <c r="AE345" t="s">
        <v>3336</v>
      </c>
      <c r="AF345" t="s">
        <v>227</v>
      </c>
      <c r="AG345" t="s">
        <v>58</v>
      </c>
      <c r="AH345" s="1">
        <v>44996</v>
      </c>
      <c r="AI345" s="1">
        <v>45003</v>
      </c>
      <c r="AJ345" s="1">
        <v>45009</v>
      </c>
      <c r="AK345" t="s">
        <v>3568</v>
      </c>
      <c r="AL345" t="s">
        <v>1402</v>
      </c>
    </row>
    <row r="346" spans="1:38" x14ac:dyDescent="0.35">
      <c r="A346" t="s">
        <v>1404</v>
      </c>
      <c r="B346" t="s">
        <v>1000</v>
      </c>
      <c r="C346" t="s">
        <v>157</v>
      </c>
      <c r="D346" t="s">
        <v>221</v>
      </c>
      <c r="E346" t="s">
        <v>222</v>
      </c>
      <c r="F346" t="s">
        <v>146</v>
      </c>
      <c r="G346" t="s">
        <v>223</v>
      </c>
      <c r="H346">
        <v>2940</v>
      </c>
      <c r="I346">
        <f>Sales_Transactions_Raw[[#This Row],[Unit_Price]]*Sales_Transactions_Raw[[#This Row],[Quantity]]</f>
        <v>8820</v>
      </c>
      <c r="J346">
        <v>3</v>
      </c>
      <c r="K346">
        <v>0</v>
      </c>
      <c r="L346">
        <v>0</v>
      </c>
      <c r="M346">
        <v>2940</v>
      </c>
      <c r="N346">
        <v>12</v>
      </c>
      <c r="O346">
        <v>352.8</v>
      </c>
      <c r="P346">
        <v>149</v>
      </c>
      <c r="Q346">
        <v>3292.8</v>
      </c>
      <c r="R346" t="s">
        <v>64</v>
      </c>
      <c r="S346" t="s">
        <v>49</v>
      </c>
      <c r="T346" t="s">
        <v>148</v>
      </c>
      <c r="U346" t="s">
        <v>108</v>
      </c>
      <c r="V346" t="s">
        <v>177</v>
      </c>
      <c r="W346" t="s">
        <v>81</v>
      </c>
      <c r="X346" t="s">
        <v>626</v>
      </c>
      <c r="Y346" t="s">
        <v>289</v>
      </c>
      <c r="Z346" t="s">
        <v>52</v>
      </c>
      <c r="AA346" t="s">
        <v>1406</v>
      </c>
      <c r="AB346" t="s">
        <v>3341</v>
      </c>
      <c r="AC346">
        <v>3</v>
      </c>
      <c r="AD346" t="s">
        <v>56</v>
      </c>
      <c r="AE346" t="s">
        <v>3336</v>
      </c>
      <c r="AF346" t="s">
        <v>227</v>
      </c>
      <c r="AG346" t="s">
        <v>111</v>
      </c>
      <c r="AH346" s="1">
        <v>45043</v>
      </c>
      <c r="AI346" s="1">
        <v>45048</v>
      </c>
      <c r="AJ346" s="1">
        <v>45057</v>
      </c>
      <c r="AK346" t="s">
        <v>3507</v>
      </c>
      <c r="AL346" t="s">
        <v>1405</v>
      </c>
    </row>
    <row r="347" spans="1:38" x14ac:dyDescent="0.35">
      <c r="A347" t="s">
        <v>1407</v>
      </c>
      <c r="B347" t="s">
        <v>484</v>
      </c>
      <c r="C347" t="s">
        <v>43</v>
      </c>
      <c r="D347" t="s">
        <v>323</v>
      </c>
      <c r="E347" t="s">
        <v>324</v>
      </c>
      <c r="F347" t="s">
        <v>146</v>
      </c>
      <c r="G347" t="s">
        <v>296</v>
      </c>
      <c r="H347">
        <v>11010</v>
      </c>
      <c r="I347">
        <f>Sales_Transactions_Raw[[#This Row],[Unit_Price]]*Sales_Transactions_Raw[[#This Row],[Quantity]]</f>
        <v>22020</v>
      </c>
      <c r="J347">
        <v>2</v>
      </c>
      <c r="K347">
        <v>5</v>
      </c>
      <c r="L347">
        <v>1101</v>
      </c>
      <c r="M347">
        <v>20919</v>
      </c>
      <c r="N347">
        <v>12</v>
      </c>
      <c r="O347">
        <v>2510.2800000000002</v>
      </c>
      <c r="P347">
        <v>0</v>
      </c>
      <c r="Q347">
        <v>23429.279999999999</v>
      </c>
      <c r="R347" t="s">
        <v>48</v>
      </c>
      <c r="S347" t="s">
        <v>65</v>
      </c>
      <c r="T347" t="s">
        <v>115</v>
      </c>
      <c r="U347" t="s">
        <v>108</v>
      </c>
      <c r="V347" t="s">
        <v>94</v>
      </c>
      <c r="W347" t="s">
        <v>95</v>
      </c>
      <c r="X347" t="s">
        <v>437</v>
      </c>
      <c r="Y347" t="s">
        <v>319</v>
      </c>
      <c r="Z347" t="s">
        <v>95</v>
      </c>
      <c r="AA347" t="s">
        <v>1409</v>
      </c>
      <c r="AB347" t="s">
        <v>3338</v>
      </c>
      <c r="AC347">
        <v>4</v>
      </c>
      <c r="AD347" t="s">
        <v>56</v>
      </c>
      <c r="AE347" t="s">
        <v>3336</v>
      </c>
      <c r="AF347" t="s">
        <v>279</v>
      </c>
      <c r="AG347" t="s">
        <v>3342</v>
      </c>
      <c r="AH347" s="1">
        <v>45452</v>
      </c>
      <c r="AI347" s="1">
        <v>45458</v>
      </c>
      <c r="AJ347" s="1">
        <v>45463</v>
      </c>
      <c r="AK347" t="s">
        <v>3556</v>
      </c>
      <c r="AL347" t="s">
        <v>1408</v>
      </c>
    </row>
    <row r="348" spans="1:38" x14ac:dyDescent="0.35">
      <c r="A348" t="s">
        <v>1410</v>
      </c>
      <c r="B348" t="s">
        <v>264</v>
      </c>
      <c r="C348" t="s">
        <v>43</v>
      </c>
      <c r="D348" t="s">
        <v>230</v>
      </c>
      <c r="E348" t="s">
        <v>231</v>
      </c>
      <c r="F348" t="s">
        <v>46</v>
      </c>
      <c r="G348" t="s">
        <v>63</v>
      </c>
      <c r="H348">
        <v>110930</v>
      </c>
      <c r="I348">
        <f>Sales_Transactions_Raw[[#This Row],[Unit_Price]]*Sales_Transactions_Raw[[#This Row],[Quantity]]</f>
        <v>332790</v>
      </c>
      <c r="J348">
        <v>3</v>
      </c>
      <c r="K348">
        <v>20</v>
      </c>
      <c r="L348">
        <v>22186</v>
      </c>
      <c r="M348">
        <v>88744</v>
      </c>
      <c r="N348">
        <v>18</v>
      </c>
      <c r="O348">
        <v>15973.92</v>
      </c>
      <c r="P348">
        <v>0</v>
      </c>
      <c r="Q348">
        <v>104717.92</v>
      </c>
      <c r="R348" t="s">
        <v>160</v>
      </c>
      <c r="S348" t="s">
        <v>49</v>
      </c>
      <c r="T348" t="s">
        <v>66</v>
      </c>
      <c r="U348" t="s">
        <v>196</v>
      </c>
      <c r="V348" t="s">
        <v>276</v>
      </c>
      <c r="W348" t="s">
        <v>95</v>
      </c>
      <c r="X348" t="s">
        <v>437</v>
      </c>
      <c r="Y348" t="s">
        <v>319</v>
      </c>
      <c r="Z348" t="s">
        <v>95</v>
      </c>
      <c r="AA348" t="s">
        <v>1412</v>
      </c>
      <c r="AB348" t="s">
        <v>3335</v>
      </c>
      <c r="AC348">
        <v>3</v>
      </c>
      <c r="AD348" t="s">
        <v>56</v>
      </c>
      <c r="AE348" t="s">
        <v>3336</v>
      </c>
      <c r="AF348" t="s">
        <v>84</v>
      </c>
      <c r="AG348" t="s">
        <v>3337</v>
      </c>
      <c r="AH348" s="1">
        <v>44972</v>
      </c>
      <c r="AI348" s="1">
        <v>44976</v>
      </c>
      <c r="AJ348" s="1">
        <v>44986</v>
      </c>
      <c r="AK348" t="s">
        <v>3569</v>
      </c>
      <c r="AL348" t="s">
        <v>1411</v>
      </c>
    </row>
    <row r="349" spans="1:38" x14ac:dyDescent="0.35">
      <c r="A349" t="s">
        <v>1252</v>
      </c>
      <c r="B349" t="s">
        <v>1413</v>
      </c>
      <c r="C349" t="s">
        <v>43</v>
      </c>
      <c r="D349" t="s">
        <v>44</v>
      </c>
      <c r="E349" t="s">
        <v>45</v>
      </c>
      <c r="F349" t="s">
        <v>46</v>
      </c>
      <c r="G349" t="s">
        <v>47</v>
      </c>
      <c r="H349">
        <v>12370</v>
      </c>
      <c r="I349">
        <f>Sales_Transactions_Raw[[#This Row],[Unit_Price]]*Sales_Transactions_Raw[[#This Row],[Quantity]]</f>
        <v>12370</v>
      </c>
      <c r="J349">
        <v>1</v>
      </c>
      <c r="K349">
        <v>25</v>
      </c>
      <c r="L349">
        <v>3092.5</v>
      </c>
      <c r="M349">
        <v>9277.5</v>
      </c>
      <c r="N349">
        <v>18</v>
      </c>
      <c r="O349">
        <v>1669.95</v>
      </c>
      <c r="P349">
        <v>0</v>
      </c>
      <c r="Q349">
        <v>10947.45</v>
      </c>
      <c r="R349" t="s">
        <v>48</v>
      </c>
      <c r="S349" t="s">
        <v>107</v>
      </c>
      <c r="T349" t="s">
        <v>115</v>
      </c>
      <c r="U349" t="s">
        <v>161</v>
      </c>
      <c r="V349" t="s">
        <v>276</v>
      </c>
      <c r="W349" t="s">
        <v>95</v>
      </c>
      <c r="X349" t="s">
        <v>510</v>
      </c>
      <c r="Y349" t="s">
        <v>199</v>
      </c>
      <c r="Z349" t="s">
        <v>52</v>
      </c>
      <c r="AA349" t="s">
        <v>1415</v>
      </c>
      <c r="AB349" t="s">
        <v>3335</v>
      </c>
      <c r="AC349">
        <v>4</v>
      </c>
      <c r="AD349" t="s">
        <v>56</v>
      </c>
      <c r="AE349" t="s">
        <v>3336</v>
      </c>
      <c r="AF349" t="s">
        <v>217</v>
      </c>
      <c r="AG349" t="s">
        <v>58</v>
      </c>
      <c r="AH349" s="1">
        <v>45472</v>
      </c>
      <c r="AI349" s="1">
        <v>45478</v>
      </c>
      <c r="AJ349" s="1">
        <v>45488</v>
      </c>
      <c r="AK349" t="s">
        <v>3414</v>
      </c>
      <c r="AL349" t="s">
        <v>1414</v>
      </c>
    </row>
    <row r="350" spans="1:38" x14ac:dyDescent="0.35">
      <c r="A350" t="s">
        <v>1416</v>
      </c>
      <c r="B350" t="s">
        <v>264</v>
      </c>
      <c r="C350" t="s">
        <v>157</v>
      </c>
      <c r="D350" t="s">
        <v>630</v>
      </c>
      <c r="E350" t="s">
        <v>450</v>
      </c>
      <c r="F350" t="s">
        <v>134</v>
      </c>
      <c r="G350" t="s">
        <v>497</v>
      </c>
      <c r="H350">
        <v>47360</v>
      </c>
      <c r="I350">
        <f>Sales_Transactions_Raw[[#This Row],[Unit_Price]]*Sales_Transactions_Raw[[#This Row],[Quantity]]</f>
        <v>236800</v>
      </c>
      <c r="J350">
        <v>5</v>
      </c>
      <c r="K350">
        <v>15</v>
      </c>
      <c r="L350">
        <v>35520</v>
      </c>
      <c r="M350">
        <v>201280</v>
      </c>
      <c r="N350">
        <v>5</v>
      </c>
      <c r="O350">
        <v>10064</v>
      </c>
      <c r="P350">
        <v>0</v>
      </c>
      <c r="Q350">
        <v>211344</v>
      </c>
      <c r="R350" t="s">
        <v>64</v>
      </c>
      <c r="S350" t="s">
        <v>93</v>
      </c>
      <c r="T350" t="s">
        <v>115</v>
      </c>
      <c r="U350" t="s">
        <v>108</v>
      </c>
      <c r="V350" t="s">
        <v>287</v>
      </c>
      <c r="W350" t="s">
        <v>95</v>
      </c>
      <c r="X350" t="s">
        <v>232</v>
      </c>
      <c r="Y350" t="s">
        <v>82</v>
      </c>
      <c r="Z350" t="s">
        <v>52</v>
      </c>
      <c r="AA350" t="s">
        <v>1418</v>
      </c>
      <c r="AB350" t="s">
        <v>3335</v>
      </c>
      <c r="AC350">
        <v>4</v>
      </c>
      <c r="AD350" t="s">
        <v>56</v>
      </c>
      <c r="AE350" t="s">
        <v>3336</v>
      </c>
      <c r="AF350" t="s">
        <v>279</v>
      </c>
      <c r="AG350" t="s">
        <v>3337</v>
      </c>
      <c r="AH350" s="1">
        <v>45124</v>
      </c>
      <c r="AI350" s="1">
        <v>45130</v>
      </c>
      <c r="AJ350" s="1">
        <v>45136</v>
      </c>
      <c r="AK350" t="s">
        <v>3569</v>
      </c>
      <c r="AL350" t="s">
        <v>1417</v>
      </c>
    </row>
    <row r="351" spans="1:38" x14ac:dyDescent="0.35">
      <c r="A351" t="s">
        <v>1419</v>
      </c>
      <c r="B351" t="s">
        <v>1078</v>
      </c>
      <c r="C351" t="s">
        <v>43</v>
      </c>
      <c r="D351" t="s">
        <v>402</v>
      </c>
      <c r="E351" t="s">
        <v>403</v>
      </c>
      <c r="F351" t="s">
        <v>146</v>
      </c>
      <c r="G351" t="s">
        <v>223</v>
      </c>
      <c r="H351">
        <v>2100</v>
      </c>
      <c r="I351">
        <f>Sales_Transactions_Raw[[#This Row],[Unit_Price]]*Sales_Transactions_Raw[[#This Row],[Quantity]]</f>
        <v>21000</v>
      </c>
      <c r="J351">
        <v>10</v>
      </c>
      <c r="K351">
        <v>0</v>
      </c>
      <c r="L351">
        <v>0</v>
      </c>
      <c r="M351">
        <v>21000</v>
      </c>
      <c r="N351">
        <v>12</v>
      </c>
      <c r="O351">
        <v>2520</v>
      </c>
      <c r="P351">
        <v>0</v>
      </c>
      <c r="Q351">
        <v>23520</v>
      </c>
      <c r="R351" t="s">
        <v>48</v>
      </c>
      <c r="S351" t="s">
        <v>107</v>
      </c>
      <c r="T351" t="s">
        <v>115</v>
      </c>
      <c r="U351" t="s">
        <v>214</v>
      </c>
      <c r="V351" t="s">
        <v>149</v>
      </c>
      <c r="W351" t="s">
        <v>81</v>
      </c>
      <c r="X351" t="s">
        <v>611</v>
      </c>
      <c r="Y351" t="s">
        <v>97</v>
      </c>
      <c r="Z351" t="s">
        <v>95</v>
      </c>
      <c r="AA351" t="s">
        <v>1421</v>
      </c>
      <c r="AB351" t="s">
        <v>3339</v>
      </c>
      <c r="AC351">
        <v>5</v>
      </c>
      <c r="AD351" t="s">
        <v>56</v>
      </c>
      <c r="AE351" t="s">
        <v>3336</v>
      </c>
      <c r="AF351" t="s">
        <v>164</v>
      </c>
      <c r="AG351" t="s">
        <v>85</v>
      </c>
      <c r="AH351" s="1">
        <v>45019</v>
      </c>
      <c r="AI351" s="1">
        <v>45022</v>
      </c>
      <c r="AJ351" s="1">
        <v>45029</v>
      </c>
      <c r="AK351" t="s">
        <v>3570</v>
      </c>
      <c r="AL351" t="s">
        <v>1420</v>
      </c>
    </row>
    <row r="352" spans="1:38" x14ac:dyDescent="0.35">
      <c r="A352" t="s">
        <v>1422</v>
      </c>
      <c r="B352" t="s">
        <v>832</v>
      </c>
      <c r="C352" t="s">
        <v>157</v>
      </c>
      <c r="D352" t="s">
        <v>174</v>
      </c>
      <c r="E352" t="s">
        <v>175</v>
      </c>
      <c r="F352" t="s">
        <v>46</v>
      </c>
      <c r="G352" t="s">
        <v>176</v>
      </c>
      <c r="H352">
        <v>1510</v>
      </c>
      <c r="I352">
        <f>Sales_Transactions_Raw[[#This Row],[Unit_Price]]*Sales_Transactions_Raw[[#This Row],[Quantity]]</f>
        <v>6040</v>
      </c>
      <c r="J352">
        <v>4</v>
      </c>
      <c r="K352">
        <v>5</v>
      </c>
      <c r="L352">
        <v>302</v>
      </c>
      <c r="M352">
        <v>5738</v>
      </c>
      <c r="N352">
        <v>18</v>
      </c>
      <c r="O352">
        <v>1032.8399999999999</v>
      </c>
      <c r="P352">
        <v>0</v>
      </c>
      <c r="Q352">
        <v>6770.84</v>
      </c>
      <c r="R352" t="s">
        <v>79</v>
      </c>
      <c r="S352" t="s">
        <v>125</v>
      </c>
      <c r="T352" t="s">
        <v>115</v>
      </c>
      <c r="U352" t="s">
        <v>161</v>
      </c>
      <c r="V352" t="s">
        <v>177</v>
      </c>
      <c r="W352" t="s">
        <v>81</v>
      </c>
      <c r="X352" t="s">
        <v>486</v>
      </c>
      <c r="Y352" t="s">
        <v>138</v>
      </c>
      <c r="Z352" t="s">
        <v>81</v>
      </c>
      <c r="AA352" t="s">
        <v>1424</v>
      </c>
      <c r="AB352" t="s">
        <v>3338</v>
      </c>
      <c r="AC352">
        <v>4</v>
      </c>
      <c r="AD352" t="s">
        <v>56</v>
      </c>
      <c r="AE352" t="s">
        <v>3336</v>
      </c>
      <c r="AF352" t="s">
        <v>279</v>
      </c>
      <c r="AG352" t="s">
        <v>3337</v>
      </c>
      <c r="AH352" s="1">
        <v>45312</v>
      </c>
      <c r="AI352" s="1">
        <v>45316</v>
      </c>
      <c r="AJ352" s="1">
        <v>45322</v>
      </c>
      <c r="AK352" t="s">
        <v>3533</v>
      </c>
      <c r="AL352" t="s">
        <v>1423</v>
      </c>
    </row>
    <row r="353" spans="1:38" x14ac:dyDescent="0.35">
      <c r="A353" t="s">
        <v>1425</v>
      </c>
      <c r="B353" t="s">
        <v>944</v>
      </c>
      <c r="C353" t="s">
        <v>131</v>
      </c>
      <c r="D353" t="s">
        <v>183</v>
      </c>
      <c r="E353" t="s">
        <v>184</v>
      </c>
      <c r="F353" t="s">
        <v>185</v>
      </c>
      <c r="G353" t="s">
        <v>186</v>
      </c>
      <c r="H353">
        <v>110</v>
      </c>
      <c r="I353">
        <f>Sales_Transactions_Raw[[#This Row],[Unit_Price]]*Sales_Transactions_Raw[[#This Row],[Quantity]]</f>
        <v>110</v>
      </c>
      <c r="J353">
        <v>1</v>
      </c>
      <c r="K353">
        <v>15</v>
      </c>
      <c r="L353">
        <v>16.5</v>
      </c>
      <c r="M353">
        <v>93.5</v>
      </c>
      <c r="N353">
        <v>5</v>
      </c>
      <c r="O353">
        <v>4.67</v>
      </c>
      <c r="P353">
        <v>149</v>
      </c>
      <c r="Q353">
        <v>98.17</v>
      </c>
      <c r="R353" t="s">
        <v>124</v>
      </c>
      <c r="S353" t="s">
        <v>93</v>
      </c>
      <c r="T353" t="s">
        <v>115</v>
      </c>
      <c r="U353" t="s">
        <v>196</v>
      </c>
      <c r="V353" t="s">
        <v>276</v>
      </c>
      <c r="W353" t="s">
        <v>95</v>
      </c>
      <c r="X353" t="s">
        <v>150</v>
      </c>
      <c r="Y353" t="s">
        <v>151</v>
      </c>
      <c r="Z353" t="s">
        <v>81</v>
      </c>
      <c r="AA353" t="s">
        <v>1427</v>
      </c>
      <c r="AB353" t="s">
        <v>3335</v>
      </c>
      <c r="AC353">
        <v>4</v>
      </c>
      <c r="AD353" t="s">
        <v>56</v>
      </c>
      <c r="AE353" t="s">
        <v>3336</v>
      </c>
      <c r="AF353" t="s">
        <v>164</v>
      </c>
      <c r="AG353" t="s">
        <v>3342</v>
      </c>
      <c r="AH353" s="1">
        <v>45091</v>
      </c>
      <c r="AI353" s="1">
        <v>45316</v>
      </c>
      <c r="AJ353" s="1">
        <v>45102</v>
      </c>
      <c r="AK353" t="s">
        <v>3490</v>
      </c>
      <c r="AL353" t="s">
        <v>1426</v>
      </c>
    </row>
    <row r="354" spans="1:38" x14ac:dyDescent="0.35">
      <c r="A354" t="s">
        <v>1428</v>
      </c>
      <c r="B354" t="s">
        <v>609</v>
      </c>
      <c r="C354" t="s">
        <v>43</v>
      </c>
      <c r="D354" t="s">
        <v>90</v>
      </c>
      <c r="E354" t="s">
        <v>91</v>
      </c>
      <c r="F354" t="s">
        <v>46</v>
      </c>
      <c r="G354" t="s">
        <v>78</v>
      </c>
      <c r="H354">
        <v>88210</v>
      </c>
      <c r="I354">
        <f>Sales_Transactions_Raw[[#This Row],[Unit_Price]]*Sales_Transactions_Raw[[#This Row],[Quantity]]</f>
        <v>705680</v>
      </c>
      <c r="J354">
        <v>8</v>
      </c>
      <c r="K354">
        <v>10</v>
      </c>
      <c r="L354">
        <v>70568</v>
      </c>
      <c r="M354">
        <v>635112</v>
      </c>
      <c r="N354">
        <v>18</v>
      </c>
      <c r="O354">
        <v>114320.16</v>
      </c>
      <c r="P354">
        <v>0</v>
      </c>
      <c r="Q354">
        <v>749432.16</v>
      </c>
      <c r="R354" t="s">
        <v>106</v>
      </c>
      <c r="S354" t="s">
        <v>93</v>
      </c>
      <c r="T354" t="s">
        <v>115</v>
      </c>
      <c r="U354" t="s">
        <v>196</v>
      </c>
      <c r="V354" t="s">
        <v>197</v>
      </c>
      <c r="W354" t="s">
        <v>68</v>
      </c>
      <c r="X354" t="s">
        <v>515</v>
      </c>
      <c r="Y354" t="s">
        <v>82</v>
      </c>
      <c r="Z354" t="s">
        <v>52</v>
      </c>
      <c r="AA354" t="s">
        <v>1430</v>
      </c>
      <c r="AB354" t="s">
        <v>3341</v>
      </c>
      <c r="AC354">
        <v>3</v>
      </c>
      <c r="AD354" t="s">
        <v>56</v>
      </c>
      <c r="AE354" t="s">
        <v>3336</v>
      </c>
      <c r="AF354" t="s">
        <v>153</v>
      </c>
      <c r="AG354" t="s">
        <v>58</v>
      </c>
      <c r="AH354" s="1">
        <v>45362</v>
      </c>
      <c r="AI354" s="1">
        <v>45363</v>
      </c>
      <c r="AJ354" s="1">
        <v>45367</v>
      </c>
      <c r="AK354" t="s">
        <v>3571</v>
      </c>
      <c r="AL354" t="s">
        <v>1429</v>
      </c>
    </row>
    <row r="355" spans="1:38" x14ac:dyDescent="0.35">
      <c r="A355" t="s">
        <v>1431</v>
      </c>
      <c r="B355" t="s">
        <v>1335</v>
      </c>
      <c r="C355" t="s">
        <v>89</v>
      </c>
      <c r="D355" t="s">
        <v>713</v>
      </c>
      <c r="E355" t="s">
        <v>714</v>
      </c>
      <c r="F355" t="s">
        <v>46</v>
      </c>
      <c r="G355" t="s">
        <v>47</v>
      </c>
      <c r="H355">
        <v>15740</v>
      </c>
      <c r="I355">
        <f>Sales_Transactions_Raw[[#This Row],[Unit_Price]]*Sales_Transactions_Raw[[#This Row],[Quantity]]</f>
        <v>110180</v>
      </c>
      <c r="J355">
        <v>7</v>
      </c>
      <c r="K355">
        <v>0</v>
      </c>
      <c r="L355">
        <v>0</v>
      </c>
      <c r="M355">
        <v>110180</v>
      </c>
      <c r="N355">
        <v>18</v>
      </c>
      <c r="O355">
        <v>19832.400000000001</v>
      </c>
      <c r="P355">
        <v>0</v>
      </c>
      <c r="Q355">
        <v>130012.4</v>
      </c>
      <c r="R355" t="s">
        <v>64</v>
      </c>
      <c r="S355" t="s">
        <v>49</v>
      </c>
      <c r="T355" t="s">
        <v>66</v>
      </c>
      <c r="U355" t="s">
        <v>161</v>
      </c>
      <c r="V355" t="s">
        <v>94</v>
      </c>
      <c r="W355" t="s">
        <v>95</v>
      </c>
      <c r="X355" t="s">
        <v>187</v>
      </c>
      <c r="Y355" t="s">
        <v>188</v>
      </c>
      <c r="Z355" t="s">
        <v>68</v>
      </c>
      <c r="AA355" t="s">
        <v>1433</v>
      </c>
      <c r="AB355" t="s">
        <v>3343</v>
      </c>
      <c r="AC355">
        <v>4</v>
      </c>
      <c r="AD355" t="s">
        <v>56</v>
      </c>
      <c r="AE355" t="s">
        <v>3336</v>
      </c>
      <c r="AF355" t="s">
        <v>57</v>
      </c>
      <c r="AG355" t="s">
        <v>85</v>
      </c>
      <c r="AH355" s="1">
        <v>45430</v>
      </c>
      <c r="AI355" s="1">
        <v>45436</v>
      </c>
      <c r="AJ355" s="1">
        <v>45439</v>
      </c>
      <c r="AK355" t="s">
        <v>3572</v>
      </c>
      <c r="AL355" t="s">
        <v>1432</v>
      </c>
    </row>
    <row r="356" spans="1:38" x14ac:dyDescent="0.35">
      <c r="A356" t="s">
        <v>1434</v>
      </c>
      <c r="B356" t="s">
        <v>113</v>
      </c>
      <c r="C356" t="s">
        <v>43</v>
      </c>
      <c r="D356" t="s">
        <v>345</v>
      </c>
      <c r="E356" t="s">
        <v>346</v>
      </c>
      <c r="F356" t="s">
        <v>46</v>
      </c>
      <c r="G356" t="s">
        <v>63</v>
      </c>
      <c r="H356">
        <v>122190</v>
      </c>
      <c r="I356">
        <f>Sales_Transactions_Raw[[#This Row],[Unit_Price]]*Sales_Transactions_Raw[[#This Row],[Quantity]]</f>
        <v>488760</v>
      </c>
      <c r="J356">
        <v>4</v>
      </c>
      <c r="K356">
        <v>0</v>
      </c>
      <c r="L356">
        <v>0</v>
      </c>
      <c r="M356">
        <v>488760</v>
      </c>
      <c r="N356">
        <v>18</v>
      </c>
      <c r="O356">
        <v>87976.8</v>
      </c>
      <c r="P356">
        <v>0</v>
      </c>
      <c r="Q356">
        <v>576736.80000000005</v>
      </c>
      <c r="R356" t="s">
        <v>160</v>
      </c>
      <c r="S356" t="s">
        <v>49</v>
      </c>
      <c r="T356" t="s">
        <v>115</v>
      </c>
      <c r="U356" t="s">
        <v>50</v>
      </c>
      <c r="V356" t="s">
        <v>297</v>
      </c>
      <c r="W356" t="s">
        <v>52</v>
      </c>
      <c r="X356" t="s">
        <v>225</v>
      </c>
      <c r="Y356" t="s">
        <v>226</v>
      </c>
      <c r="Z356" t="s">
        <v>95</v>
      </c>
      <c r="AA356" t="s">
        <v>1436</v>
      </c>
      <c r="AB356" t="s">
        <v>3344</v>
      </c>
      <c r="AC356">
        <v>4</v>
      </c>
      <c r="AD356" t="s">
        <v>56</v>
      </c>
      <c r="AE356" t="s">
        <v>3336</v>
      </c>
      <c r="AF356" t="s">
        <v>217</v>
      </c>
      <c r="AG356" t="s">
        <v>85</v>
      </c>
      <c r="AH356" s="1">
        <v>45103</v>
      </c>
      <c r="AI356" s="1">
        <v>45106</v>
      </c>
      <c r="AJ356" s="1">
        <v>45112</v>
      </c>
      <c r="AK356" t="s">
        <v>3350</v>
      </c>
      <c r="AL356" t="s">
        <v>1435</v>
      </c>
    </row>
    <row r="357" spans="1:38" x14ac:dyDescent="0.35">
      <c r="A357" t="s">
        <v>1437</v>
      </c>
      <c r="B357" t="s">
        <v>765</v>
      </c>
      <c r="C357" t="s">
        <v>157</v>
      </c>
      <c r="D357" t="s">
        <v>144</v>
      </c>
      <c r="E357" t="s">
        <v>145</v>
      </c>
      <c r="F357" t="s">
        <v>146</v>
      </c>
      <c r="G357" t="s">
        <v>147</v>
      </c>
      <c r="H357">
        <v>2520</v>
      </c>
      <c r="I357">
        <f>Sales_Transactions_Raw[[#This Row],[Unit_Price]]*Sales_Transactions_Raw[[#This Row],[Quantity]]</f>
        <v>2520</v>
      </c>
      <c r="J357">
        <v>1</v>
      </c>
      <c r="K357">
        <v>0</v>
      </c>
      <c r="L357">
        <v>0</v>
      </c>
      <c r="M357">
        <v>2520</v>
      </c>
      <c r="N357">
        <v>12</v>
      </c>
      <c r="O357">
        <v>302.39999999999998</v>
      </c>
      <c r="P357">
        <v>149</v>
      </c>
      <c r="Q357">
        <v>2822.4</v>
      </c>
      <c r="R357" t="s">
        <v>48</v>
      </c>
      <c r="S357" t="s">
        <v>49</v>
      </c>
      <c r="T357" t="s">
        <v>115</v>
      </c>
      <c r="U357" t="s">
        <v>50</v>
      </c>
      <c r="V357" t="s">
        <v>276</v>
      </c>
      <c r="W357" t="s">
        <v>95</v>
      </c>
      <c r="X357" t="s">
        <v>126</v>
      </c>
      <c r="Y357" t="s">
        <v>127</v>
      </c>
      <c r="Z357" t="s">
        <v>68</v>
      </c>
      <c r="AA357" t="s">
        <v>1439</v>
      </c>
      <c r="AB357" t="s">
        <v>3340</v>
      </c>
      <c r="AC357">
        <v>4</v>
      </c>
      <c r="AD357" t="s">
        <v>56</v>
      </c>
      <c r="AE357" t="s">
        <v>3336</v>
      </c>
      <c r="AF357" t="s">
        <v>279</v>
      </c>
      <c r="AG357" t="s">
        <v>85</v>
      </c>
      <c r="AH357" s="1">
        <v>45185</v>
      </c>
      <c r="AI357" s="1">
        <v>45187</v>
      </c>
      <c r="AJ357" s="1">
        <v>45112</v>
      </c>
      <c r="AK357" t="s">
        <v>3541</v>
      </c>
      <c r="AL357" t="s">
        <v>1438</v>
      </c>
    </row>
    <row r="358" spans="1:38" x14ac:dyDescent="0.35">
      <c r="A358" t="s">
        <v>1440</v>
      </c>
      <c r="B358" t="s">
        <v>414</v>
      </c>
      <c r="C358" t="s">
        <v>157</v>
      </c>
      <c r="D358" t="s">
        <v>426</v>
      </c>
      <c r="E358" t="s">
        <v>427</v>
      </c>
      <c r="F358" t="s">
        <v>134</v>
      </c>
      <c r="G358" t="s">
        <v>305</v>
      </c>
      <c r="H358">
        <v>29347.846790890268</v>
      </c>
      <c r="I358">
        <f>Sales_Transactions_Raw[[#This Row],[Unit_Price]]*Sales_Transactions_Raw[[#This Row],[Quantity]]</f>
        <v>58695.693581780535</v>
      </c>
      <c r="J358">
        <v>2</v>
      </c>
      <c r="K358">
        <v>0</v>
      </c>
      <c r="L358">
        <v>0</v>
      </c>
      <c r="M358">
        <v>86000</v>
      </c>
      <c r="N358">
        <v>5</v>
      </c>
      <c r="O358">
        <v>4300</v>
      </c>
      <c r="P358">
        <v>0</v>
      </c>
      <c r="Q358">
        <v>90300</v>
      </c>
      <c r="R358" t="s">
        <v>160</v>
      </c>
      <c r="S358" t="s">
        <v>125</v>
      </c>
      <c r="T358" t="s">
        <v>66</v>
      </c>
      <c r="U358" t="s">
        <v>196</v>
      </c>
      <c r="V358" t="s">
        <v>287</v>
      </c>
      <c r="W358" t="s">
        <v>95</v>
      </c>
      <c r="X358" t="s">
        <v>469</v>
      </c>
      <c r="Y358" t="s">
        <v>244</v>
      </c>
      <c r="Z358" t="s">
        <v>70</v>
      </c>
      <c r="AA358" t="s">
        <v>1442</v>
      </c>
      <c r="AB358" t="s">
        <v>3335</v>
      </c>
      <c r="AC358">
        <v>4</v>
      </c>
      <c r="AD358" t="s">
        <v>56</v>
      </c>
      <c r="AE358" t="s">
        <v>3336</v>
      </c>
      <c r="AF358" t="s">
        <v>99</v>
      </c>
      <c r="AG358" t="s">
        <v>3342</v>
      </c>
      <c r="AH358" s="1">
        <v>45012</v>
      </c>
      <c r="AI358" s="1">
        <v>45019</v>
      </c>
      <c r="AJ358" s="1">
        <v>45025</v>
      </c>
      <c r="AK358" t="s">
        <v>3388</v>
      </c>
      <c r="AL358" t="s">
        <v>1441</v>
      </c>
    </row>
    <row r="359" spans="1:38" x14ac:dyDescent="0.35">
      <c r="A359" t="s">
        <v>1443</v>
      </c>
      <c r="B359" t="s">
        <v>944</v>
      </c>
      <c r="C359" t="s">
        <v>43</v>
      </c>
      <c r="D359" t="s">
        <v>310</v>
      </c>
      <c r="E359" t="s">
        <v>311</v>
      </c>
      <c r="F359" t="s">
        <v>211</v>
      </c>
      <c r="G359" t="s">
        <v>312</v>
      </c>
      <c r="H359">
        <v>12750</v>
      </c>
      <c r="I359">
        <f>Sales_Transactions_Raw[[#This Row],[Unit_Price]]*Sales_Transactions_Raw[[#This Row],[Quantity]]</f>
        <v>51000</v>
      </c>
      <c r="J359">
        <v>4</v>
      </c>
      <c r="K359">
        <v>20</v>
      </c>
      <c r="L359">
        <v>10200</v>
      </c>
      <c r="M359">
        <v>40800</v>
      </c>
      <c r="N359">
        <v>5</v>
      </c>
      <c r="O359">
        <v>2040</v>
      </c>
      <c r="P359">
        <v>0</v>
      </c>
      <c r="Q359">
        <v>42840</v>
      </c>
      <c r="R359" t="s">
        <v>79</v>
      </c>
      <c r="S359" t="s">
        <v>93</v>
      </c>
      <c r="T359" t="s">
        <v>719</v>
      </c>
      <c r="U359" t="s">
        <v>50</v>
      </c>
      <c r="V359" t="s">
        <v>297</v>
      </c>
      <c r="W359" t="s">
        <v>52</v>
      </c>
      <c r="X359" t="s">
        <v>357</v>
      </c>
      <c r="Y359" t="s">
        <v>358</v>
      </c>
      <c r="Z359" t="s">
        <v>95</v>
      </c>
      <c r="AA359" t="s">
        <v>1445</v>
      </c>
      <c r="AB359" t="s">
        <v>3344</v>
      </c>
      <c r="AC359">
        <v>4</v>
      </c>
      <c r="AD359" t="s">
        <v>56</v>
      </c>
      <c r="AE359" t="s">
        <v>3336</v>
      </c>
      <c r="AF359" t="s">
        <v>99</v>
      </c>
      <c r="AG359" t="s">
        <v>85</v>
      </c>
      <c r="AH359" s="1">
        <v>45233</v>
      </c>
      <c r="AI359" s="1">
        <v>45240</v>
      </c>
      <c r="AJ359" s="1">
        <v>45243</v>
      </c>
      <c r="AK359" t="s">
        <v>3573</v>
      </c>
      <c r="AL359" t="s">
        <v>1444</v>
      </c>
    </row>
    <row r="360" spans="1:38" x14ac:dyDescent="0.35">
      <c r="A360" t="s">
        <v>1446</v>
      </c>
      <c r="B360" t="s">
        <v>478</v>
      </c>
      <c r="C360" t="s">
        <v>43</v>
      </c>
      <c r="D360" t="s">
        <v>303</v>
      </c>
      <c r="E360" t="s">
        <v>304</v>
      </c>
      <c r="F360" t="s">
        <v>134</v>
      </c>
      <c r="G360" t="s">
        <v>305</v>
      </c>
      <c r="H360">
        <v>37720</v>
      </c>
      <c r="I360">
        <f>Sales_Transactions_Raw[[#This Row],[Unit_Price]]*Sales_Transactions_Raw[[#This Row],[Quantity]]</f>
        <v>37720</v>
      </c>
      <c r="J360">
        <v>1</v>
      </c>
      <c r="K360">
        <v>5</v>
      </c>
      <c r="L360">
        <v>1886</v>
      </c>
      <c r="M360">
        <v>35834</v>
      </c>
      <c r="N360">
        <v>5</v>
      </c>
      <c r="O360">
        <v>1791.7</v>
      </c>
      <c r="P360">
        <v>0</v>
      </c>
      <c r="Q360">
        <v>37625.699999999997</v>
      </c>
      <c r="R360" t="s">
        <v>48</v>
      </c>
      <c r="S360" t="s">
        <v>49</v>
      </c>
      <c r="T360" t="s">
        <v>66</v>
      </c>
      <c r="U360" t="s">
        <v>108</v>
      </c>
      <c r="V360" t="s">
        <v>297</v>
      </c>
      <c r="W360" t="s">
        <v>52</v>
      </c>
      <c r="X360" t="s">
        <v>137</v>
      </c>
      <c r="Y360" t="s">
        <v>138</v>
      </c>
      <c r="Z360" t="s">
        <v>81</v>
      </c>
      <c r="AA360" t="s">
        <v>1448</v>
      </c>
      <c r="AB360" t="s">
        <v>3340</v>
      </c>
      <c r="AC360">
        <v>4</v>
      </c>
      <c r="AD360" t="s">
        <v>56</v>
      </c>
      <c r="AE360" t="s">
        <v>3336</v>
      </c>
      <c r="AF360" t="s">
        <v>153</v>
      </c>
      <c r="AG360" t="s">
        <v>3337</v>
      </c>
      <c r="AH360" s="1">
        <v>45366</v>
      </c>
      <c r="AI360" s="1">
        <v>45368</v>
      </c>
      <c r="AJ360" s="1">
        <v>45375</v>
      </c>
      <c r="AK360" t="s">
        <v>3402</v>
      </c>
      <c r="AL360" t="s">
        <v>1447</v>
      </c>
    </row>
    <row r="361" spans="1:38" x14ac:dyDescent="0.35">
      <c r="A361" t="s">
        <v>1449</v>
      </c>
      <c r="B361" t="s">
        <v>87</v>
      </c>
      <c r="C361" t="s">
        <v>89</v>
      </c>
      <c r="D361" t="s">
        <v>76</v>
      </c>
      <c r="E361" t="s">
        <v>77</v>
      </c>
      <c r="F361" t="s">
        <v>46</v>
      </c>
      <c r="G361" t="s">
        <v>78</v>
      </c>
      <c r="H361">
        <v>80300</v>
      </c>
      <c r="I361">
        <f>Sales_Transactions_Raw[[#This Row],[Unit_Price]]*Sales_Transactions_Raw[[#This Row],[Quantity]]</f>
        <v>80300</v>
      </c>
      <c r="J361">
        <v>1</v>
      </c>
      <c r="K361">
        <v>5</v>
      </c>
      <c r="L361">
        <v>4015</v>
      </c>
      <c r="M361">
        <v>76285</v>
      </c>
      <c r="N361">
        <v>18</v>
      </c>
      <c r="O361">
        <v>13731.3</v>
      </c>
      <c r="P361">
        <v>0</v>
      </c>
      <c r="Q361">
        <v>90016.3</v>
      </c>
      <c r="R361" t="s">
        <v>79</v>
      </c>
      <c r="S361" t="s">
        <v>93</v>
      </c>
      <c r="T361" t="s">
        <v>115</v>
      </c>
      <c r="U361" t="s">
        <v>108</v>
      </c>
      <c r="V361" t="s">
        <v>116</v>
      </c>
      <c r="W361" t="s">
        <v>70</v>
      </c>
      <c r="X361" t="s">
        <v>443</v>
      </c>
      <c r="Y361" t="s">
        <v>97</v>
      </c>
      <c r="Z361" t="s">
        <v>95</v>
      </c>
      <c r="AA361" t="s">
        <v>1451</v>
      </c>
      <c r="AB361" t="s">
        <v>3338</v>
      </c>
      <c r="AC361">
        <v>4</v>
      </c>
      <c r="AD361" t="s">
        <v>56</v>
      </c>
      <c r="AE361" t="s">
        <v>3336</v>
      </c>
      <c r="AF361" t="s">
        <v>164</v>
      </c>
      <c r="AG361" t="s">
        <v>85</v>
      </c>
      <c r="AH361" s="1">
        <v>45339</v>
      </c>
      <c r="AI361" s="1">
        <v>45341</v>
      </c>
      <c r="AJ361" s="1">
        <v>45349</v>
      </c>
      <c r="AK361" t="s">
        <v>3501</v>
      </c>
      <c r="AL361" t="s">
        <v>1450</v>
      </c>
    </row>
    <row r="362" spans="1:38" x14ac:dyDescent="0.35">
      <c r="A362" t="s">
        <v>1452</v>
      </c>
      <c r="B362" t="s">
        <v>781</v>
      </c>
      <c r="C362" t="s">
        <v>157</v>
      </c>
      <c r="D362" t="s">
        <v>630</v>
      </c>
      <c r="E362" t="s">
        <v>450</v>
      </c>
      <c r="F362" t="s">
        <v>134</v>
      </c>
      <c r="G362" t="s">
        <v>497</v>
      </c>
      <c r="H362">
        <v>51420</v>
      </c>
      <c r="I362">
        <f>Sales_Transactions_Raw[[#This Row],[Unit_Price]]*Sales_Transactions_Raw[[#This Row],[Quantity]]</f>
        <v>154260</v>
      </c>
      <c r="J362">
        <v>3</v>
      </c>
      <c r="K362">
        <v>15</v>
      </c>
      <c r="L362">
        <v>23139</v>
      </c>
      <c r="M362">
        <v>131121</v>
      </c>
      <c r="N362">
        <v>5</v>
      </c>
      <c r="O362">
        <v>6556.05</v>
      </c>
      <c r="P362">
        <v>0</v>
      </c>
      <c r="Q362">
        <v>137677.04999999999</v>
      </c>
      <c r="R362" t="s">
        <v>64</v>
      </c>
      <c r="S362" t="s">
        <v>125</v>
      </c>
      <c r="T362" t="s">
        <v>115</v>
      </c>
      <c r="U362" t="s">
        <v>161</v>
      </c>
      <c r="V362" t="s">
        <v>197</v>
      </c>
      <c r="W362" t="s">
        <v>68</v>
      </c>
      <c r="X362" t="s">
        <v>750</v>
      </c>
      <c r="Y362" t="s">
        <v>127</v>
      </c>
      <c r="Z362" t="s">
        <v>68</v>
      </c>
      <c r="AA362" t="s">
        <v>1454</v>
      </c>
      <c r="AB362" t="s">
        <v>3341</v>
      </c>
      <c r="AC362">
        <v>4</v>
      </c>
      <c r="AD362" t="s">
        <v>179</v>
      </c>
      <c r="AE362" t="s">
        <v>206</v>
      </c>
      <c r="AF362" t="s">
        <v>140</v>
      </c>
      <c r="AG362" t="s">
        <v>58</v>
      </c>
      <c r="AH362" s="1">
        <v>45213</v>
      </c>
      <c r="AI362" s="1">
        <v>45214</v>
      </c>
      <c r="AJ362" s="1">
        <v>45216</v>
      </c>
      <c r="AK362" t="s">
        <v>3621</v>
      </c>
      <c r="AL362" t="s">
        <v>1453</v>
      </c>
    </row>
    <row r="363" spans="1:38" x14ac:dyDescent="0.35">
      <c r="A363" t="s">
        <v>1455</v>
      </c>
      <c r="B363" t="s">
        <v>1107</v>
      </c>
      <c r="C363" t="s">
        <v>43</v>
      </c>
      <c r="D363" t="s">
        <v>310</v>
      </c>
      <c r="E363" t="s">
        <v>311</v>
      </c>
      <c r="F363" t="s">
        <v>211</v>
      </c>
      <c r="G363" t="s">
        <v>312</v>
      </c>
      <c r="H363">
        <v>12280</v>
      </c>
      <c r="I363">
        <f>Sales_Transactions_Raw[[#This Row],[Unit_Price]]*Sales_Transactions_Raw[[#This Row],[Quantity]]</f>
        <v>12280</v>
      </c>
      <c r="J363">
        <v>1</v>
      </c>
      <c r="K363">
        <v>15</v>
      </c>
      <c r="L363">
        <v>1842</v>
      </c>
      <c r="M363">
        <v>10438</v>
      </c>
      <c r="N363">
        <v>5</v>
      </c>
      <c r="O363">
        <v>521.9</v>
      </c>
      <c r="P363">
        <v>0</v>
      </c>
      <c r="Q363">
        <v>10959.9</v>
      </c>
      <c r="R363" t="s">
        <v>124</v>
      </c>
      <c r="S363" t="s">
        <v>107</v>
      </c>
      <c r="T363" t="s">
        <v>115</v>
      </c>
      <c r="U363" t="s">
        <v>50</v>
      </c>
      <c r="V363" t="s">
        <v>94</v>
      </c>
      <c r="W363" t="s">
        <v>95</v>
      </c>
      <c r="X363" t="s">
        <v>243</v>
      </c>
      <c r="Y363" t="s">
        <v>244</v>
      </c>
      <c r="Z363" t="s">
        <v>70</v>
      </c>
      <c r="AA363" t="s">
        <v>1457</v>
      </c>
      <c r="AB363" t="s">
        <v>3335</v>
      </c>
      <c r="AC363">
        <v>4</v>
      </c>
      <c r="AD363" t="s">
        <v>56</v>
      </c>
      <c r="AE363" t="s">
        <v>3336</v>
      </c>
      <c r="AF363" t="s">
        <v>84</v>
      </c>
      <c r="AG363" t="s">
        <v>85</v>
      </c>
      <c r="AH363" s="1">
        <v>45246</v>
      </c>
      <c r="AI363" s="1">
        <v>45251</v>
      </c>
      <c r="AJ363" s="1">
        <v>45258</v>
      </c>
      <c r="AK363" t="s">
        <v>3565</v>
      </c>
      <c r="AL363" t="s">
        <v>1456</v>
      </c>
    </row>
    <row r="364" spans="1:38" x14ac:dyDescent="0.35">
      <c r="A364" t="s">
        <v>1458</v>
      </c>
      <c r="B364" t="s">
        <v>1459</v>
      </c>
      <c r="C364" t="s">
        <v>89</v>
      </c>
      <c r="D364" t="s">
        <v>367</v>
      </c>
      <c r="E364" t="s">
        <v>368</v>
      </c>
      <c r="F364" t="s">
        <v>46</v>
      </c>
      <c r="G364" t="s">
        <v>369</v>
      </c>
      <c r="H364">
        <v>26630</v>
      </c>
      <c r="I364">
        <f>Sales_Transactions_Raw[[#This Row],[Unit_Price]]*Sales_Transactions_Raw[[#This Row],[Quantity]]</f>
        <v>53260</v>
      </c>
      <c r="J364">
        <v>2</v>
      </c>
      <c r="K364">
        <v>10</v>
      </c>
      <c r="L364">
        <v>5326</v>
      </c>
      <c r="M364">
        <v>47934</v>
      </c>
      <c r="N364">
        <v>18</v>
      </c>
      <c r="O364">
        <v>8628.1200000000008</v>
      </c>
      <c r="P364">
        <v>0</v>
      </c>
      <c r="Q364">
        <v>56562.12</v>
      </c>
      <c r="R364" t="s">
        <v>92</v>
      </c>
      <c r="S364" t="s">
        <v>125</v>
      </c>
      <c r="T364" t="s">
        <v>719</v>
      </c>
      <c r="U364" t="s">
        <v>50</v>
      </c>
      <c r="V364" t="s">
        <v>67</v>
      </c>
      <c r="W364" t="s">
        <v>68</v>
      </c>
      <c r="X364" t="s">
        <v>357</v>
      </c>
      <c r="Y364" t="s">
        <v>358</v>
      </c>
      <c r="Z364" t="s">
        <v>95</v>
      </c>
      <c r="AA364" t="s">
        <v>1461</v>
      </c>
      <c r="AB364" t="s">
        <v>3335</v>
      </c>
      <c r="AC364">
        <v>4</v>
      </c>
      <c r="AD364" t="s">
        <v>56</v>
      </c>
      <c r="AE364" t="s">
        <v>3336</v>
      </c>
      <c r="AF364" t="s">
        <v>217</v>
      </c>
      <c r="AG364" t="s">
        <v>3337</v>
      </c>
      <c r="AH364" s="1">
        <v>45206</v>
      </c>
      <c r="AI364" s="1">
        <v>45211</v>
      </c>
      <c r="AJ364" s="1">
        <v>45219</v>
      </c>
      <c r="AK364" t="s">
        <v>3574</v>
      </c>
      <c r="AL364" t="s">
        <v>1460</v>
      </c>
    </row>
    <row r="365" spans="1:38" x14ac:dyDescent="0.35">
      <c r="A365" t="s">
        <v>1462</v>
      </c>
      <c r="B365" t="s">
        <v>765</v>
      </c>
      <c r="C365" t="s">
        <v>43</v>
      </c>
      <c r="D365" t="s">
        <v>122</v>
      </c>
      <c r="E365" t="s">
        <v>123</v>
      </c>
      <c r="F365" t="s">
        <v>46</v>
      </c>
      <c r="G365" t="s">
        <v>63</v>
      </c>
      <c r="H365">
        <v>54240</v>
      </c>
      <c r="I365">
        <f>Sales_Transactions_Raw[[#This Row],[Unit_Price]]*Sales_Transactions_Raw[[#This Row],[Quantity]]</f>
        <v>488160</v>
      </c>
      <c r="J365">
        <v>9</v>
      </c>
      <c r="K365">
        <v>25</v>
      </c>
      <c r="L365">
        <v>122040</v>
      </c>
      <c r="M365">
        <v>366120</v>
      </c>
      <c r="N365">
        <v>18</v>
      </c>
      <c r="O365">
        <v>65901.600000000006</v>
      </c>
      <c r="P365">
        <v>0</v>
      </c>
      <c r="Q365">
        <v>432021.6</v>
      </c>
      <c r="R365" t="s">
        <v>92</v>
      </c>
      <c r="S365" t="s">
        <v>125</v>
      </c>
      <c r="T365" t="s">
        <v>115</v>
      </c>
      <c r="U365" t="s">
        <v>161</v>
      </c>
      <c r="V365" t="s">
        <v>116</v>
      </c>
      <c r="W365" t="s">
        <v>70</v>
      </c>
      <c r="X365" t="s">
        <v>69</v>
      </c>
      <c r="Y365" t="s">
        <v>54</v>
      </c>
      <c r="Z365" t="s">
        <v>70</v>
      </c>
      <c r="AA365" t="s">
        <v>1464</v>
      </c>
      <c r="AB365" t="s">
        <v>3335</v>
      </c>
      <c r="AC365">
        <v>3</v>
      </c>
      <c r="AD365" t="s">
        <v>56</v>
      </c>
      <c r="AE365" t="s">
        <v>3336</v>
      </c>
      <c r="AF365" t="s">
        <v>99</v>
      </c>
      <c r="AG365" t="s">
        <v>85</v>
      </c>
      <c r="AH365" s="1">
        <v>45012</v>
      </c>
      <c r="AI365" s="1">
        <v>45013</v>
      </c>
      <c r="AJ365" s="1">
        <v>45022</v>
      </c>
      <c r="AK365" t="s">
        <v>3541</v>
      </c>
      <c r="AL365" t="s">
        <v>1463</v>
      </c>
    </row>
    <row r="366" spans="1:38" x14ac:dyDescent="0.35">
      <c r="A366" t="s">
        <v>1465</v>
      </c>
      <c r="B366" t="s">
        <v>588</v>
      </c>
      <c r="C366" t="s">
        <v>157</v>
      </c>
      <c r="D366" t="s">
        <v>249</v>
      </c>
      <c r="E366" t="s">
        <v>250</v>
      </c>
      <c r="F366" t="s">
        <v>211</v>
      </c>
      <c r="G366" t="s">
        <v>251</v>
      </c>
      <c r="H366">
        <v>18760</v>
      </c>
      <c r="I366">
        <f>Sales_Transactions_Raw[[#This Row],[Unit_Price]]*Sales_Transactions_Raw[[#This Row],[Quantity]]</f>
        <v>37520</v>
      </c>
      <c r="J366">
        <v>2</v>
      </c>
      <c r="K366">
        <v>15</v>
      </c>
      <c r="L366">
        <v>5628</v>
      </c>
      <c r="M366">
        <v>31892</v>
      </c>
      <c r="N366">
        <v>5</v>
      </c>
      <c r="O366">
        <v>1594.6</v>
      </c>
      <c r="P366">
        <v>0</v>
      </c>
      <c r="Q366">
        <v>33486.6</v>
      </c>
      <c r="R366" t="s">
        <v>124</v>
      </c>
      <c r="S366" t="s">
        <v>107</v>
      </c>
      <c r="T366" t="s">
        <v>148</v>
      </c>
      <c r="U366" t="s">
        <v>50</v>
      </c>
      <c r="V366" t="s">
        <v>287</v>
      </c>
      <c r="W366" t="s">
        <v>95</v>
      </c>
      <c r="X366" t="s">
        <v>422</v>
      </c>
      <c r="Y366" t="s">
        <v>319</v>
      </c>
      <c r="Z366" t="s">
        <v>95</v>
      </c>
      <c r="AA366" t="s">
        <v>1467</v>
      </c>
      <c r="AB366" t="s">
        <v>3339</v>
      </c>
      <c r="AC366">
        <v>5</v>
      </c>
      <c r="AD366" t="s">
        <v>56</v>
      </c>
      <c r="AE366" t="s">
        <v>3336</v>
      </c>
      <c r="AF366" t="s">
        <v>326</v>
      </c>
      <c r="AG366" t="s">
        <v>111</v>
      </c>
      <c r="AH366" s="1">
        <v>45375</v>
      </c>
      <c r="AI366" s="1">
        <v>45378</v>
      </c>
      <c r="AJ366" s="1">
        <v>45022</v>
      </c>
      <c r="AK366" t="s">
        <v>3575</v>
      </c>
      <c r="AL366" t="s">
        <v>1466</v>
      </c>
    </row>
    <row r="367" spans="1:38" x14ac:dyDescent="0.35">
      <c r="A367" t="s">
        <v>1468</v>
      </c>
      <c r="B367" t="s">
        <v>858</v>
      </c>
      <c r="C367" t="s">
        <v>43</v>
      </c>
      <c r="D367" t="s">
        <v>283</v>
      </c>
      <c r="E367" t="s">
        <v>284</v>
      </c>
      <c r="F367" t="s">
        <v>285</v>
      </c>
      <c r="G367" t="s">
        <v>286</v>
      </c>
      <c r="H367">
        <v>420</v>
      </c>
      <c r="I367">
        <f>Sales_Transactions_Raw[[#This Row],[Unit_Price]]*Sales_Transactions_Raw[[#This Row],[Quantity]]</f>
        <v>420</v>
      </c>
      <c r="J367">
        <v>1</v>
      </c>
      <c r="K367">
        <v>25</v>
      </c>
      <c r="L367">
        <v>105</v>
      </c>
      <c r="M367">
        <v>315</v>
      </c>
      <c r="N367">
        <v>5</v>
      </c>
      <c r="O367">
        <v>15.75</v>
      </c>
      <c r="P367">
        <v>49</v>
      </c>
      <c r="Q367">
        <v>330.75</v>
      </c>
      <c r="R367" t="s">
        <v>124</v>
      </c>
      <c r="S367" t="s">
        <v>107</v>
      </c>
      <c r="T367" t="s">
        <v>66</v>
      </c>
      <c r="U367" t="s">
        <v>161</v>
      </c>
      <c r="V367" t="s">
        <v>297</v>
      </c>
      <c r="W367" t="s">
        <v>52</v>
      </c>
      <c r="X367" t="s">
        <v>53</v>
      </c>
      <c r="Y367" t="s">
        <v>54</v>
      </c>
      <c r="Z367" t="s">
        <v>70</v>
      </c>
      <c r="AA367" t="s">
        <v>1470</v>
      </c>
      <c r="AB367" t="s">
        <v>3335</v>
      </c>
      <c r="AC367">
        <v>4</v>
      </c>
      <c r="AD367" t="s">
        <v>56</v>
      </c>
      <c r="AE367" t="s">
        <v>3336</v>
      </c>
      <c r="AF367" t="s">
        <v>72</v>
      </c>
      <c r="AG367" t="s">
        <v>111</v>
      </c>
      <c r="AH367" s="1">
        <v>45275</v>
      </c>
      <c r="AI367" s="1">
        <v>45277</v>
      </c>
      <c r="AJ367" s="1">
        <v>45022</v>
      </c>
      <c r="AK367" t="s">
        <v>3576</v>
      </c>
      <c r="AL367" t="s">
        <v>1469</v>
      </c>
    </row>
    <row r="368" spans="1:38" x14ac:dyDescent="0.35">
      <c r="A368" t="s">
        <v>1471</v>
      </c>
      <c r="B368" t="s">
        <v>803</v>
      </c>
      <c r="C368" t="s">
        <v>43</v>
      </c>
      <c r="D368" t="s">
        <v>144</v>
      </c>
      <c r="E368" t="s">
        <v>145</v>
      </c>
      <c r="F368" t="s">
        <v>146</v>
      </c>
      <c r="G368" t="s">
        <v>147</v>
      </c>
      <c r="H368">
        <v>2610</v>
      </c>
      <c r="I368">
        <f>Sales_Transactions_Raw[[#This Row],[Unit_Price]]*Sales_Transactions_Raw[[#This Row],[Quantity]]</f>
        <v>7830</v>
      </c>
      <c r="J368">
        <v>3</v>
      </c>
      <c r="K368">
        <v>0</v>
      </c>
      <c r="L368">
        <v>0</v>
      </c>
      <c r="M368">
        <v>7830</v>
      </c>
      <c r="N368">
        <v>12</v>
      </c>
      <c r="O368">
        <v>939.6</v>
      </c>
      <c r="P368">
        <v>0</v>
      </c>
      <c r="Q368">
        <v>8769.6</v>
      </c>
      <c r="R368" t="s">
        <v>92</v>
      </c>
      <c r="S368" t="s">
        <v>65</v>
      </c>
      <c r="T368" t="s">
        <v>115</v>
      </c>
      <c r="U368" t="s">
        <v>108</v>
      </c>
      <c r="V368" t="s">
        <v>80</v>
      </c>
      <c r="W368" t="s">
        <v>81</v>
      </c>
      <c r="X368" t="s">
        <v>96</v>
      </c>
      <c r="Y368" t="s">
        <v>97</v>
      </c>
      <c r="Z368" t="s">
        <v>95</v>
      </c>
      <c r="AA368" t="s">
        <v>1473</v>
      </c>
      <c r="AB368" t="s">
        <v>3339</v>
      </c>
      <c r="AC368">
        <v>4</v>
      </c>
      <c r="AD368" t="s">
        <v>56</v>
      </c>
      <c r="AE368" t="s">
        <v>3336</v>
      </c>
      <c r="AF368" t="s">
        <v>84</v>
      </c>
      <c r="AG368" t="s">
        <v>3342</v>
      </c>
      <c r="AH368" s="1">
        <v>44989</v>
      </c>
      <c r="AI368" s="1">
        <v>44995</v>
      </c>
      <c r="AJ368" s="1">
        <v>44999</v>
      </c>
      <c r="AK368" t="s">
        <v>3493</v>
      </c>
      <c r="AL368" t="s">
        <v>1472</v>
      </c>
    </row>
    <row r="369" spans="1:38" x14ac:dyDescent="0.35">
      <c r="A369" t="s">
        <v>1474</v>
      </c>
      <c r="B369" t="s">
        <v>41</v>
      </c>
      <c r="C369" t="s">
        <v>43</v>
      </c>
      <c r="D369" t="s">
        <v>221</v>
      </c>
      <c r="E369" t="s">
        <v>222</v>
      </c>
      <c r="F369" t="s">
        <v>146</v>
      </c>
      <c r="G369" t="s">
        <v>223</v>
      </c>
      <c r="H369">
        <v>2680</v>
      </c>
      <c r="I369">
        <f>Sales_Transactions_Raw[[#This Row],[Unit_Price]]*Sales_Transactions_Raw[[#This Row],[Quantity]]</f>
        <v>24120</v>
      </c>
      <c r="J369">
        <v>9</v>
      </c>
      <c r="K369">
        <v>10</v>
      </c>
      <c r="L369">
        <v>2412</v>
      </c>
      <c r="M369">
        <v>21708</v>
      </c>
      <c r="N369">
        <v>12</v>
      </c>
      <c r="O369">
        <v>2604.96</v>
      </c>
      <c r="P369">
        <v>0</v>
      </c>
      <c r="Q369">
        <v>24312.959999999999</v>
      </c>
      <c r="R369" t="s">
        <v>106</v>
      </c>
      <c r="S369" t="s">
        <v>65</v>
      </c>
      <c r="T369" t="s">
        <v>148</v>
      </c>
      <c r="U369" t="s">
        <v>214</v>
      </c>
      <c r="V369" t="s">
        <v>276</v>
      </c>
      <c r="W369" t="s">
        <v>95</v>
      </c>
      <c r="X369" t="s">
        <v>187</v>
      </c>
      <c r="Y369" t="s">
        <v>188</v>
      </c>
      <c r="Z369" t="s">
        <v>68</v>
      </c>
      <c r="AA369" t="s">
        <v>1476</v>
      </c>
      <c r="AB369" t="s">
        <v>3335</v>
      </c>
      <c r="AC369">
        <v>3</v>
      </c>
      <c r="AD369" t="s">
        <v>56</v>
      </c>
      <c r="AE369" t="s">
        <v>3336</v>
      </c>
      <c r="AF369" t="s">
        <v>279</v>
      </c>
      <c r="AG369" t="s">
        <v>58</v>
      </c>
      <c r="AH369" s="1">
        <v>45246</v>
      </c>
      <c r="AI369" s="1">
        <v>45248</v>
      </c>
      <c r="AJ369" s="1">
        <v>45256</v>
      </c>
      <c r="AK369" t="s">
        <v>3577</v>
      </c>
      <c r="AL369" t="s">
        <v>1475</v>
      </c>
    </row>
    <row r="370" spans="1:38" x14ac:dyDescent="0.35">
      <c r="A370" t="s">
        <v>1477</v>
      </c>
      <c r="B370" t="s">
        <v>513</v>
      </c>
      <c r="C370" t="s">
        <v>43</v>
      </c>
      <c r="D370" t="s">
        <v>391</v>
      </c>
      <c r="E370" t="s">
        <v>392</v>
      </c>
      <c r="F370" t="s">
        <v>46</v>
      </c>
      <c r="G370" t="s">
        <v>176</v>
      </c>
      <c r="H370">
        <v>9700</v>
      </c>
      <c r="I370">
        <f>Sales_Transactions_Raw[[#This Row],[Unit_Price]]*Sales_Transactions_Raw[[#This Row],[Quantity]]</f>
        <v>29100</v>
      </c>
      <c r="J370">
        <v>3</v>
      </c>
      <c r="K370">
        <v>15</v>
      </c>
      <c r="L370">
        <v>4365</v>
      </c>
      <c r="M370">
        <v>24735</v>
      </c>
      <c r="N370">
        <v>18</v>
      </c>
      <c r="O370">
        <v>4452.3</v>
      </c>
      <c r="P370">
        <v>0</v>
      </c>
      <c r="Q370">
        <v>29187.3</v>
      </c>
      <c r="R370" t="s">
        <v>124</v>
      </c>
      <c r="S370" t="s">
        <v>49</v>
      </c>
      <c r="T370" t="s">
        <v>66</v>
      </c>
      <c r="U370" t="s">
        <v>108</v>
      </c>
      <c r="V370" t="s">
        <v>297</v>
      </c>
      <c r="W370" t="s">
        <v>52</v>
      </c>
      <c r="X370" t="s">
        <v>510</v>
      </c>
      <c r="Y370" t="s">
        <v>199</v>
      </c>
      <c r="Z370" t="s">
        <v>52</v>
      </c>
      <c r="AA370" t="s">
        <v>1479</v>
      </c>
      <c r="AB370" t="s">
        <v>3335</v>
      </c>
      <c r="AC370">
        <v>4</v>
      </c>
      <c r="AD370" t="s">
        <v>56</v>
      </c>
      <c r="AE370" t="s">
        <v>3336</v>
      </c>
      <c r="AF370" t="s">
        <v>164</v>
      </c>
      <c r="AG370" t="s">
        <v>3337</v>
      </c>
      <c r="AH370" s="1">
        <v>45267</v>
      </c>
      <c r="AI370" s="1">
        <v>45272</v>
      </c>
      <c r="AJ370" s="1">
        <v>45282</v>
      </c>
      <c r="AK370" t="s">
        <v>3578</v>
      </c>
      <c r="AL370" t="s">
        <v>1478</v>
      </c>
    </row>
    <row r="371" spans="1:38" x14ac:dyDescent="0.35">
      <c r="A371" t="s">
        <v>1480</v>
      </c>
      <c r="B371" t="s">
        <v>235</v>
      </c>
      <c r="C371" t="s">
        <v>43</v>
      </c>
      <c r="D371" t="s">
        <v>367</v>
      </c>
      <c r="E371" t="s">
        <v>368</v>
      </c>
      <c r="F371" t="s">
        <v>46</v>
      </c>
      <c r="G371" t="s">
        <v>369</v>
      </c>
      <c r="H371">
        <v>29030</v>
      </c>
      <c r="I371">
        <f>Sales_Transactions_Raw[[#This Row],[Unit_Price]]*Sales_Transactions_Raw[[#This Row],[Quantity]]</f>
        <v>116120</v>
      </c>
      <c r="J371">
        <v>4</v>
      </c>
      <c r="K371">
        <v>20</v>
      </c>
      <c r="L371">
        <v>23224</v>
      </c>
      <c r="M371">
        <v>92896</v>
      </c>
      <c r="N371">
        <v>18</v>
      </c>
      <c r="O371">
        <v>16721.28</v>
      </c>
      <c r="P371">
        <v>0</v>
      </c>
      <c r="Q371">
        <v>109617.28</v>
      </c>
      <c r="R371" t="s">
        <v>64</v>
      </c>
      <c r="S371" t="s">
        <v>65</v>
      </c>
      <c r="T371" t="s">
        <v>148</v>
      </c>
      <c r="U371" t="s">
        <v>108</v>
      </c>
      <c r="V371" t="s">
        <v>116</v>
      </c>
      <c r="W371" t="s">
        <v>70</v>
      </c>
      <c r="X371" t="s">
        <v>96</v>
      </c>
      <c r="Y371" t="s">
        <v>97</v>
      </c>
      <c r="Z371" t="s">
        <v>95</v>
      </c>
      <c r="AA371" t="s">
        <v>1482</v>
      </c>
      <c r="AB371" t="s">
        <v>3335</v>
      </c>
      <c r="AC371">
        <v>5</v>
      </c>
      <c r="AD371" t="s">
        <v>179</v>
      </c>
      <c r="AE371" t="s">
        <v>818</v>
      </c>
      <c r="AF371" t="s">
        <v>326</v>
      </c>
      <c r="AG371" t="s">
        <v>85</v>
      </c>
      <c r="AH371" s="1">
        <v>45211</v>
      </c>
      <c r="AI371" s="1">
        <v>45214</v>
      </c>
      <c r="AJ371" s="1">
        <v>45223</v>
      </c>
      <c r="AK371" t="s">
        <v>3362</v>
      </c>
      <c r="AL371" t="s">
        <v>1481</v>
      </c>
    </row>
    <row r="372" spans="1:38" x14ac:dyDescent="0.35">
      <c r="A372" t="s">
        <v>1483</v>
      </c>
      <c r="B372" t="s">
        <v>691</v>
      </c>
      <c r="C372" t="s">
        <v>157</v>
      </c>
      <c r="D372" t="s">
        <v>221</v>
      </c>
      <c r="E372" t="s">
        <v>222</v>
      </c>
      <c r="F372" t="s">
        <v>146</v>
      </c>
      <c r="G372" t="s">
        <v>223</v>
      </c>
      <c r="H372">
        <v>3020</v>
      </c>
      <c r="I372">
        <f>Sales_Transactions_Raw[[#This Row],[Unit_Price]]*Sales_Transactions_Raw[[#This Row],[Quantity]]</f>
        <v>12080</v>
      </c>
      <c r="J372">
        <v>4</v>
      </c>
      <c r="K372">
        <v>0</v>
      </c>
      <c r="L372">
        <v>0</v>
      </c>
      <c r="M372">
        <v>12080</v>
      </c>
      <c r="N372">
        <v>12</v>
      </c>
      <c r="O372">
        <v>1449.6</v>
      </c>
      <c r="P372">
        <v>0</v>
      </c>
      <c r="Q372">
        <v>13529.6</v>
      </c>
      <c r="R372" t="s">
        <v>106</v>
      </c>
      <c r="S372" t="s">
        <v>65</v>
      </c>
      <c r="T372" t="s">
        <v>66</v>
      </c>
      <c r="U372" t="s">
        <v>161</v>
      </c>
      <c r="V372" t="s">
        <v>242</v>
      </c>
      <c r="W372" t="s">
        <v>70</v>
      </c>
      <c r="X372" t="s">
        <v>204</v>
      </c>
      <c r="Y372" t="s">
        <v>118</v>
      </c>
      <c r="Z372" t="s">
        <v>70</v>
      </c>
      <c r="AA372" t="s">
        <v>1485</v>
      </c>
      <c r="AB372" t="s">
        <v>3338</v>
      </c>
      <c r="AC372">
        <v>3</v>
      </c>
      <c r="AD372" t="s">
        <v>56</v>
      </c>
      <c r="AE372" t="s">
        <v>3336</v>
      </c>
      <c r="AF372" t="s">
        <v>262</v>
      </c>
      <c r="AG372" t="s">
        <v>3342</v>
      </c>
      <c r="AH372" s="1">
        <v>45156</v>
      </c>
      <c r="AI372" s="1">
        <v>45158</v>
      </c>
      <c r="AJ372" s="1">
        <v>45161</v>
      </c>
      <c r="AK372" t="s">
        <v>3440</v>
      </c>
      <c r="AL372" t="s">
        <v>1484</v>
      </c>
    </row>
    <row r="373" spans="1:38" x14ac:dyDescent="0.35">
      <c r="A373" t="s">
        <v>1486</v>
      </c>
      <c r="B373" t="s">
        <v>613</v>
      </c>
      <c r="C373" t="s">
        <v>43</v>
      </c>
      <c r="D373" t="s">
        <v>867</v>
      </c>
      <c r="E373" t="s">
        <v>868</v>
      </c>
      <c r="F373" t="s">
        <v>285</v>
      </c>
      <c r="G373" t="s">
        <v>869</v>
      </c>
      <c r="H373">
        <v>190</v>
      </c>
      <c r="I373">
        <f>Sales_Transactions_Raw[[#This Row],[Unit_Price]]*Sales_Transactions_Raw[[#This Row],[Quantity]]</f>
        <v>380</v>
      </c>
      <c r="J373">
        <v>2</v>
      </c>
      <c r="K373">
        <v>10</v>
      </c>
      <c r="L373">
        <v>38</v>
      </c>
      <c r="M373">
        <v>342</v>
      </c>
      <c r="N373">
        <v>5</v>
      </c>
      <c r="O373">
        <v>17.100000000000001</v>
      </c>
      <c r="P373">
        <v>79</v>
      </c>
      <c r="Q373">
        <v>359.1</v>
      </c>
      <c r="R373" t="s">
        <v>160</v>
      </c>
      <c r="S373" t="s">
        <v>93</v>
      </c>
      <c r="T373" t="s">
        <v>66</v>
      </c>
      <c r="U373" t="s">
        <v>196</v>
      </c>
      <c r="V373" t="s">
        <v>197</v>
      </c>
      <c r="W373" t="s">
        <v>68</v>
      </c>
      <c r="X373" t="s">
        <v>277</v>
      </c>
      <c r="Y373" t="s">
        <v>127</v>
      </c>
      <c r="Z373" t="s">
        <v>68</v>
      </c>
      <c r="AA373" t="s">
        <v>1488</v>
      </c>
      <c r="AB373" t="s">
        <v>3339</v>
      </c>
      <c r="AC373">
        <v>2</v>
      </c>
      <c r="AD373" t="s">
        <v>56</v>
      </c>
      <c r="AE373" t="s">
        <v>3336</v>
      </c>
      <c r="AF373" t="s">
        <v>72</v>
      </c>
      <c r="AG373" t="s">
        <v>3337</v>
      </c>
      <c r="AH373" s="1">
        <v>45187</v>
      </c>
      <c r="AI373" s="1">
        <v>45190</v>
      </c>
      <c r="AJ373" s="1">
        <v>45192</v>
      </c>
      <c r="AK373" t="s">
        <v>3423</v>
      </c>
      <c r="AL373" t="s">
        <v>1487</v>
      </c>
    </row>
    <row r="374" spans="1:38" x14ac:dyDescent="0.35">
      <c r="A374" t="s">
        <v>1489</v>
      </c>
      <c r="B374" t="s">
        <v>333</v>
      </c>
      <c r="C374" t="s">
        <v>157</v>
      </c>
      <c r="D374" t="s">
        <v>274</v>
      </c>
      <c r="E374" t="s">
        <v>275</v>
      </c>
      <c r="F374" t="s">
        <v>211</v>
      </c>
      <c r="G374" t="s">
        <v>268</v>
      </c>
      <c r="H374">
        <v>14370</v>
      </c>
      <c r="I374">
        <f>Sales_Transactions_Raw[[#This Row],[Unit_Price]]*Sales_Transactions_Raw[[#This Row],[Quantity]]</f>
        <v>28740</v>
      </c>
      <c r="J374">
        <v>2</v>
      </c>
      <c r="K374">
        <v>0</v>
      </c>
      <c r="L374">
        <v>0</v>
      </c>
      <c r="M374">
        <v>28740</v>
      </c>
      <c r="N374">
        <v>5</v>
      </c>
      <c r="O374">
        <v>1437</v>
      </c>
      <c r="P374">
        <v>0</v>
      </c>
      <c r="Q374">
        <v>30177</v>
      </c>
      <c r="R374" t="s">
        <v>92</v>
      </c>
      <c r="S374" t="s">
        <v>93</v>
      </c>
      <c r="T374" t="s">
        <v>719</v>
      </c>
      <c r="U374" t="s">
        <v>214</v>
      </c>
      <c r="V374" t="s">
        <v>242</v>
      </c>
      <c r="W374" t="s">
        <v>70</v>
      </c>
      <c r="X374" t="s">
        <v>626</v>
      </c>
      <c r="Y374" t="s">
        <v>289</v>
      </c>
      <c r="Z374" t="s">
        <v>52</v>
      </c>
      <c r="AA374" t="s">
        <v>1491</v>
      </c>
      <c r="AB374" t="s">
        <v>3344</v>
      </c>
      <c r="AC374">
        <v>4</v>
      </c>
      <c r="AD374" t="s">
        <v>56</v>
      </c>
      <c r="AE374" t="s">
        <v>3336</v>
      </c>
      <c r="AF374" t="s">
        <v>140</v>
      </c>
      <c r="AG374" t="s">
        <v>3342</v>
      </c>
      <c r="AH374" s="1">
        <v>45316</v>
      </c>
      <c r="AI374" s="1">
        <v>45319</v>
      </c>
      <c r="AJ374" s="1">
        <v>45324</v>
      </c>
      <c r="AK374" t="s">
        <v>3375</v>
      </c>
      <c r="AL374" t="s">
        <v>1490</v>
      </c>
    </row>
    <row r="375" spans="1:38" x14ac:dyDescent="0.35">
      <c r="A375" t="s">
        <v>1492</v>
      </c>
      <c r="B375" t="s">
        <v>457</v>
      </c>
      <c r="C375" t="s">
        <v>43</v>
      </c>
      <c r="D375" t="s">
        <v>432</v>
      </c>
      <c r="E375" t="s">
        <v>433</v>
      </c>
      <c r="F375" t="s">
        <v>146</v>
      </c>
      <c r="G375" t="s">
        <v>296</v>
      </c>
      <c r="H375">
        <v>4940</v>
      </c>
      <c r="I375">
        <f>Sales_Transactions_Raw[[#This Row],[Unit_Price]]*Sales_Transactions_Raw[[#This Row],[Quantity]]</f>
        <v>24700</v>
      </c>
      <c r="J375">
        <v>5</v>
      </c>
      <c r="K375">
        <v>20</v>
      </c>
      <c r="L375">
        <v>4940</v>
      </c>
      <c r="M375">
        <v>19760</v>
      </c>
      <c r="N375">
        <v>12</v>
      </c>
      <c r="O375">
        <v>2371.1999999999998</v>
      </c>
      <c r="P375">
        <v>0</v>
      </c>
      <c r="Q375">
        <v>22131.200000000001</v>
      </c>
      <c r="R375" t="s">
        <v>48</v>
      </c>
      <c r="S375" t="s">
        <v>125</v>
      </c>
      <c r="T375" t="s">
        <v>115</v>
      </c>
      <c r="U375" t="s">
        <v>196</v>
      </c>
      <c r="V375" t="s">
        <v>276</v>
      </c>
      <c r="W375" t="s">
        <v>95</v>
      </c>
      <c r="X375" t="s">
        <v>443</v>
      </c>
      <c r="Y375" t="s">
        <v>97</v>
      </c>
      <c r="Z375" t="s">
        <v>95</v>
      </c>
      <c r="AA375" t="s">
        <v>1494</v>
      </c>
      <c r="AB375" t="s">
        <v>3344</v>
      </c>
      <c r="AC375">
        <v>4</v>
      </c>
      <c r="AD375" t="s">
        <v>56</v>
      </c>
      <c r="AE375" t="s">
        <v>3336</v>
      </c>
      <c r="AF375" t="s">
        <v>164</v>
      </c>
      <c r="AG375" t="s">
        <v>58</v>
      </c>
      <c r="AH375" s="1">
        <v>45316</v>
      </c>
      <c r="AI375" s="1">
        <v>45328</v>
      </c>
      <c r="AJ375" s="1">
        <v>45338</v>
      </c>
      <c r="AK375" t="s">
        <v>3579</v>
      </c>
      <c r="AL375" t="s">
        <v>1493</v>
      </c>
    </row>
    <row r="376" spans="1:38" x14ac:dyDescent="0.35">
      <c r="A376" t="s">
        <v>1495</v>
      </c>
      <c r="B376" t="s">
        <v>409</v>
      </c>
      <c r="C376" t="s">
        <v>43</v>
      </c>
      <c r="D376" t="s">
        <v>221</v>
      </c>
      <c r="E376" t="s">
        <v>222</v>
      </c>
      <c r="F376" t="s">
        <v>146</v>
      </c>
      <c r="G376" t="s">
        <v>223</v>
      </c>
      <c r="H376">
        <v>2710</v>
      </c>
      <c r="I376">
        <f>Sales_Transactions_Raw[[#This Row],[Unit_Price]]*Sales_Transactions_Raw[[#This Row],[Quantity]]</f>
        <v>5420</v>
      </c>
      <c r="J376">
        <v>2</v>
      </c>
      <c r="K376">
        <v>15</v>
      </c>
      <c r="L376">
        <v>813</v>
      </c>
      <c r="M376">
        <v>4607</v>
      </c>
      <c r="N376">
        <v>12</v>
      </c>
      <c r="O376">
        <v>552.84</v>
      </c>
      <c r="P376">
        <v>0</v>
      </c>
      <c r="Q376">
        <v>5159.84</v>
      </c>
      <c r="R376" t="s">
        <v>160</v>
      </c>
      <c r="S376" t="s">
        <v>93</v>
      </c>
      <c r="T376" t="s">
        <v>115</v>
      </c>
      <c r="U376" t="s">
        <v>214</v>
      </c>
      <c r="V376" t="s">
        <v>51</v>
      </c>
      <c r="W376" t="s">
        <v>52</v>
      </c>
      <c r="X376" t="s">
        <v>162</v>
      </c>
      <c r="Y376" t="s">
        <v>109</v>
      </c>
      <c r="Z376" t="s">
        <v>70</v>
      </c>
      <c r="AA376" t="s">
        <v>1497</v>
      </c>
      <c r="AB376" t="s">
        <v>3335</v>
      </c>
      <c r="AC376">
        <v>5</v>
      </c>
      <c r="AD376" t="s">
        <v>56</v>
      </c>
      <c r="AE376" t="s">
        <v>3336</v>
      </c>
      <c r="AF376" t="s">
        <v>217</v>
      </c>
      <c r="AG376" t="s">
        <v>58</v>
      </c>
      <c r="AH376" s="1">
        <v>45088</v>
      </c>
      <c r="AI376" s="1">
        <v>45092</v>
      </c>
      <c r="AJ376" s="1">
        <v>45338</v>
      </c>
      <c r="AK376" t="s">
        <v>3425</v>
      </c>
      <c r="AL376" t="s">
        <v>1496</v>
      </c>
    </row>
    <row r="377" spans="1:38" x14ac:dyDescent="0.35">
      <c r="A377" t="s">
        <v>1498</v>
      </c>
      <c r="B377" t="s">
        <v>646</v>
      </c>
      <c r="C377" t="s">
        <v>89</v>
      </c>
      <c r="D377" t="s">
        <v>183</v>
      </c>
      <c r="E377" t="s">
        <v>184</v>
      </c>
      <c r="F377" t="s">
        <v>185</v>
      </c>
      <c r="G377" t="s">
        <v>186</v>
      </c>
      <c r="H377">
        <v>120</v>
      </c>
      <c r="I377">
        <f>Sales_Transactions_Raw[[#This Row],[Unit_Price]]*Sales_Transactions_Raw[[#This Row],[Quantity]]</f>
        <v>240</v>
      </c>
      <c r="J377">
        <v>2</v>
      </c>
      <c r="K377">
        <v>10</v>
      </c>
      <c r="L377">
        <v>24</v>
      </c>
      <c r="M377">
        <v>216</v>
      </c>
      <c r="N377">
        <v>5</v>
      </c>
      <c r="O377">
        <v>10.8</v>
      </c>
      <c r="P377">
        <v>149</v>
      </c>
      <c r="Q377">
        <v>226.8</v>
      </c>
      <c r="R377" t="s">
        <v>124</v>
      </c>
      <c r="S377" t="s">
        <v>49</v>
      </c>
      <c r="T377" t="s">
        <v>66</v>
      </c>
      <c r="U377" t="s">
        <v>214</v>
      </c>
      <c r="V377" t="s">
        <v>276</v>
      </c>
      <c r="W377" t="s">
        <v>95</v>
      </c>
      <c r="X377" t="s">
        <v>381</v>
      </c>
      <c r="Y377" t="s">
        <v>199</v>
      </c>
      <c r="Z377" t="s">
        <v>52</v>
      </c>
      <c r="AA377" t="s">
        <v>1500</v>
      </c>
      <c r="AB377" t="s">
        <v>3335</v>
      </c>
      <c r="AC377">
        <v>4</v>
      </c>
      <c r="AD377" t="s">
        <v>56</v>
      </c>
      <c r="AE377" t="s">
        <v>3336</v>
      </c>
      <c r="AF377" t="s">
        <v>153</v>
      </c>
      <c r="AG377" t="s">
        <v>85</v>
      </c>
      <c r="AH377" s="1">
        <v>45276</v>
      </c>
      <c r="AI377" s="1">
        <v>45282</v>
      </c>
      <c r="AJ377" s="1">
        <v>45286</v>
      </c>
      <c r="AK377" t="s">
        <v>3580</v>
      </c>
      <c r="AL377" t="s">
        <v>1499</v>
      </c>
    </row>
    <row r="378" spans="1:38" x14ac:dyDescent="0.35">
      <c r="A378" t="s">
        <v>1501</v>
      </c>
      <c r="B378" t="s">
        <v>741</v>
      </c>
      <c r="C378" t="s">
        <v>43</v>
      </c>
      <c r="D378" t="s">
        <v>183</v>
      </c>
      <c r="E378" t="s">
        <v>184</v>
      </c>
      <c r="F378" t="s">
        <v>185</v>
      </c>
      <c r="G378" t="s">
        <v>186</v>
      </c>
      <c r="H378">
        <v>120</v>
      </c>
      <c r="I378">
        <f>Sales_Transactions_Raw[[#This Row],[Unit_Price]]*Sales_Transactions_Raw[[#This Row],[Quantity]]</f>
        <v>240</v>
      </c>
      <c r="J378">
        <v>2</v>
      </c>
      <c r="K378">
        <v>15</v>
      </c>
      <c r="L378">
        <v>36</v>
      </c>
      <c r="M378">
        <v>204</v>
      </c>
      <c r="N378">
        <v>5</v>
      </c>
      <c r="O378">
        <v>10.199999999999999</v>
      </c>
      <c r="P378">
        <v>149</v>
      </c>
      <c r="Q378">
        <v>214.2</v>
      </c>
      <c r="R378" t="s">
        <v>64</v>
      </c>
      <c r="S378" t="s">
        <v>65</v>
      </c>
      <c r="T378" t="s">
        <v>115</v>
      </c>
      <c r="U378" t="s">
        <v>50</v>
      </c>
      <c r="V378" t="s">
        <v>269</v>
      </c>
      <c r="W378" t="s">
        <v>70</v>
      </c>
      <c r="X378" t="s">
        <v>243</v>
      </c>
      <c r="Y378" t="s">
        <v>244</v>
      </c>
      <c r="Z378" t="s">
        <v>70</v>
      </c>
      <c r="AA378" t="s">
        <v>1503</v>
      </c>
      <c r="AB378" t="s">
        <v>3335</v>
      </c>
      <c r="AC378">
        <v>4</v>
      </c>
      <c r="AD378" t="s">
        <v>56</v>
      </c>
      <c r="AE378" t="s">
        <v>3336</v>
      </c>
      <c r="AF378" t="s">
        <v>153</v>
      </c>
      <c r="AG378" t="s">
        <v>111</v>
      </c>
      <c r="AH378" s="1">
        <v>45095</v>
      </c>
      <c r="AI378" s="1">
        <v>45096</v>
      </c>
      <c r="AJ378" s="1">
        <v>45101</v>
      </c>
      <c r="AK378" t="s">
        <v>3581</v>
      </c>
      <c r="AL378" t="s">
        <v>1502</v>
      </c>
    </row>
    <row r="379" spans="1:38" x14ac:dyDescent="0.35">
      <c r="A379" t="s">
        <v>1504</v>
      </c>
      <c r="B379" t="s">
        <v>940</v>
      </c>
      <c r="C379" t="s">
        <v>131</v>
      </c>
      <c r="D379" t="s">
        <v>230</v>
      </c>
      <c r="E379" t="s">
        <v>231</v>
      </c>
      <c r="F379" t="s">
        <v>46</v>
      </c>
      <c r="G379" t="s">
        <v>63</v>
      </c>
      <c r="H379">
        <v>114740</v>
      </c>
      <c r="I379">
        <f>Sales_Transactions_Raw[[#This Row],[Unit_Price]]*Sales_Transactions_Raw[[#This Row],[Quantity]]</f>
        <v>114740</v>
      </c>
      <c r="J379">
        <v>1</v>
      </c>
      <c r="K379">
        <v>0</v>
      </c>
      <c r="L379">
        <v>0</v>
      </c>
      <c r="M379">
        <v>114740</v>
      </c>
      <c r="N379">
        <v>18</v>
      </c>
      <c r="O379">
        <v>20653.2</v>
      </c>
      <c r="P379">
        <v>0</v>
      </c>
      <c r="Q379">
        <v>135393.20000000001</v>
      </c>
      <c r="R379" t="s">
        <v>64</v>
      </c>
      <c r="S379" t="s">
        <v>107</v>
      </c>
      <c r="T379" t="s">
        <v>115</v>
      </c>
      <c r="U379" t="s">
        <v>214</v>
      </c>
      <c r="V379" t="s">
        <v>94</v>
      </c>
      <c r="W379" t="s">
        <v>95</v>
      </c>
      <c r="X379" t="s">
        <v>277</v>
      </c>
      <c r="Y379" t="s">
        <v>127</v>
      </c>
      <c r="Z379" t="s">
        <v>68</v>
      </c>
      <c r="AA379" t="s">
        <v>1506</v>
      </c>
      <c r="AB379" t="s">
        <v>3335</v>
      </c>
      <c r="AC379">
        <v>4</v>
      </c>
      <c r="AD379" t="s">
        <v>56</v>
      </c>
      <c r="AE379" t="s">
        <v>3336</v>
      </c>
      <c r="AF379" t="s">
        <v>99</v>
      </c>
      <c r="AG379" t="s">
        <v>111</v>
      </c>
      <c r="AH379" s="1">
        <v>45089</v>
      </c>
      <c r="AI379" s="1">
        <v>45096</v>
      </c>
      <c r="AJ379" s="1">
        <v>45101</v>
      </c>
      <c r="AK379" t="s">
        <v>3582</v>
      </c>
      <c r="AL379" t="s">
        <v>1505</v>
      </c>
    </row>
    <row r="380" spans="1:38" x14ac:dyDescent="0.35">
      <c r="A380" t="s">
        <v>1507</v>
      </c>
      <c r="B380" t="s">
        <v>1000</v>
      </c>
      <c r="C380" t="s">
        <v>89</v>
      </c>
      <c r="D380" t="s">
        <v>266</v>
      </c>
      <c r="E380" t="s">
        <v>267</v>
      </c>
      <c r="F380" t="s">
        <v>211</v>
      </c>
      <c r="G380" t="s">
        <v>268</v>
      </c>
      <c r="H380">
        <v>29347.846790890268</v>
      </c>
      <c r="I380">
        <f>Sales_Transactions_Raw[[#This Row],[Unit_Price]]*Sales_Transactions_Raw[[#This Row],[Quantity]]</f>
        <v>58695.693581780535</v>
      </c>
      <c r="J380">
        <v>2</v>
      </c>
      <c r="K380">
        <v>10</v>
      </c>
      <c r="L380">
        <v>11566</v>
      </c>
      <c r="M380">
        <v>104094</v>
      </c>
      <c r="N380">
        <v>5</v>
      </c>
      <c r="O380">
        <v>5204.7</v>
      </c>
      <c r="P380">
        <v>0</v>
      </c>
      <c r="Q380">
        <v>109298.7</v>
      </c>
      <c r="R380" t="s">
        <v>48</v>
      </c>
      <c r="S380" t="s">
        <v>125</v>
      </c>
      <c r="T380" t="s">
        <v>719</v>
      </c>
      <c r="U380" t="s">
        <v>108</v>
      </c>
      <c r="V380" t="s">
        <v>67</v>
      </c>
      <c r="W380" t="s">
        <v>68</v>
      </c>
      <c r="X380" t="s">
        <v>515</v>
      </c>
      <c r="Y380" t="s">
        <v>82</v>
      </c>
      <c r="Z380" t="s">
        <v>52</v>
      </c>
      <c r="AA380" t="s">
        <v>1509</v>
      </c>
      <c r="AB380" t="s">
        <v>3335</v>
      </c>
      <c r="AC380">
        <v>4</v>
      </c>
      <c r="AD380" t="s">
        <v>56</v>
      </c>
      <c r="AE380" t="s">
        <v>3336</v>
      </c>
      <c r="AF380" t="s">
        <v>57</v>
      </c>
      <c r="AG380" t="s">
        <v>3342</v>
      </c>
      <c r="AH380" s="1">
        <v>45115</v>
      </c>
      <c r="AI380" s="1">
        <v>45117</v>
      </c>
      <c r="AJ380" s="1">
        <v>45124</v>
      </c>
      <c r="AK380" t="s">
        <v>3507</v>
      </c>
      <c r="AL380" t="s">
        <v>1508</v>
      </c>
    </row>
    <row r="381" spans="1:38" x14ac:dyDescent="0.35">
      <c r="A381" t="s">
        <v>1510</v>
      </c>
      <c r="B381" t="s">
        <v>829</v>
      </c>
      <c r="C381" t="s">
        <v>43</v>
      </c>
      <c r="D381" t="s">
        <v>432</v>
      </c>
      <c r="E381" t="s">
        <v>433</v>
      </c>
      <c r="F381" t="s">
        <v>146</v>
      </c>
      <c r="G381" t="s">
        <v>296</v>
      </c>
      <c r="H381">
        <v>5130</v>
      </c>
      <c r="I381">
        <f>Sales_Transactions_Raw[[#This Row],[Unit_Price]]*Sales_Transactions_Raw[[#This Row],[Quantity]]</f>
        <v>41040</v>
      </c>
      <c r="J381">
        <v>8</v>
      </c>
      <c r="K381">
        <v>5</v>
      </c>
      <c r="L381">
        <v>2052</v>
      </c>
      <c r="M381">
        <v>38988</v>
      </c>
      <c r="N381">
        <v>12</v>
      </c>
      <c r="O381">
        <v>4678.5600000000004</v>
      </c>
      <c r="P381">
        <v>0</v>
      </c>
      <c r="Q381">
        <v>43666.559999999998</v>
      </c>
      <c r="R381" t="s">
        <v>64</v>
      </c>
      <c r="S381" t="s">
        <v>125</v>
      </c>
      <c r="T381" t="s">
        <v>115</v>
      </c>
      <c r="U381" t="s">
        <v>108</v>
      </c>
      <c r="V381" t="s">
        <v>297</v>
      </c>
      <c r="W381" t="s">
        <v>52</v>
      </c>
      <c r="X381" t="s">
        <v>237</v>
      </c>
      <c r="Y381" t="s">
        <v>138</v>
      </c>
      <c r="Z381" t="s">
        <v>81</v>
      </c>
      <c r="AA381" t="s">
        <v>1512</v>
      </c>
      <c r="AB381" t="s">
        <v>3340</v>
      </c>
      <c r="AC381">
        <v>4</v>
      </c>
      <c r="AD381" t="s">
        <v>56</v>
      </c>
      <c r="AE381" t="s">
        <v>3336</v>
      </c>
      <c r="AF381" t="s">
        <v>153</v>
      </c>
      <c r="AG381" t="s">
        <v>111</v>
      </c>
      <c r="AH381" s="1">
        <v>45253</v>
      </c>
      <c r="AI381" s="1">
        <v>45256</v>
      </c>
      <c r="AJ381" s="1">
        <v>45124</v>
      </c>
      <c r="AK381" t="s">
        <v>3473</v>
      </c>
      <c r="AL381" t="s">
        <v>1511</v>
      </c>
    </row>
    <row r="382" spans="1:38" x14ac:dyDescent="0.35">
      <c r="A382" t="s">
        <v>1513</v>
      </c>
      <c r="B382" t="s">
        <v>414</v>
      </c>
      <c r="C382" t="s">
        <v>89</v>
      </c>
      <c r="D382" t="s">
        <v>335</v>
      </c>
      <c r="E382" t="s">
        <v>336</v>
      </c>
      <c r="F382" t="s">
        <v>134</v>
      </c>
      <c r="G382" t="s">
        <v>135</v>
      </c>
      <c r="H382">
        <v>10040</v>
      </c>
      <c r="I382">
        <f>Sales_Transactions_Raw[[#This Row],[Unit_Price]]*Sales_Transactions_Raw[[#This Row],[Quantity]]</f>
        <v>30120</v>
      </c>
      <c r="J382">
        <v>3</v>
      </c>
      <c r="K382">
        <v>0</v>
      </c>
      <c r="L382">
        <v>0</v>
      </c>
      <c r="M382">
        <v>30120</v>
      </c>
      <c r="N382">
        <v>5</v>
      </c>
      <c r="O382">
        <v>1506</v>
      </c>
      <c r="P382">
        <v>0</v>
      </c>
      <c r="Q382">
        <v>31626</v>
      </c>
      <c r="R382" t="s">
        <v>124</v>
      </c>
      <c r="S382" t="s">
        <v>93</v>
      </c>
      <c r="T382" t="s">
        <v>115</v>
      </c>
      <c r="U382" t="s">
        <v>214</v>
      </c>
      <c r="V382" t="s">
        <v>276</v>
      </c>
      <c r="W382" t="s">
        <v>95</v>
      </c>
      <c r="X382" t="s">
        <v>288</v>
      </c>
      <c r="Y382" t="s">
        <v>289</v>
      </c>
      <c r="Z382" t="s">
        <v>52</v>
      </c>
      <c r="AA382" t="s">
        <v>1515</v>
      </c>
      <c r="AB382" t="s">
        <v>3340</v>
      </c>
      <c r="AC382">
        <v>5</v>
      </c>
      <c r="AD382" t="s">
        <v>179</v>
      </c>
      <c r="AE382" t="s">
        <v>476</v>
      </c>
      <c r="AF382" t="s">
        <v>279</v>
      </c>
      <c r="AG382" t="s">
        <v>58</v>
      </c>
      <c r="AH382" s="1">
        <v>45400</v>
      </c>
      <c r="AI382" s="1">
        <v>45405</v>
      </c>
      <c r="AJ382" s="1">
        <v>45414</v>
      </c>
      <c r="AK382" t="s">
        <v>3583</v>
      </c>
      <c r="AL382" t="s">
        <v>1514</v>
      </c>
    </row>
    <row r="383" spans="1:38" x14ac:dyDescent="0.35">
      <c r="A383" t="s">
        <v>1516</v>
      </c>
      <c r="B383" t="s">
        <v>430</v>
      </c>
      <c r="C383" t="s">
        <v>43</v>
      </c>
      <c r="D383" t="s">
        <v>193</v>
      </c>
      <c r="E383" t="s">
        <v>194</v>
      </c>
      <c r="F383" t="s">
        <v>146</v>
      </c>
      <c r="G383" t="s">
        <v>195</v>
      </c>
      <c r="H383">
        <v>2950</v>
      </c>
      <c r="I383">
        <f>Sales_Transactions_Raw[[#This Row],[Unit_Price]]*Sales_Transactions_Raw[[#This Row],[Quantity]]</f>
        <v>2950</v>
      </c>
      <c r="J383">
        <v>1</v>
      </c>
      <c r="K383">
        <v>0</v>
      </c>
      <c r="L383">
        <v>0</v>
      </c>
      <c r="M383">
        <v>2950</v>
      </c>
      <c r="N383">
        <v>12</v>
      </c>
      <c r="O383">
        <v>354</v>
      </c>
      <c r="P383">
        <v>79</v>
      </c>
      <c r="Q383">
        <v>3304</v>
      </c>
      <c r="R383" t="s">
        <v>160</v>
      </c>
      <c r="S383" t="s">
        <v>93</v>
      </c>
      <c r="T383" t="s">
        <v>115</v>
      </c>
      <c r="U383" t="s">
        <v>161</v>
      </c>
      <c r="V383" t="s">
        <v>177</v>
      </c>
      <c r="W383" t="s">
        <v>81</v>
      </c>
      <c r="X383" t="s">
        <v>491</v>
      </c>
      <c r="Y383" t="s">
        <v>358</v>
      </c>
      <c r="Z383" t="s">
        <v>95</v>
      </c>
      <c r="AA383" t="s">
        <v>1518</v>
      </c>
      <c r="AB383" t="s">
        <v>3338</v>
      </c>
      <c r="AC383">
        <v>2</v>
      </c>
      <c r="AD383" t="s">
        <v>56</v>
      </c>
      <c r="AE383" t="s">
        <v>3336</v>
      </c>
      <c r="AF383" t="s">
        <v>279</v>
      </c>
      <c r="AG383" t="s">
        <v>85</v>
      </c>
      <c r="AH383" s="1">
        <v>45216</v>
      </c>
      <c r="AI383" s="1">
        <v>45221</v>
      </c>
      <c r="AJ383" s="1">
        <v>45230</v>
      </c>
      <c r="AK383" t="s">
        <v>3584</v>
      </c>
      <c r="AL383" t="s">
        <v>1517</v>
      </c>
    </row>
    <row r="384" spans="1:38" x14ac:dyDescent="0.35">
      <c r="A384" t="s">
        <v>1519</v>
      </c>
      <c r="B384" t="s">
        <v>1078</v>
      </c>
      <c r="C384" t="s">
        <v>157</v>
      </c>
      <c r="D384" t="s">
        <v>158</v>
      </c>
      <c r="E384" t="s">
        <v>159</v>
      </c>
      <c r="F384" t="s">
        <v>46</v>
      </c>
      <c r="G384" t="s">
        <v>105</v>
      </c>
      <c r="H384">
        <v>49330</v>
      </c>
      <c r="I384">
        <f>Sales_Transactions_Raw[[#This Row],[Unit_Price]]*Sales_Transactions_Raw[[#This Row],[Quantity]]</f>
        <v>197320</v>
      </c>
      <c r="J384">
        <v>4</v>
      </c>
      <c r="K384">
        <v>5</v>
      </c>
      <c r="L384">
        <v>9866</v>
      </c>
      <c r="M384">
        <v>187454</v>
      </c>
      <c r="N384">
        <v>18</v>
      </c>
      <c r="O384">
        <v>33741.72</v>
      </c>
      <c r="P384">
        <v>0</v>
      </c>
      <c r="Q384">
        <v>221195.72</v>
      </c>
      <c r="R384" t="s">
        <v>48</v>
      </c>
      <c r="S384" t="s">
        <v>93</v>
      </c>
      <c r="T384" t="s">
        <v>115</v>
      </c>
      <c r="U384" t="s">
        <v>161</v>
      </c>
      <c r="V384" t="s">
        <v>51</v>
      </c>
      <c r="W384" t="s">
        <v>52</v>
      </c>
      <c r="X384" t="s">
        <v>599</v>
      </c>
      <c r="Y384" t="s">
        <v>319</v>
      </c>
      <c r="Z384" t="s">
        <v>95</v>
      </c>
      <c r="AA384" t="s">
        <v>1521</v>
      </c>
      <c r="AB384" t="s">
        <v>3335</v>
      </c>
      <c r="AC384">
        <v>4</v>
      </c>
      <c r="AD384" t="s">
        <v>56</v>
      </c>
      <c r="AE384" t="s">
        <v>3336</v>
      </c>
      <c r="AF384" t="s">
        <v>279</v>
      </c>
      <c r="AG384" t="s">
        <v>58</v>
      </c>
      <c r="AH384" s="1">
        <v>44977</v>
      </c>
      <c r="AI384" s="1">
        <v>44983</v>
      </c>
      <c r="AJ384" s="1">
        <v>44990</v>
      </c>
      <c r="AK384" t="s">
        <v>3512</v>
      </c>
      <c r="AL384" t="s">
        <v>1520</v>
      </c>
    </row>
    <row r="385" spans="1:38" x14ac:dyDescent="0.35">
      <c r="A385" t="s">
        <v>1522</v>
      </c>
      <c r="B385" t="s">
        <v>829</v>
      </c>
      <c r="C385" t="s">
        <v>43</v>
      </c>
      <c r="D385" t="s">
        <v>221</v>
      </c>
      <c r="E385" t="s">
        <v>222</v>
      </c>
      <c r="F385" t="s">
        <v>146</v>
      </c>
      <c r="G385" t="s">
        <v>223</v>
      </c>
      <c r="H385">
        <v>2810</v>
      </c>
      <c r="I385">
        <f>Sales_Transactions_Raw[[#This Row],[Unit_Price]]*Sales_Transactions_Raw[[#This Row],[Quantity]]</f>
        <v>2810</v>
      </c>
      <c r="J385">
        <v>1</v>
      </c>
      <c r="K385">
        <v>10</v>
      </c>
      <c r="L385">
        <v>281</v>
      </c>
      <c r="M385">
        <v>2529</v>
      </c>
      <c r="N385">
        <v>12</v>
      </c>
      <c r="O385">
        <v>303.48</v>
      </c>
      <c r="P385">
        <v>79</v>
      </c>
      <c r="Q385">
        <v>2832.48</v>
      </c>
      <c r="R385" t="s">
        <v>79</v>
      </c>
      <c r="S385" t="s">
        <v>107</v>
      </c>
      <c r="T385" t="s">
        <v>115</v>
      </c>
      <c r="U385" t="s">
        <v>196</v>
      </c>
      <c r="V385" t="s">
        <v>177</v>
      </c>
      <c r="W385" t="s">
        <v>81</v>
      </c>
      <c r="X385" t="s">
        <v>168</v>
      </c>
      <c r="Y385" t="s">
        <v>169</v>
      </c>
      <c r="Z385" t="s">
        <v>95</v>
      </c>
      <c r="AA385" t="s">
        <v>1524</v>
      </c>
      <c r="AB385" t="s">
        <v>3335</v>
      </c>
      <c r="AC385">
        <v>3</v>
      </c>
      <c r="AD385" t="s">
        <v>56</v>
      </c>
      <c r="AE385" t="s">
        <v>3336</v>
      </c>
      <c r="AF385" t="s">
        <v>279</v>
      </c>
      <c r="AG385" t="s">
        <v>58</v>
      </c>
      <c r="AH385" s="1">
        <v>45158</v>
      </c>
      <c r="AI385" s="1">
        <v>45163</v>
      </c>
      <c r="AJ385" s="1">
        <v>45169</v>
      </c>
      <c r="AK385" t="s">
        <v>3585</v>
      </c>
      <c r="AL385" t="s">
        <v>1523</v>
      </c>
    </row>
    <row r="386" spans="1:38" x14ac:dyDescent="0.35">
      <c r="A386" t="s">
        <v>1525</v>
      </c>
      <c r="B386" t="s">
        <v>944</v>
      </c>
      <c r="C386" t="s">
        <v>43</v>
      </c>
      <c r="D386" t="s">
        <v>441</v>
      </c>
      <c r="E386" t="s">
        <v>442</v>
      </c>
      <c r="F386" t="s">
        <v>46</v>
      </c>
      <c r="G386" t="s">
        <v>369</v>
      </c>
      <c r="H386">
        <v>67320</v>
      </c>
      <c r="I386">
        <f>Sales_Transactions_Raw[[#This Row],[Unit_Price]]*Sales_Transactions_Raw[[#This Row],[Quantity]]</f>
        <v>67320</v>
      </c>
      <c r="J386">
        <v>1</v>
      </c>
      <c r="K386">
        <v>0</v>
      </c>
      <c r="L386">
        <v>0</v>
      </c>
      <c r="M386">
        <v>67320</v>
      </c>
      <c r="N386">
        <v>18</v>
      </c>
      <c r="O386">
        <v>12117.6</v>
      </c>
      <c r="P386">
        <v>0</v>
      </c>
      <c r="Q386">
        <v>79437.600000000006</v>
      </c>
      <c r="R386" t="s">
        <v>79</v>
      </c>
      <c r="S386" t="s">
        <v>49</v>
      </c>
      <c r="T386" t="s">
        <v>115</v>
      </c>
      <c r="U386" t="s">
        <v>196</v>
      </c>
      <c r="V386" t="s">
        <v>177</v>
      </c>
      <c r="W386" t="s">
        <v>81</v>
      </c>
      <c r="X386" t="s">
        <v>611</v>
      </c>
      <c r="Y386" t="s">
        <v>97</v>
      </c>
      <c r="Z386" t="s">
        <v>95</v>
      </c>
      <c r="AA386" t="s">
        <v>1527</v>
      </c>
      <c r="AB386" t="s">
        <v>3340</v>
      </c>
      <c r="AC386">
        <v>4</v>
      </c>
      <c r="AD386" t="s">
        <v>56</v>
      </c>
      <c r="AE386" t="s">
        <v>3336</v>
      </c>
      <c r="AF386" t="s">
        <v>72</v>
      </c>
      <c r="AG386" t="s">
        <v>58</v>
      </c>
      <c r="AH386" s="1">
        <v>45370</v>
      </c>
      <c r="AI386" s="1">
        <v>45377</v>
      </c>
      <c r="AJ386" s="1">
        <v>45383</v>
      </c>
      <c r="AK386" t="s">
        <v>3573</v>
      </c>
      <c r="AL386" t="s">
        <v>1526</v>
      </c>
    </row>
    <row r="387" spans="1:38" x14ac:dyDescent="0.35">
      <c r="A387" t="s">
        <v>1528</v>
      </c>
      <c r="B387" t="s">
        <v>41</v>
      </c>
      <c r="C387" t="s">
        <v>43</v>
      </c>
      <c r="D387" t="s">
        <v>449</v>
      </c>
      <c r="E387" t="s">
        <v>450</v>
      </c>
      <c r="F387" t="s">
        <v>46</v>
      </c>
      <c r="G387" t="s">
        <v>78</v>
      </c>
      <c r="H387">
        <v>41370</v>
      </c>
      <c r="I387">
        <f>Sales_Transactions_Raw[[#This Row],[Unit_Price]]*Sales_Transactions_Raw[[#This Row],[Quantity]]</f>
        <v>41370</v>
      </c>
      <c r="J387">
        <v>1</v>
      </c>
      <c r="K387">
        <v>10</v>
      </c>
      <c r="L387">
        <v>4137</v>
      </c>
      <c r="M387">
        <v>37233</v>
      </c>
      <c r="N387">
        <v>18</v>
      </c>
      <c r="O387">
        <v>6701.94</v>
      </c>
      <c r="P387">
        <v>0</v>
      </c>
      <c r="Q387">
        <v>43934.94</v>
      </c>
      <c r="R387" t="s">
        <v>48</v>
      </c>
      <c r="S387" t="s">
        <v>93</v>
      </c>
      <c r="T387" t="s">
        <v>115</v>
      </c>
      <c r="U387" t="s">
        <v>50</v>
      </c>
      <c r="V387" t="s">
        <v>67</v>
      </c>
      <c r="W387" t="s">
        <v>68</v>
      </c>
      <c r="X387" t="s">
        <v>237</v>
      </c>
      <c r="Y387" t="s">
        <v>138</v>
      </c>
      <c r="Z387" t="s">
        <v>81</v>
      </c>
      <c r="AA387" t="s">
        <v>1530</v>
      </c>
      <c r="AB387" t="s">
        <v>3335</v>
      </c>
      <c r="AC387">
        <v>4</v>
      </c>
      <c r="AD387" t="s">
        <v>56</v>
      </c>
      <c r="AE387" t="s">
        <v>3336</v>
      </c>
      <c r="AF387" t="s">
        <v>84</v>
      </c>
      <c r="AG387" t="s">
        <v>3337</v>
      </c>
      <c r="AH387" s="1">
        <v>45181</v>
      </c>
      <c r="AI387" s="1">
        <v>45183</v>
      </c>
      <c r="AJ387" s="1">
        <v>45189</v>
      </c>
      <c r="AK387" t="s">
        <v>3345</v>
      </c>
      <c r="AL387" t="s">
        <v>1529</v>
      </c>
    </row>
    <row r="388" spans="1:38" x14ac:dyDescent="0.35">
      <c r="A388" t="s">
        <v>1531</v>
      </c>
      <c r="B388" t="s">
        <v>1225</v>
      </c>
      <c r="C388" t="s">
        <v>43</v>
      </c>
      <c r="D388" t="s">
        <v>466</v>
      </c>
      <c r="E388" t="s">
        <v>467</v>
      </c>
      <c r="F388" t="s">
        <v>185</v>
      </c>
      <c r="G388" t="s">
        <v>468</v>
      </c>
      <c r="H388">
        <v>610</v>
      </c>
      <c r="I388">
        <f>Sales_Transactions_Raw[[#This Row],[Unit_Price]]*Sales_Transactions_Raw[[#This Row],[Quantity]]</f>
        <v>12200</v>
      </c>
      <c r="J388">
        <v>20</v>
      </c>
      <c r="K388">
        <v>0</v>
      </c>
      <c r="L388">
        <v>0</v>
      </c>
      <c r="M388">
        <v>12200</v>
      </c>
      <c r="N388">
        <v>5</v>
      </c>
      <c r="O388">
        <v>610</v>
      </c>
      <c r="P388">
        <v>0</v>
      </c>
      <c r="Q388">
        <v>12810</v>
      </c>
      <c r="R388" t="s">
        <v>48</v>
      </c>
      <c r="S388" t="s">
        <v>125</v>
      </c>
      <c r="T388" t="s">
        <v>115</v>
      </c>
      <c r="U388" t="s">
        <v>161</v>
      </c>
      <c r="V388" t="s">
        <v>197</v>
      </c>
      <c r="W388" t="s">
        <v>68</v>
      </c>
      <c r="X388" t="s">
        <v>277</v>
      </c>
      <c r="Y388" t="s">
        <v>127</v>
      </c>
      <c r="Z388" t="s">
        <v>68</v>
      </c>
      <c r="AA388" t="s">
        <v>1533</v>
      </c>
      <c r="AB388" t="s">
        <v>3335</v>
      </c>
      <c r="AC388">
        <v>5</v>
      </c>
      <c r="AD388" t="s">
        <v>56</v>
      </c>
      <c r="AE388" t="s">
        <v>3336</v>
      </c>
      <c r="AF388" t="s">
        <v>72</v>
      </c>
      <c r="AG388" t="s">
        <v>58</v>
      </c>
      <c r="AH388" s="1">
        <v>45090</v>
      </c>
      <c r="AI388" s="1">
        <v>45092</v>
      </c>
      <c r="AJ388" s="1">
        <v>45097</v>
      </c>
      <c r="AK388" t="s">
        <v>3586</v>
      </c>
      <c r="AL388" t="s">
        <v>1532</v>
      </c>
    </row>
    <row r="389" spans="1:38" x14ac:dyDescent="0.35">
      <c r="A389" t="s">
        <v>1534</v>
      </c>
      <c r="B389" t="s">
        <v>605</v>
      </c>
      <c r="C389" t="s">
        <v>157</v>
      </c>
      <c r="D389" t="s">
        <v>441</v>
      </c>
      <c r="E389" t="s">
        <v>442</v>
      </c>
      <c r="F389" t="s">
        <v>46</v>
      </c>
      <c r="G389" t="s">
        <v>369</v>
      </c>
      <c r="H389">
        <v>68220</v>
      </c>
      <c r="I389">
        <f>Sales_Transactions_Raw[[#This Row],[Unit_Price]]*Sales_Transactions_Raw[[#This Row],[Quantity]]</f>
        <v>341100</v>
      </c>
      <c r="J389">
        <v>5</v>
      </c>
      <c r="K389">
        <v>15</v>
      </c>
      <c r="L389">
        <v>51165</v>
      </c>
      <c r="M389">
        <v>289935</v>
      </c>
      <c r="N389">
        <v>18</v>
      </c>
      <c r="O389">
        <v>52188.3</v>
      </c>
      <c r="P389">
        <v>0</v>
      </c>
      <c r="Q389">
        <v>342123.3</v>
      </c>
      <c r="R389" t="s">
        <v>79</v>
      </c>
      <c r="S389" t="s">
        <v>65</v>
      </c>
      <c r="T389" t="s">
        <v>213</v>
      </c>
      <c r="U389" t="s">
        <v>161</v>
      </c>
      <c r="V389" t="s">
        <v>94</v>
      </c>
      <c r="W389" t="s">
        <v>95</v>
      </c>
      <c r="X389" t="s">
        <v>260</v>
      </c>
      <c r="Y389" t="s">
        <v>118</v>
      </c>
      <c r="Z389" t="s">
        <v>70</v>
      </c>
      <c r="AA389" t="s">
        <v>1536</v>
      </c>
      <c r="AB389" t="s">
        <v>3343</v>
      </c>
      <c r="AC389">
        <v>5</v>
      </c>
      <c r="AD389" t="s">
        <v>179</v>
      </c>
      <c r="AE389" t="s">
        <v>3336</v>
      </c>
      <c r="AF389" t="s">
        <v>84</v>
      </c>
      <c r="AG389" t="s">
        <v>111</v>
      </c>
      <c r="AH389" s="1">
        <v>45230</v>
      </c>
      <c r="AI389" s="1">
        <v>45027</v>
      </c>
      <c r="AJ389" s="1">
        <v>45118</v>
      </c>
      <c r="AK389" t="s">
        <v>3435</v>
      </c>
      <c r="AL389" t="s">
        <v>1535</v>
      </c>
    </row>
    <row r="390" spans="1:38" x14ac:dyDescent="0.35">
      <c r="A390" t="s">
        <v>1537</v>
      </c>
      <c r="B390" t="s">
        <v>207</v>
      </c>
      <c r="C390" t="s">
        <v>157</v>
      </c>
      <c r="D390" t="s">
        <v>504</v>
      </c>
      <c r="E390" t="s">
        <v>91</v>
      </c>
      <c r="F390" t="s">
        <v>134</v>
      </c>
      <c r="G390" t="s">
        <v>330</v>
      </c>
      <c r="H390">
        <v>25480</v>
      </c>
      <c r="I390">
        <f>Sales_Transactions_Raw[[#This Row],[Unit_Price]]*Sales_Transactions_Raw[[#This Row],[Quantity]]</f>
        <v>101920</v>
      </c>
      <c r="J390">
        <v>4</v>
      </c>
      <c r="K390">
        <v>0</v>
      </c>
      <c r="L390">
        <v>0</v>
      </c>
      <c r="M390">
        <v>101920</v>
      </c>
      <c r="N390">
        <v>5</v>
      </c>
      <c r="O390">
        <v>5096</v>
      </c>
      <c r="P390">
        <v>0</v>
      </c>
      <c r="Q390">
        <v>107016</v>
      </c>
      <c r="R390" t="s">
        <v>48</v>
      </c>
      <c r="S390" t="s">
        <v>93</v>
      </c>
      <c r="T390" t="s">
        <v>115</v>
      </c>
      <c r="U390" t="s">
        <v>50</v>
      </c>
      <c r="V390" t="s">
        <v>276</v>
      </c>
      <c r="W390" t="s">
        <v>95</v>
      </c>
      <c r="X390" t="s">
        <v>491</v>
      </c>
      <c r="Y390" t="s">
        <v>358</v>
      </c>
      <c r="Z390" t="s">
        <v>95</v>
      </c>
      <c r="AA390" t="s">
        <v>1539</v>
      </c>
      <c r="AB390" t="s">
        <v>3340</v>
      </c>
      <c r="AC390">
        <v>5</v>
      </c>
      <c r="AD390" t="s">
        <v>56</v>
      </c>
      <c r="AE390" t="s">
        <v>3336</v>
      </c>
      <c r="AF390" t="s">
        <v>72</v>
      </c>
      <c r="AG390" t="s">
        <v>58</v>
      </c>
      <c r="AH390" s="1">
        <v>45473</v>
      </c>
      <c r="AI390" s="1">
        <v>45358</v>
      </c>
      <c r="AJ390" s="1">
        <v>45542</v>
      </c>
      <c r="AK390" t="s">
        <v>3587</v>
      </c>
      <c r="AL390" t="s">
        <v>1538</v>
      </c>
    </row>
    <row r="391" spans="1:38" x14ac:dyDescent="0.35">
      <c r="A391" t="s">
        <v>1540</v>
      </c>
      <c r="B391" t="s">
        <v>832</v>
      </c>
      <c r="C391" t="s">
        <v>43</v>
      </c>
      <c r="D391" t="s">
        <v>103</v>
      </c>
      <c r="E391" t="s">
        <v>104</v>
      </c>
      <c r="F391" t="s">
        <v>46</v>
      </c>
      <c r="G391" t="s">
        <v>105</v>
      </c>
      <c r="H391">
        <v>29347.846790890268</v>
      </c>
      <c r="I391">
        <f>Sales_Transactions_Raw[[#This Row],[Unit_Price]]*Sales_Transactions_Raw[[#This Row],[Quantity]]</f>
        <v>176087.08074534161</v>
      </c>
      <c r="J391">
        <v>6</v>
      </c>
      <c r="K391">
        <v>0</v>
      </c>
      <c r="L391">
        <v>0</v>
      </c>
      <c r="M391">
        <v>198180</v>
      </c>
      <c r="N391">
        <v>18</v>
      </c>
      <c r="O391">
        <v>35672.400000000001</v>
      </c>
      <c r="P391">
        <v>0</v>
      </c>
      <c r="Q391">
        <v>233852.4</v>
      </c>
      <c r="R391" t="s">
        <v>64</v>
      </c>
      <c r="S391" t="s">
        <v>125</v>
      </c>
      <c r="T391" t="s">
        <v>115</v>
      </c>
      <c r="U391" t="s">
        <v>196</v>
      </c>
      <c r="V391" t="s">
        <v>94</v>
      </c>
      <c r="W391" t="s">
        <v>95</v>
      </c>
      <c r="X391" t="s">
        <v>69</v>
      </c>
      <c r="Y391" t="s">
        <v>54</v>
      </c>
      <c r="Z391" t="s">
        <v>70</v>
      </c>
      <c r="AA391" t="s">
        <v>1542</v>
      </c>
      <c r="AB391" t="s">
        <v>3335</v>
      </c>
      <c r="AC391">
        <v>5</v>
      </c>
      <c r="AD391" t="s">
        <v>56</v>
      </c>
      <c r="AE391" t="s">
        <v>3336</v>
      </c>
      <c r="AF391" t="s">
        <v>279</v>
      </c>
      <c r="AG391" t="s">
        <v>85</v>
      </c>
      <c r="AH391" s="1">
        <v>45392</v>
      </c>
      <c r="AI391" s="1">
        <v>45394</v>
      </c>
      <c r="AJ391" s="1">
        <v>45398</v>
      </c>
      <c r="AK391" t="s">
        <v>3588</v>
      </c>
      <c r="AL391" t="s">
        <v>1541</v>
      </c>
    </row>
    <row r="392" spans="1:38" x14ac:dyDescent="0.35">
      <c r="A392" t="s">
        <v>1543</v>
      </c>
      <c r="B392" t="s">
        <v>842</v>
      </c>
      <c r="C392" t="s">
        <v>43</v>
      </c>
      <c r="D392" t="s">
        <v>391</v>
      </c>
      <c r="E392" t="s">
        <v>392</v>
      </c>
      <c r="F392" t="s">
        <v>46</v>
      </c>
      <c r="G392" t="s">
        <v>176</v>
      </c>
      <c r="H392">
        <v>10000</v>
      </c>
      <c r="I392">
        <f>Sales_Transactions_Raw[[#This Row],[Unit_Price]]*Sales_Transactions_Raw[[#This Row],[Quantity]]</f>
        <v>20000</v>
      </c>
      <c r="J392">
        <v>2</v>
      </c>
      <c r="K392">
        <v>5</v>
      </c>
      <c r="L392">
        <v>1000</v>
      </c>
      <c r="M392">
        <v>19000</v>
      </c>
      <c r="N392">
        <v>18</v>
      </c>
      <c r="O392">
        <v>3420</v>
      </c>
      <c r="P392">
        <v>0</v>
      </c>
      <c r="Q392">
        <v>22420</v>
      </c>
      <c r="R392" t="s">
        <v>92</v>
      </c>
      <c r="S392" t="s">
        <v>107</v>
      </c>
      <c r="T392" t="s">
        <v>115</v>
      </c>
      <c r="U392" t="s">
        <v>214</v>
      </c>
      <c r="V392" t="s">
        <v>242</v>
      </c>
      <c r="W392" t="s">
        <v>70</v>
      </c>
      <c r="X392" t="s">
        <v>505</v>
      </c>
      <c r="Y392" t="s">
        <v>118</v>
      </c>
      <c r="Z392" t="s">
        <v>70</v>
      </c>
      <c r="AA392" t="s">
        <v>1545</v>
      </c>
      <c r="AB392" t="s">
        <v>3339</v>
      </c>
      <c r="AC392">
        <v>3</v>
      </c>
      <c r="AD392" t="s">
        <v>56</v>
      </c>
      <c r="AE392" t="s">
        <v>3336</v>
      </c>
      <c r="AF392" t="s">
        <v>72</v>
      </c>
      <c r="AG392" t="s">
        <v>58</v>
      </c>
      <c r="AH392" s="1">
        <v>45251</v>
      </c>
      <c r="AI392" s="1">
        <v>45255</v>
      </c>
      <c r="AJ392" s="1">
        <v>45260</v>
      </c>
      <c r="AK392" t="s">
        <v>3476</v>
      </c>
      <c r="AL392" t="s">
        <v>1544</v>
      </c>
    </row>
    <row r="393" spans="1:38" x14ac:dyDescent="0.35">
      <c r="A393" t="s">
        <v>1546</v>
      </c>
      <c r="B393" t="s">
        <v>113</v>
      </c>
      <c r="C393" t="s">
        <v>43</v>
      </c>
      <c r="D393" t="s">
        <v>490</v>
      </c>
      <c r="E393" t="s">
        <v>91</v>
      </c>
      <c r="F393" t="s">
        <v>46</v>
      </c>
      <c r="G393" t="s">
        <v>369</v>
      </c>
      <c r="H393">
        <v>76860</v>
      </c>
      <c r="I393">
        <f>Sales_Transactions_Raw[[#This Row],[Unit_Price]]*Sales_Transactions_Raw[[#This Row],[Quantity]]</f>
        <v>76860</v>
      </c>
      <c r="J393">
        <v>1</v>
      </c>
      <c r="K393">
        <v>15</v>
      </c>
      <c r="L393">
        <v>11529</v>
      </c>
      <c r="M393">
        <v>65331</v>
      </c>
      <c r="N393">
        <v>18</v>
      </c>
      <c r="O393">
        <v>11759.58</v>
      </c>
      <c r="P393">
        <v>0</v>
      </c>
      <c r="Q393">
        <v>77090.58</v>
      </c>
      <c r="R393" t="s">
        <v>92</v>
      </c>
      <c r="S393" t="s">
        <v>107</v>
      </c>
      <c r="T393" t="s">
        <v>115</v>
      </c>
      <c r="U393" t="s">
        <v>50</v>
      </c>
      <c r="V393" t="s">
        <v>224</v>
      </c>
      <c r="W393" t="s">
        <v>95</v>
      </c>
      <c r="X393" t="s">
        <v>232</v>
      </c>
      <c r="Y393" t="s">
        <v>82</v>
      </c>
      <c r="Z393" t="s">
        <v>52</v>
      </c>
      <c r="AA393" t="s">
        <v>1548</v>
      </c>
      <c r="AB393" t="s">
        <v>3341</v>
      </c>
      <c r="AC393">
        <v>4</v>
      </c>
      <c r="AD393" t="s">
        <v>56</v>
      </c>
      <c r="AE393" t="s">
        <v>3336</v>
      </c>
      <c r="AF393" t="s">
        <v>227</v>
      </c>
      <c r="AG393" t="s">
        <v>58</v>
      </c>
      <c r="AH393" s="1">
        <v>45274</v>
      </c>
      <c r="AI393" s="1">
        <v>45275</v>
      </c>
      <c r="AJ393" s="1">
        <v>45280</v>
      </c>
      <c r="AK393" t="s">
        <v>3589</v>
      </c>
      <c r="AL393" t="s">
        <v>1547</v>
      </c>
    </row>
    <row r="394" spans="1:38" x14ac:dyDescent="0.35">
      <c r="A394" t="s">
        <v>1549</v>
      </c>
      <c r="B394" t="s">
        <v>588</v>
      </c>
      <c r="C394" t="s">
        <v>157</v>
      </c>
      <c r="D394" t="s">
        <v>667</v>
      </c>
      <c r="E394" t="s">
        <v>668</v>
      </c>
      <c r="F394" t="s">
        <v>146</v>
      </c>
      <c r="G394" t="s">
        <v>195</v>
      </c>
      <c r="H394">
        <v>9200</v>
      </c>
      <c r="I394">
        <f>Sales_Transactions_Raw[[#This Row],[Unit_Price]]*Sales_Transactions_Raw[[#This Row],[Quantity]]</f>
        <v>82800</v>
      </c>
      <c r="J394">
        <v>9</v>
      </c>
      <c r="K394">
        <v>0</v>
      </c>
      <c r="L394">
        <v>0</v>
      </c>
      <c r="M394">
        <v>82800</v>
      </c>
      <c r="N394">
        <v>12</v>
      </c>
      <c r="O394">
        <v>9936</v>
      </c>
      <c r="P394">
        <v>0</v>
      </c>
      <c r="Q394">
        <v>92736</v>
      </c>
      <c r="R394" t="s">
        <v>64</v>
      </c>
      <c r="S394" t="s">
        <v>125</v>
      </c>
      <c r="T394" t="s">
        <v>148</v>
      </c>
      <c r="U394" t="s">
        <v>108</v>
      </c>
      <c r="V394" t="s">
        <v>51</v>
      </c>
      <c r="W394" t="s">
        <v>52</v>
      </c>
      <c r="X394" t="s">
        <v>215</v>
      </c>
      <c r="Y394" t="s">
        <v>169</v>
      </c>
      <c r="Z394" t="s">
        <v>95</v>
      </c>
      <c r="AA394" t="s">
        <v>1551</v>
      </c>
      <c r="AB394" t="s">
        <v>3335</v>
      </c>
      <c r="AC394">
        <v>3</v>
      </c>
      <c r="AD394" t="s">
        <v>56</v>
      </c>
      <c r="AE394" t="s">
        <v>3336</v>
      </c>
      <c r="AF394" t="s">
        <v>227</v>
      </c>
      <c r="AG394" t="s">
        <v>3337</v>
      </c>
      <c r="AH394" s="1">
        <v>45248</v>
      </c>
      <c r="AI394" s="1">
        <v>45253</v>
      </c>
      <c r="AJ394" s="1">
        <v>45260</v>
      </c>
      <c r="AK394" t="s">
        <v>3438</v>
      </c>
      <c r="AL394" t="s">
        <v>1550</v>
      </c>
    </row>
    <row r="395" spans="1:38" x14ac:dyDescent="0.35">
      <c r="A395" t="s">
        <v>1552</v>
      </c>
      <c r="B395" t="s">
        <v>829</v>
      </c>
      <c r="C395" t="s">
        <v>43</v>
      </c>
      <c r="D395" t="s">
        <v>402</v>
      </c>
      <c r="E395" t="s">
        <v>403</v>
      </c>
      <c r="F395" t="s">
        <v>146</v>
      </c>
      <c r="G395" t="s">
        <v>223</v>
      </c>
      <c r="H395">
        <v>2070</v>
      </c>
      <c r="I395">
        <f>Sales_Transactions_Raw[[#This Row],[Unit_Price]]*Sales_Transactions_Raw[[#This Row],[Quantity]]</f>
        <v>2070</v>
      </c>
      <c r="J395">
        <v>1</v>
      </c>
      <c r="K395">
        <v>0</v>
      </c>
      <c r="L395">
        <v>0</v>
      </c>
      <c r="M395">
        <v>2070</v>
      </c>
      <c r="N395">
        <v>12</v>
      </c>
      <c r="O395">
        <v>248.4</v>
      </c>
      <c r="P395">
        <v>79</v>
      </c>
      <c r="Q395">
        <v>2318.4</v>
      </c>
      <c r="R395" t="s">
        <v>124</v>
      </c>
      <c r="S395" t="s">
        <v>93</v>
      </c>
      <c r="T395" t="s">
        <v>148</v>
      </c>
      <c r="U395" t="s">
        <v>108</v>
      </c>
      <c r="V395" t="s">
        <v>94</v>
      </c>
      <c r="W395" t="s">
        <v>95</v>
      </c>
      <c r="X395" t="s">
        <v>298</v>
      </c>
      <c r="Y395" t="s">
        <v>151</v>
      </c>
      <c r="Z395" t="s">
        <v>81</v>
      </c>
      <c r="AA395" t="s">
        <v>1554</v>
      </c>
      <c r="AB395" t="s">
        <v>3343</v>
      </c>
      <c r="AC395">
        <v>4</v>
      </c>
      <c r="AD395" t="s">
        <v>56</v>
      </c>
      <c r="AE395" t="s">
        <v>3336</v>
      </c>
      <c r="AF395" t="s">
        <v>217</v>
      </c>
      <c r="AG395" t="s">
        <v>85</v>
      </c>
      <c r="AH395" s="1">
        <v>45025</v>
      </c>
      <c r="AI395" s="1">
        <v>45031</v>
      </c>
      <c r="AJ395" s="1">
        <v>45035</v>
      </c>
      <c r="AK395" t="s">
        <v>3585</v>
      </c>
      <c r="AL395" t="s">
        <v>1553</v>
      </c>
    </row>
    <row r="396" spans="1:38" x14ac:dyDescent="0.35">
      <c r="A396" t="s">
        <v>1555</v>
      </c>
      <c r="B396" t="s">
        <v>130</v>
      </c>
      <c r="C396" t="s">
        <v>43</v>
      </c>
      <c r="D396" t="s">
        <v>375</v>
      </c>
      <c r="E396" t="s">
        <v>376</v>
      </c>
      <c r="F396" t="s">
        <v>146</v>
      </c>
      <c r="G396" t="s">
        <v>147</v>
      </c>
      <c r="H396">
        <v>8570</v>
      </c>
      <c r="I396">
        <f>Sales_Transactions_Raw[[#This Row],[Unit_Price]]*Sales_Transactions_Raw[[#This Row],[Quantity]]</f>
        <v>59990</v>
      </c>
      <c r="J396">
        <v>7</v>
      </c>
      <c r="K396">
        <v>15</v>
      </c>
      <c r="L396">
        <v>8998.5</v>
      </c>
      <c r="M396">
        <v>50991.5</v>
      </c>
      <c r="N396">
        <v>12</v>
      </c>
      <c r="O396">
        <v>6118.98</v>
      </c>
      <c r="P396">
        <v>0</v>
      </c>
      <c r="Q396">
        <v>57110.479999999996</v>
      </c>
      <c r="R396" t="s">
        <v>64</v>
      </c>
      <c r="S396" t="s">
        <v>65</v>
      </c>
      <c r="T396" t="s">
        <v>115</v>
      </c>
      <c r="U396" t="s">
        <v>50</v>
      </c>
      <c r="V396" t="s">
        <v>67</v>
      </c>
      <c r="W396" t="s">
        <v>68</v>
      </c>
      <c r="X396" t="s">
        <v>578</v>
      </c>
      <c r="Y396" t="s">
        <v>54</v>
      </c>
      <c r="Z396" t="s">
        <v>70</v>
      </c>
      <c r="AA396" t="s">
        <v>1557</v>
      </c>
      <c r="AB396" t="s">
        <v>3344</v>
      </c>
      <c r="AC396">
        <v>4</v>
      </c>
      <c r="AD396" t="s">
        <v>56</v>
      </c>
      <c r="AE396" t="s">
        <v>3336</v>
      </c>
      <c r="AF396" t="s">
        <v>326</v>
      </c>
      <c r="AG396" t="s">
        <v>85</v>
      </c>
      <c r="AH396" s="1">
        <v>45440</v>
      </c>
      <c r="AI396" s="1">
        <v>45445</v>
      </c>
      <c r="AJ396" s="1">
        <v>45453</v>
      </c>
      <c r="AK396" t="s">
        <v>3515</v>
      </c>
      <c r="AL396" t="s">
        <v>1556</v>
      </c>
    </row>
    <row r="397" spans="1:38" x14ac:dyDescent="0.35">
      <c r="A397" t="s">
        <v>1558</v>
      </c>
      <c r="B397" t="s">
        <v>355</v>
      </c>
      <c r="C397" t="s">
        <v>43</v>
      </c>
      <c r="D397" t="s">
        <v>420</v>
      </c>
      <c r="E397" t="s">
        <v>421</v>
      </c>
      <c r="F397" t="s">
        <v>134</v>
      </c>
      <c r="G397" t="s">
        <v>135</v>
      </c>
      <c r="H397">
        <v>3430</v>
      </c>
      <c r="I397">
        <f>Sales_Transactions_Raw[[#This Row],[Unit_Price]]*Sales_Transactions_Raw[[#This Row],[Quantity]]</f>
        <v>10290</v>
      </c>
      <c r="J397">
        <v>3</v>
      </c>
      <c r="K397">
        <v>10</v>
      </c>
      <c r="L397">
        <v>1029</v>
      </c>
      <c r="M397">
        <v>9261</v>
      </c>
      <c r="N397">
        <v>5</v>
      </c>
      <c r="O397">
        <v>463.05</v>
      </c>
      <c r="P397">
        <v>0</v>
      </c>
      <c r="Q397">
        <v>9724.0499999999993</v>
      </c>
      <c r="R397" t="s">
        <v>160</v>
      </c>
      <c r="S397" t="s">
        <v>107</v>
      </c>
      <c r="T397" t="s">
        <v>115</v>
      </c>
      <c r="U397" t="s">
        <v>108</v>
      </c>
      <c r="V397" t="s">
        <v>269</v>
      </c>
      <c r="W397" t="s">
        <v>70</v>
      </c>
      <c r="X397" t="s">
        <v>215</v>
      </c>
      <c r="Y397" t="s">
        <v>169</v>
      </c>
      <c r="Z397" t="s">
        <v>95</v>
      </c>
      <c r="AA397" t="s">
        <v>1560</v>
      </c>
      <c r="AB397" t="s">
        <v>3335</v>
      </c>
      <c r="AC397">
        <v>5</v>
      </c>
      <c r="AD397" t="s">
        <v>56</v>
      </c>
      <c r="AE397" t="s">
        <v>3336</v>
      </c>
      <c r="AF397" t="s">
        <v>326</v>
      </c>
      <c r="AG397" t="s">
        <v>3337</v>
      </c>
      <c r="AH397" s="1">
        <v>45321</v>
      </c>
      <c r="AI397" s="1">
        <v>45322</v>
      </c>
      <c r="AJ397" s="1">
        <v>45324</v>
      </c>
      <c r="AK397" t="s">
        <v>3379</v>
      </c>
      <c r="AL397" t="s">
        <v>1559</v>
      </c>
    </row>
    <row r="398" spans="1:38" x14ac:dyDescent="0.35">
      <c r="A398" t="s">
        <v>1561</v>
      </c>
      <c r="B398" t="s">
        <v>1296</v>
      </c>
      <c r="C398" t="s">
        <v>89</v>
      </c>
      <c r="D398" t="s">
        <v>495</v>
      </c>
      <c r="E398" t="s">
        <v>496</v>
      </c>
      <c r="F398" t="s">
        <v>134</v>
      </c>
      <c r="G398" t="s">
        <v>497</v>
      </c>
      <c r="H398">
        <v>31670</v>
      </c>
      <c r="I398">
        <f>Sales_Transactions_Raw[[#This Row],[Unit_Price]]*Sales_Transactions_Raw[[#This Row],[Quantity]]</f>
        <v>31670</v>
      </c>
      <c r="J398">
        <v>1</v>
      </c>
      <c r="K398">
        <v>10</v>
      </c>
      <c r="L398">
        <v>3167</v>
      </c>
      <c r="M398">
        <v>28503</v>
      </c>
      <c r="N398">
        <v>5</v>
      </c>
      <c r="O398">
        <v>1425.15</v>
      </c>
      <c r="P398">
        <v>0</v>
      </c>
      <c r="Q398">
        <v>29928.15</v>
      </c>
      <c r="R398" t="s">
        <v>64</v>
      </c>
      <c r="S398" t="s">
        <v>125</v>
      </c>
      <c r="T398" t="s">
        <v>136</v>
      </c>
      <c r="U398" t="s">
        <v>214</v>
      </c>
      <c r="V398" t="s">
        <v>94</v>
      </c>
      <c r="W398" t="s">
        <v>95</v>
      </c>
      <c r="X398" t="s">
        <v>288</v>
      </c>
      <c r="Y398" t="s">
        <v>289</v>
      </c>
      <c r="Z398" t="s">
        <v>52</v>
      </c>
      <c r="AA398" t="s">
        <v>1563</v>
      </c>
      <c r="AB398" t="s">
        <v>3335</v>
      </c>
      <c r="AC398">
        <v>5</v>
      </c>
      <c r="AD398" t="s">
        <v>56</v>
      </c>
      <c r="AE398" t="s">
        <v>3336</v>
      </c>
      <c r="AF398" t="s">
        <v>217</v>
      </c>
      <c r="AG398" t="s">
        <v>58</v>
      </c>
      <c r="AH398" s="1">
        <v>45093</v>
      </c>
      <c r="AI398" s="1">
        <v>45096</v>
      </c>
      <c r="AJ398" s="1">
        <v>45103</v>
      </c>
      <c r="AK398" t="s">
        <v>3590</v>
      </c>
      <c r="AL398" t="s">
        <v>1562</v>
      </c>
    </row>
    <row r="399" spans="1:38" x14ac:dyDescent="0.35">
      <c r="A399" t="s">
        <v>1564</v>
      </c>
      <c r="B399" t="s">
        <v>1225</v>
      </c>
      <c r="C399" t="s">
        <v>43</v>
      </c>
      <c r="D399" t="s">
        <v>391</v>
      </c>
      <c r="E399" t="s">
        <v>392</v>
      </c>
      <c r="F399" t="s">
        <v>46</v>
      </c>
      <c r="G399" t="s">
        <v>176</v>
      </c>
      <c r="H399">
        <v>9240</v>
      </c>
      <c r="I399">
        <f>Sales_Transactions_Raw[[#This Row],[Unit_Price]]*Sales_Transactions_Raw[[#This Row],[Quantity]]</f>
        <v>27720</v>
      </c>
      <c r="J399">
        <v>3</v>
      </c>
      <c r="K399">
        <v>0</v>
      </c>
      <c r="L399">
        <v>0</v>
      </c>
      <c r="M399">
        <v>27720</v>
      </c>
      <c r="N399">
        <v>18</v>
      </c>
      <c r="O399">
        <v>4989.6000000000004</v>
      </c>
      <c r="P399">
        <v>0</v>
      </c>
      <c r="Q399">
        <v>32709.599999999999</v>
      </c>
      <c r="R399" t="s">
        <v>160</v>
      </c>
      <c r="S399" t="s">
        <v>49</v>
      </c>
      <c r="T399" t="s">
        <v>115</v>
      </c>
      <c r="U399" t="s">
        <v>50</v>
      </c>
      <c r="V399" t="s">
        <v>149</v>
      </c>
      <c r="W399" t="s">
        <v>81</v>
      </c>
      <c r="X399" t="s">
        <v>357</v>
      </c>
      <c r="Y399" t="s">
        <v>358</v>
      </c>
      <c r="Z399" t="s">
        <v>95</v>
      </c>
      <c r="AA399" t="s">
        <v>1566</v>
      </c>
      <c r="AB399" t="s">
        <v>3335</v>
      </c>
      <c r="AC399">
        <v>5</v>
      </c>
      <c r="AD399" t="s">
        <v>56</v>
      </c>
      <c r="AE399" t="s">
        <v>3336</v>
      </c>
      <c r="AF399" t="s">
        <v>279</v>
      </c>
      <c r="AG399" t="s">
        <v>3337</v>
      </c>
      <c r="AH399" s="1">
        <v>45473</v>
      </c>
      <c r="AI399" s="1">
        <v>45474</v>
      </c>
      <c r="AJ399" s="1">
        <v>45482</v>
      </c>
      <c r="AK399" t="s">
        <v>3591</v>
      </c>
      <c r="AL399" t="s">
        <v>1565</v>
      </c>
    </row>
    <row r="400" spans="1:38" x14ac:dyDescent="0.35">
      <c r="A400" t="s">
        <v>1567</v>
      </c>
      <c r="B400" t="s">
        <v>430</v>
      </c>
      <c r="C400" t="s">
        <v>89</v>
      </c>
      <c r="D400" t="s">
        <v>466</v>
      </c>
      <c r="E400" t="s">
        <v>467</v>
      </c>
      <c r="F400" t="s">
        <v>185</v>
      </c>
      <c r="G400" t="s">
        <v>468</v>
      </c>
      <c r="H400">
        <v>640</v>
      </c>
      <c r="I400">
        <f>Sales_Transactions_Raw[[#This Row],[Unit_Price]]*Sales_Transactions_Raw[[#This Row],[Quantity]]</f>
        <v>640</v>
      </c>
      <c r="J400">
        <v>1</v>
      </c>
      <c r="K400">
        <v>5</v>
      </c>
      <c r="L400">
        <v>32</v>
      </c>
      <c r="M400">
        <v>608</v>
      </c>
      <c r="N400">
        <v>5</v>
      </c>
      <c r="O400">
        <v>30.4</v>
      </c>
      <c r="P400">
        <v>99</v>
      </c>
      <c r="Q400">
        <v>638.4</v>
      </c>
      <c r="R400" t="s">
        <v>92</v>
      </c>
      <c r="S400" t="s">
        <v>107</v>
      </c>
      <c r="T400" t="s">
        <v>115</v>
      </c>
      <c r="U400" t="s">
        <v>214</v>
      </c>
      <c r="V400" t="s">
        <v>197</v>
      </c>
      <c r="W400" t="s">
        <v>68</v>
      </c>
      <c r="X400" t="s">
        <v>491</v>
      </c>
      <c r="Y400" t="s">
        <v>358</v>
      </c>
      <c r="Z400" t="s">
        <v>95</v>
      </c>
      <c r="AA400" t="s">
        <v>1569</v>
      </c>
      <c r="AB400" t="s">
        <v>3335</v>
      </c>
      <c r="AC400">
        <v>5</v>
      </c>
      <c r="AD400" t="s">
        <v>56</v>
      </c>
      <c r="AE400" t="s">
        <v>3336</v>
      </c>
      <c r="AF400" t="s">
        <v>84</v>
      </c>
      <c r="AG400" t="s">
        <v>111</v>
      </c>
      <c r="AH400" s="1">
        <v>45339</v>
      </c>
      <c r="AI400" s="1">
        <v>45340</v>
      </c>
      <c r="AJ400" s="1">
        <v>45347</v>
      </c>
      <c r="AK400" t="s">
        <v>3592</v>
      </c>
      <c r="AL400" t="s">
        <v>1568</v>
      </c>
    </row>
    <row r="401" spans="1:38" x14ac:dyDescent="0.35">
      <c r="A401" t="s">
        <v>1570</v>
      </c>
      <c r="B401" t="s">
        <v>731</v>
      </c>
      <c r="C401" t="s">
        <v>43</v>
      </c>
      <c r="D401" t="s">
        <v>867</v>
      </c>
      <c r="E401" t="s">
        <v>868</v>
      </c>
      <c r="F401" t="s">
        <v>285</v>
      </c>
      <c r="G401" t="s">
        <v>869</v>
      </c>
      <c r="H401">
        <v>190</v>
      </c>
      <c r="I401">
        <f>Sales_Transactions_Raw[[#This Row],[Unit_Price]]*Sales_Transactions_Raw[[#This Row],[Quantity]]</f>
        <v>190</v>
      </c>
      <c r="J401">
        <v>1</v>
      </c>
      <c r="K401">
        <v>15</v>
      </c>
      <c r="L401">
        <v>28.5</v>
      </c>
      <c r="M401">
        <v>161.5</v>
      </c>
      <c r="N401">
        <v>5</v>
      </c>
      <c r="O401">
        <v>8.07</v>
      </c>
      <c r="P401">
        <v>79</v>
      </c>
      <c r="Q401">
        <v>169.57</v>
      </c>
      <c r="R401" t="s">
        <v>48</v>
      </c>
      <c r="S401" t="s">
        <v>65</v>
      </c>
      <c r="T401" t="s">
        <v>213</v>
      </c>
      <c r="U401" t="s">
        <v>50</v>
      </c>
      <c r="V401" t="s">
        <v>116</v>
      </c>
      <c r="W401" t="s">
        <v>70</v>
      </c>
      <c r="X401" t="s">
        <v>260</v>
      </c>
      <c r="Y401" t="s">
        <v>118</v>
      </c>
      <c r="Z401" t="s">
        <v>70</v>
      </c>
      <c r="AA401" t="s">
        <v>1572</v>
      </c>
      <c r="AB401" t="s">
        <v>3339</v>
      </c>
      <c r="AC401">
        <v>3</v>
      </c>
      <c r="AD401" t="s">
        <v>179</v>
      </c>
      <c r="AE401" t="s">
        <v>818</v>
      </c>
      <c r="AF401" t="s">
        <v>262</v>
      </c>
      <c r="AG401" t="s">
        <v>85</v>
      </c>
      <c r="AH401" s="1">
        <v>45258</v>
      </c>
      <c r="AI401" s="1">
        <v>44938</v>
      </c>
      <c r="AJ401" s="1">
        <v>45181</v>
      </c>
      <c r="AK401" t="s">
        <v>3452</v>
      </c>
      <c r="AL401" t="s">
        <v>1571</v>
      </c>
    </row>
    <row r="402" spans="1:38" x14ac:dyDescent="0.35">
      <c r="A402" t="s">
        <v>1573</v>
      </c>
      <c r="B402" t="s">
        <v>219</v>
      </c>
      <c r="C402" t="s">
        <v>43</v>
      </c>
      <c r="D402" t="s">
        <v>62</v>
      </c>
      <c r="E402" t="s">
        <v>45</v>
      </c>
      <c r="F402" t="s">
        <v>46</v>
      </c>
      <c r="G402" t="s">
        <v>63</v>
      </c>
      <c r="H402">
        <v>58600</v>
      </c>
      <c r="I402">
        <f>Sales_Transactions_Raw[[#This Row],[Unit_Price]]*Sales_Transactions_Raw[[#This Row],[Quantity]]</f>
        <v>117200</v>
      </c>
      <c r="J402">
        <v>2</v>
      </c>
      <c r="K402">
        <v>15</v>
      </c>
      <c r="L402">
        <v>17580</v>
      </c>
      <c r="M402">
        <v>99620</v>
      </c>
      <c r="N402">
        <v>18</v>
      </c>
      <c r="O402">
        <v>17931.599999999999</v>
      </c>
      <c r="P402">
        <v>0</v>
      </c>
      <c r="Q402">
        <v>117551.6</v>
      </c>
      <c r="R402" t="s">
        <v>160</v>
      </c>
      <c r="S402" t="s">
        <v>49</v>
      </c>
      <c r="T402" t="s">
        <v>115</v>
      </c>
      <c r="U402" t="s">
        <v>50</v>
      </c>
      <c r="V402" t="s">
        <v>149</v>
      </c>
      <c r="W402" t="s">
        <v>81</v>
      </c>
      <c r="X402" t="s">
        <v>393</v>
      </c>
      <c r="Y402" t="s">
        <v>393</v>
      </c>
      <c r="Z402" t="s">
        <v>70</v>
      </c>
      <c r="AA402" t="s">
        <v>1575</v>
      </c>
      <c r="AB402" t="s">
        <v>3344</v>
      </c>
      <c r="AC402">
        <v>4</v>
      </c>
      <c r="AD402" t="s">
        <v>56</v>
      </c>
      <c r="AE402" t="s">
        <v>3336</v>
      </c>
      <c r="AF402" t="s">
        <v>326</v>
      </c>
      <c r="AG402" t="s">
        <v>85</v>
      </c>
      <c r="AH402" s="1">
        <v>45410</v>
      </c>
      <c r="AI402" s="1">
        <v>45412</v>
      </c>
      <c r="AJ402" s="1">
        <v>45416</v>
      </c>
      <c r="AK402" t="s">
        <v>3593</v>
      </c>
      <c r="AL402" t="s">
        <v>1574</v>
      </c>
    </row>
    <row r="403" spans="1:38" x14ac:dyDescent="0.35">
      <c r="A403" t="s">
        <v>1576</v>
      </c>
      <c r="B403" t="s">
        <v>1577</v>
      </c>
      <c r="C403" t="s">
        <v>43</v>
      </c>
      <c r="D403" t="s">
        <v>704</v>
      </c>
      <c r="E403" t="s">
        <v>705</v>
      </c>
      <c r="F403" t="s">
        <v>285</v>
      </c>
      <c r="G403" t="s">
        <v>706</v>
      </c>
      <c r="H403">
        <v>290</v>
      </c>
      <c r="I403">
        <f>Sales_Transactions_Raw[[#This Row],[Unit_Price]]*Sales_Transactions_Raw[[#This Row],[Quantity]]</f>
        <v>870</v>
      </c>
      <c r="J403">
        <v>3</v>
      </c>
      <c r="K403">
        <v>25</v>
      </c>
      <c r="L403">
        <v>217.5</v>
      </c>
      <c r="M403">
        <v>652.5</v>
      </c>
      <c r="N403">
        <v>5</v>
      </c>
      <c r="O403">
        <v>32.619999999999997</v>
      </c>
      <c r="P403">
        <v>149</v>
      </c>
      <c r="Q403">
        <v>685.12</v>
      </c>
      <c r="R403" t="s">
        <v>92</v>
      </c>
      <c r="S403" t="s">
        <v>107</v>
      </c>
      <c r="T403" t="s">
        <v>115</v>
      </c>
      <c r="U403" t="s">
        <v>214</v>
      </c>
      <c r="V403" t="s">
        <v>177</v>
      </c>
      <c r="W403" t="s">
        <v>81</v>
      </c>
      <c r="X403" t="s">
        <v>750</v>
      </c>
      <c r="Y403" t="s">
        <v>127</v>
      </c>
      <c r="Z403" t="s">
        <v>68</v>
      </c>
      <c r="AA403" t="s">
        <v>1579</v>
      </c>
      <c r="AB403" t="s">
        <v>3339</v>
      </c>
      <c r="AC403">
        <v>3</v>
      </c>
      <c r="AD403" t="s">
        <v>56</v>
      </c>
      <c r="AE403" t="s">
        <v>3336</v>
      </c>
      <c r="AF403" t="s">
        <v>164</v>
      </c>
      <c r="AG403" t="s">
        <v>3342</v>
      </c>
      <c r="AH403" s="1">
        <v>45041</v>
      </c>
      <c r="AI403" s="1">
        <v>45048</v>
      </c>
      <c r="AJ403" s="1">
        <v>45057</v>
      </c>
      <c r="AK403" t="s">
        <v>3528</v>
      </c>
      <c r="AL403" t="s">
        <v>1578</v>
      </c>
    </row>
    <row r="404" spans="1:38" x14ac:dyDescent="0.35">
      <c r="A404" t="s">
        <v>1580</v>
      </c>
      <c r="B404" t="s">
        <v>113</v>
      </c>
      <c r="C404" t="s">
        <v>43</v>
      </c>
      <c r="D404" t="s">
        <v>367</v>
      </c>
      <c r="E404" t="s">
        <v>368</v>
      </c>
      <c r="F404" t="s">
        <v>46</v>
      </c>
      <c r="G404" t="s">
        <v>369</v>
      </c>
      <c r="H404">
        <v>27010</v>
      </c>
      <c r="I404">
        <f>Sales_Transactions_Raw[[#This Row],[Unit_Price]]*Sales_Transactions_Raw[[#This Row],[Quantity]]</f>
        <v>27010</v>
      </c>
      <c r="J404">
        <v>1</v>
      </c>
      <c r="K404">
        <v>5</v>
      </c>
      <c r="L404">
        <v>1350.5</v>
      </c>
      <c r="M404">
        <v>25659.5</v>
      </c>
      <c r="N404">
        <v>18</v>
      </c>
      <c r="O404">
        <v>4618.71</v>
      </c>
      <c r="P404">
        <v>0</v>
      </c>
      <c r="Q404">
        <v>30278.21</v>
      </c>
      <c r="R404" t="s">
        <v>124</v>
      </c>
      <c r="S404" t="s">
        <v>93</v>
      </c>
      <c r="T404" t="s">
        <v>115</v>
      </c>
      <c r="U404" t="s">
        <v>161</v>
      </c>
      <c r="V404" t="s">
        <v>94</v>
      </c>
      <c r="W404" t="s">
        <v>95</v>
      </c>
      <c r="X404" t="s">
        <v>204</v>
      </c>
      <c r="Y404" t="s">
        <v>118</v>
      </c>
      <c r="Z404" t="s">
        <v>70</v>
      </c>
      <c r="AA404" t="s">
        <v>1582</v>
      </c>
      <c r="AB404" t="s">
        <v>3343</v>
      </c>
      <c r="AC404">
        <v>4</v>
      </c>
      <c r="AD404" t="s">
        <v>56</v>
      </c>
      <c r="AE404" t="s">
        <v>3336</v>
      </c>
      <c r="AF404" t="s">
        <v>227</v>
      </c>
      <c r="AG404" t="s">
        <v>85</v>
      </c>
      <c r="AH404" s="1">
        <v>45036</v>
      </c>
      <c r="AI404" s="1">
        <v>45039</v>
      </c>
      <c r="AJ404" s="1">
        <v>45047</v>
      </c>
      <c r="AK404" t="s">
        <v>3589</v>
      </c>
      <c r="AL404" t="s">
        <v>1581</v>
      </c>
    </row>
    <row r="405" spans="1:38" x14ac:dyDescent="0.35">
      <c r="A405" t="s">
        <v>1583</v>
      </c>
      <c r="B405" t="s">
        <v>60</v>
      </c>
      <c r="C405" t="s">
        <v>89</v>
      </c>
      <c r="D405" t="s">
        <v>426</v>
      </c>
      <c r="E405" t="s">
        <v>427</v>
      </c>
      <c r="F405" t="s">
        <v>134</v>
      </c>
      <c r="G405" t="s">
        <v>305</v>
      </c>
      <c r="H405">
        <v>48950</v>
      </c>
      <c r="I405">
        <f>Sales_Transactions_Raw[[#This Row],[Unit_Price]]*Sales_Transactions_Raw[[#This Row],[Quantity]]</f>
        <v>244750</v>
      </c>
      <c r="J405">
        <v>5</v>
      </c>
      <c r="K405">
        <v>10</v>
      </c>
      <c r="L405">
        <v>24475</v>
      </c>
      <c r="M405">
        <v>220275</v>
      </c>
      <c r="N405">
        <v>5</v>
      </c>
      <c r="O405">
        <v>11013.75</v>
      </c>
      <c r="P405">
        <v>0</v>
      </c>
      <c r="Q405">
        <v>231288.75</v>
      </c>
      <c r="R405" t="s">
        <v>160</v>
      </c>
      <c r="S405" t="s">
        <v>125</v>
      </c>
      <c r="T405" t="s">
        <v>66</v>
      </c>
      <c r="U405" t="s">
        <v>161</v>
      </c>
      <c r="V405" t="s">
        <v>149</v>
      </c>
      <c r="W405" t="s">
        <v>81</v>
      </c>
      <c r="X405" t="s">
        <v>443</v>
      </c>
      <c r="Y405" t="s">
        <v>97</v>
      </c>
      <c r="Z405" t="s">
        <v>95</v>
      </c>
      <c r="AA405" t="s">
        <v>1585</v>
      </c>
      <c r="AB405" t="s">
        <v>3343</v>
      </c>
      <c r="AC405">
        <v>4</v>
      </c>
      <c r="AD405" t="s">
        <v>56</v>
      </c>
      <c r="AE405" t="s">
        <v>3336</v>
      </c>
      <c r="AF405" t="s">
        <v>326</v>
      </c>
      <c r="AG405" t="s">
        <v>85</v>
      </c>
      <c r="AH405" s="1">
        <v>45453</v>
      </c>
      <c r="AI405" s="1">
        <v>45460</v>
      </c>
      <c r="AJ405" s="1">
        <v>45470</v>
      </c>
      <c r="AK405" t="s">
        <v>3594</v>
      </c>
      <c r="AL405" t="s">
        <v>1584</v>
      </c>
    </row>
    <row r="406" spans="1:38" x14ac:dyDescent="0.35">
      <c r="A406" t="s">
        <v>1586</v>
      </c>
      <c r="B406" t="s">
        <v>858</v>
      </c>
      <c r="C406" t="s">
        <v>157</v>
      </c>
      <c r="D406" t="s">
        <v>90</v>
      </c>
      <c r="E406" t="s">
        <v>91</v>
      </c>
      <c r="F406" t="s">
        <v>46</v>
      </c>
      <c r="G406" t="s">
        <v>78</v>
      </c>
      <c r="H406">
        <v>87850</v>
      </c>
      <c r="I406">
        <f>Sales_Transactions_Raw[[#This Row],[Unit_Price]]*Sales_Transactions_Raw[[#This Row],[Quantity]]</f>
        <v>87850</v>
      </c>
      <c r="J406">
        <v>1</v>
      </c>
      <c r="K406">
        <v>10</v>
      </c>
      <c r="L406">
        <v>8785</v>
      </c>
      <c r="M406">
        <v>79065</v>
      </c>
      <c r="N406">
        <v>18</v>
      </c>
      <c r="O406">
        <v>14231.7</v>
      </c>
      <c r="P406">
        <v>0</v>
      </c>
      <c r="Q406">
        <v>93296.7</v>
      </c>
      <c r="R406" t="s">
        <v>124</v>
      </c>
      <c r="S406" t="s">
        <v>107</v>
      </c>
      <c r="T406" t="s">
        <v>115</v>
      </c>
      <c r="U406" t="s">
        <v>108</v>
      </c>
      <c r="V406" t="s">
        <v>276</v>
      </c>
      <c r="W406" t="s">
        <v>95</v>
      </c>
      <c r="X406" t="s">
        <v>381</v>
      </c>
      <c r="Y406" t="s">
        <v>199</v>
      </c>
      <c r="Z406" t="s">
        <v>52</v>
      </c>
      <c r="AA406" t="s">
        <v>1588</v>
      </c>
      <c r="AB406" t="s">
        <v>3340</v>
      </c>
      <c r="AC406">
        <v>4</v>
      </c>
      <c r="AD406" t="s">
        <v>56</v>
      </c>
      <c r="AE406" t="s">
        <v>3336</v>
      </c>
      <c r="AF406" t="s">
        <v>262</v>
      </c>
      <c r="AG406" t="s">
        <v>85</v>
      </c>
      <c r="AH406" s="1">
        <v>45462</v>
      </c>
      <c r="AI406" s="1">
        <v>45463</v>
      </c>
      <c r="AJ406" s="1">
        <v>45466</v>
      </c>
      <c r="AK406" t="s">
        <v>3595</v>
      </c>
      <c r="AL406" t="s">
        <v>1587</v>
      </c>
    </row>
    <row r="407" spans="1:38" x14ac:dyDescent="0.35">
      <c r="A407" t="s">
        <v>1589</v>
      </c>
      <c r="B407" t="s">
        <v>691</v>
      </c>
      <c r="C407" t="s">
        <v>43</v>
      </c>
      <c r="D407" t="s">
        <v>490</v>
      </c>
      <c r="E407" t="s">
        <v>91</v>
      </c>
      <c r="F407" t="s">
        <v>46</v>
      </c>
      <c r="G407" t="s">
        <v>369</v>
      </c>
      <c r="H407">
        <v>71980</v>
      </c>
      <c r="I407">
        <f>Sales_Transactions_Raw[[#This Row],[Unit_Price]]*Sales_Transactions_Raw[[#This Row],[Quantity]]</f>
        <v>71980</v>
      </c>
      <c r="J407">
        <v>1</v>
      </c>
      <c r="K407">
        <v>20</v>
      </c>
      <c r="L407">
        <v>14396</v>
      </c>
      <c r="M407">
        <v>57584</v>
      </c>
      <c r="N407">
        <v>18</v>
      </c>
      <c r="O407">
        <v>10365.120000000001</v>
      </c>
      <c r="P407">
        <v>0</v>
      </c>
      <c r="Q407">
        <v>67949.119999999995</v>
      </c>
      <c r="R407" t="s">
        <v>160</v>
      </c>
      <c r="S407" t="s">
        <v>93</v>
      </c>
      <c r="T407" t="s">
        <v>115</v>
      </c>
      <c r="U407" t="s">
        <v>196</v>
      </c>
      <c r="V407" t="s">
        <v>149</v>
      </c>
      <c r="W407" t="s">
        <v>81</v>
      </c>
      <c r="X407" t="s">
        <v>126</v>
      </c>
      <c r="Y407" t="s">
        <v>127</v>
      </c>
      <c r="Z407" t="s">
        <v>68</v>
      </c>
      <c r="AA407" t="s">
        <v>1591</v>
      </c>
      <c r="AB407" t="s">
        <v>3343</v>
      </c>
      <c r="AC407">
        <v>4</v>
      </c>
      <c r="AD407" t="s">
        <v>56</v>
      </c>
      <c r="AE407" t="s">
        <v>3336</v>
      </c>
      <c r="AF407" t="s">
        <v>279</v>
      </c>
      <c r="AG407" t="s">
        <v>3342</v>
      </c>
      <c r="AH407" s="1">
        <v>45051</v>
      </c>
      <c r="AI407" s="1">
        <v>45052</v>
      </c>
      <c r="AJ407" s="1">
        <v>45466</v>
      </c>
      <c r="AK407" t="s">
        <v>3596</v>
      </c>
      <c r="AL407" t="s">
        <v>1590</v>
      </c>
    </row>
    <row r="408" spans="1:38" x14ac:dyDescent="0.35">
      <c r="A408" t="s">
        <v>1592</v>
      </c>
      <c r="B408" t="s">
        <v>301</v>
      </c>
      <c r="C408" t="s">
        <v>43</v>
      </c>
      <c r="D408" t="s">
        <v>526</v>
      </c>
      <c r="E408" t="s">
        <v>527</v>
      </c>
      <c r="F408" t="s">
        <v>185</v>
      </c>
      <c r="G408" t="s">
        <v>528</v>
      </c>
      <c r="H408">
        <v>900</v>
      </c>
      <c r="I408">
        <f>Sales_Transactions_Raw[[#This Row],[Unit_Price]]*Sales_Transactions_Raw[[#This Row],[Quantity]]</f>
        <v>9000</v>
      </c>
      <c r="J408">
        <v>10</v>
      </c>
      <c r="K408">
        <v>5</v>
      </c>
      <c r="L408">
        <v>450</v>
      </c>
      <c r="M408">
        <v>8550</v>
      </c>
      <c r="N408">
        <v>5</v>
      </c>
      <c r="O408">
        <v>427.5</v>
      </c>
      <c r="P408">
        <v>0</v>
      </c>
      <c r="Q408">
        <v>8977.5</v>
      </c>
      <c r="R408" t="s">
        <v>92</v>
      </c>
      <c r="S408" t="s">
        <v>93</v>
      </c>
      <c r="T408" t="s">
        <v>115</v>
      </c>
      <c r="U408" t="s">
        <v>214</v>
      </c>
      <c r="V408" t="s">
        <v>224</v>
      </c>
      <c r="W408" t="s">
        <v>95</v>
      </c>
      <c r="X408" t="s">
        <v>551</v>
      </c>
      <c r="Y408" t="s">
        <v>138</v>
      </c>
      <c r="Z408" t="s">
        <v>81</v>
      </c>
      <c r="AA408" t="s">
        <v>1594</v>
      </c>
      <c r="AB408" t="s">
        <v>3340</v>
      </c>
      <c r="AC408">
        <v>4</v>
      </c>
      <c r="AD408" t="s">
        <v>56</v>
      </c>
      <c r="AE408" t="s">
        <v>3336</v>
      </c>
      <c r="AF408" t="s">
        <v>164</v>
      </c>
      <c r="AG408" t="s">
        <v>58</v>
      </c>
      <c r="AH408" s="1">
        <v>45268</v>
      </c>
      <c r="AI408" s="1">
        <v>45273</v>
      </c>
      <c r="AJ408" s="1">
        <v>45280</v>
      </c>
      <c r="AK408" t="s">
        <v>3597</v>
      </c>
      <c r="AL408" t="s">
        <v>1593</v>
      </c>
    </row>
    <row r="409" spans="1:38" x14ac:dyDescent="0.35">
      <c r="A409" t="s">
        <v>1595</v>
      </c>
      <c r="B409" t="s">
        <v>191</v>
      </c>
      <c r="C409" t="s">
        <v>157</v>
      </c>
      <c r="D409" t="s">
        <v>345</v>
      </c>
      <c r="E409" t="s">
        <v>346</v>
      </c>
      <c r="F409" t="s">
        <v>46</v>
      </c>
      <c r="G409" t="s">
        <v>63</v>
      </c>
      <c r="H409">
        <v>127700</v>
      </c>
      <c r="I409">
        <f>Sales_Transactions_Raw[[#This Row],[Unit_Price]]*Sales_Transactions_Raw[[#This Row],[Quantity]]</f>
        <v>766200</v>
      </c>
      <c r="J409">
        <v>6</v>
      </c>
      <c r="K409">
        <v>0</v>
      </c>
      <c r="L409">
        <v>0</v>
      </c>
      <c r="M409">
        <v>766200</v>
      </c>
      <c r="N409">
        <v>18</v>
      </c>
      <c r="O409">
        <v>137916</v>
      </c>
      <c r="P409">
        <v>0</v>
      </c>
      <c r="Q409">
        <v>904116</v>
      </c>
      <c r="R409" t="s">
        <v>79</v>
      </c>
      <c r="S409" t="s">
        <v>125</v>
      </c>
      <c r="T409" t="s">
        <v>136</v>
      </c>
      <c r="U409" t="s">
        <v>108</v>
      </c>
      <c r="V409" t="s">
        <v>116</v>
      </c>
      <c r="W409" t="s">
        <v>70</v>
      </c>
      <c r="X409" t="s">
        <v>237</v>
      </c>
      <c r="Y409" t="s">
        <v>138</v>
      </c>
      <c r="Z409" t="s">
        <v>81</v>
      </c>
      <c r="AA409" t="s">
        <v>1597</v>
      </c>
      <c r="AB409" t="s">
        <v>3339</v>
      </c>
      <c r="AC409">
        <v>4</v>
      </c>
      <c r="AD409" t="s">
        <v>56</v>
      </c>
      <c r="AE409" t="s">
        <v>3336</v>
      </c>
      <c r="AF409" t="s">
        <v>262</v>
      </c>
      <c r="AG409" t="s">
        <v>3337</v>
      </c>
      <c r="AH409" s="1">
        <v>45268</v>
      </c>
      <c r="AI409" s="1">
        <v>45402</v>
      </c>
      <c r="AJ409" s="1">
        <v>45407</v>
      </c>
      <c r="AK409" t="s">
        <v>3358</v>
      </c>
      <c r="AL409" t="s">
        <v>1596</v>
      </c>
    </row>
    <row r="410" spans="1:38" x14ac:dyDescent="0.35">
      <c r="A410" t="s">
        <v>1598</v>
      </c>
      <c r="B410" t="s">
        <v>858</v>
      </c>
      <c r="C410" t="s">
        <v>43</v>
      </c>
      <c r="D410" t="s">
        <v>44</v>
      </c>
      <c r="E410" t="s">
        <v>45</v>
      </c>
      <c r="F410" t="s">
        <v>46</v>
      </c>
      <c r="G410" t="s">
        <v>47</v>
      </c>
      <c r="H410">
        <v>12200</v>
      </c>
      <c r="I410">
        <f>Sales_Transactions_Raw[[#This Row],[Unit_Price]]*Sales_Transactions_Raw[[#This Row],[Quantity]]</f>
        <v>61000</v>
      </c>
      <c r="J410">
        <v>5</v>
      </c>
      <c r="K410">
        <v>20</v>
      </c>
      <c r="L410">
        <v>12200</v>
      </c>
      <c r="M410">
        <v>48800</v>
      </c>
      <c r="N410">
        <v>18</v>
      </c>
      <c r="O410">
        <v>8784</v>
      </c>
      <c r="P410">
        <v>0</v>
      </c>
      <c r="Q410">
        <v>57584</v>
      </c>
      <c r="R410" t="s">
        <v>106</v>
      </c>
      <c r="S410" t="s">
        <v>125</v>
      </c>
      <c r="T410" t="s">
        <v>115</v>
      </c>
      <c r="U410" t="s">
        <v>50</v>
      </c>
      <c r="V410" t="s">
        <v>94</v>
      </c>
      <c r="W410" t="s">
        <v>95</v>
      </c>
      <c r="X410" t="s">
        <v>288</v>
      </c>
      <c r="Y410" t="s">
        <v>289</v>
      </c>
      <c r="Z410" t="s">
        <v>52</v>
      </c>
      <c r="AA410" t="s">
        <v>1600</v>
      </c>
      <c r="AB410" t="s">
        <v>3335</v>
      </c>
      <c r="AC410">
        <v>4</v>
      </c>
      <c r="AD410" t="s">
        <v>56</v>
      </c>
      <c r="AE410" t="s">
        <v>3336</v>
      </c>
      <c r="AF410" t="s">
        <v>57</v>
      </c>
      <c r="AG410" t="s">
        <v>58</v>
      </c>
      <c r="AH410" s="1">
        <v>45569</v>
      </c>
      <c r="AI410" s="1">
        <v>45399</v>
      </c>
      <c r="AJ410" s="1">
        <v>45407</v>
      </c>
      <c r="AK410" t="s">
        <v>3598</v>
      </c>
      <c r="AL410" t="s">
        <v>1599</v>
      </c>
    </row>
    <row r="411" spans="1:38" x14ac:dyDescent="0.35">
      <c r="A411" t="s">
        <v>460</v>
      </c>
      <c r="B411" t="s">
        <v>430</v>
      </c>
      <c r="C411" t="s">
        <v>89</v>
      </c>
      <c r="D411" t="s">
        <v>317</v>
      </c>
      <c r="E411" t="s">
        <v>77</v>
      </c>
      <c r="F411" t="s">
        <v>46</v>
      </c>
      <c r="G411" t="s">
        <v>176</v>
      </c>
      <c r="H411">
        <v>29260</v>
      </c>
      <c r="I411">
        <f>Sales_Transactions_Raw[[#This Row],[Unit_Price]]*Sales_Transactions_Raw[[#This Row],[Quantity]]</f>
        <v>58520</v>
      </c>
      <c r="J411">
        <v>2</v>
      </c>
      <c r="K411">
        <v>15</v>
      </c>
      <c r="L411">
        <v>8778</v>
      </c>
      <c r="M411">
        <v>49742</v>
      </c>
      <c r="N411">
        <v>18</v>
      </c>
      <c r="O411">
        <v>8953.56</v>
      </c>
      <c r="P411">
        <v>0</v>
      </c>
      <c r="Q411">
        <v>58695.56</v>
      </c>
      <c r="R411" t="s">
        <v>92</v>
      </c>
      <c r="S411" t="s">
        <v>65</v>
      </c>
      <c r="T411" t="s">
        <v>719</v>
      </c>
      <c r="U411" t="s">
        <v>214</v>
      </c>
      <c r="V411" t="s">
        <v>67</v>
      </c>
      <c r="W411" t="s">
        <v>68</v>
      </c>
      <c r="X411" t="s">
        <v>922</v>
      </c>
      <c r="Y411" t="s">
        <v>199</v>
      </c>
      <c r="Z411" t="s">
        <v>52</v>
      </c>
      <c r="AA411" t="s">
        <v>1602</v>
      </c>
      <c r="AB411" t="s">
        <v>3341</v>
      </c>
      <c r="AC411">
        <v>5</v>
      </c>
      <c r="AD411" t="s">
        <v>56</v>
      </c>
      <c r="AE411" t="s">
        <v>3336</v>
      </c>
      <c r="AF411" t="s">
        <v>84</v>
      </c>
      <c r="AG411" t="s">
        <v>3342</v>
      </c>
      <c r="AH411" s="1">
        <v>45356</v>
      </c>
      <c r="AI411" s="1">
        <v>45357</v>
      </c>
      <c r="AJ411" s="1">
        <v>45361</v>
      </c>
      <c r="AK411" t="s">
        <v>3599</v>
      </c>
      <c r="AL411" t="s">
        <v>1601</v>
      </c>
    </row>
    <row r="412" spans="1:38" x14ac:dyDescent="0.35">
      <c r="A412" t="s">
        <v>1603</v>
      </c>
      <c r="B412" t="s">
        <v>191</v>
      </c>
      <c r="C412" t="s">
        <v>43</v>
      </c>
      <c r="D412" t="s">
        <v>391</v>
      </c>
      <c r="E412" t="s">
        <v>392</v>
      </c>
      <c r="F412" t="s">
        <v>46</v>
      </c>
      <c r="G412" t="s">
        <v>176</v>
      </c>
      <c r="H412">
        <v>9500</v>
      </c>
      <c r="I412">
        <f>Sales_Transactions_Raw[[#This Row],[Unit_Price]]*Sales_Transactions_Raw[[#This Row],[Quantity]]</f>
        <v>47500</v>
      </c>
      <c r="J412">
        <v>5</v>
      </c>
      <c r="K412">
        <v>0</v>
      </c>
      <c r="L412">
        <v>0</v>
      </c>
      <c r="M412">
        <v>47500</v>
      </c>
      <c r="N412">
        <v>18</v>
      </c>
      <c r="O412">
        <v>8550</v>
      </c>
      <c r="P412">
        <v>0</v>
      </c>
      <c r="Q412">
        <v>56050</v>
      </c>
      <c r="R412" t="s">
        <v>64</v>
      </c>
      <c r="S412" t="s">
        <v>49</v>
      </c>
      <c r="T412" t="s">
        <v>148</v>
      </c>
      <c r="U412" t="s">
        <v>214</v>
      </c>
      <c r="V412" t="s">
        <v>80</v>
      </c>
      <c r="W412" t="s">
        <v>81</v>
      </c>
      <c r="X412" t="s">
        <v>117</v>
      </c>
      <c r="Y412" t="s">
        <v>118</v>
      </c>
      <c r="Z412" t="s">
        <v>70</v>
      </c>
      <c r="AB412" t="s">
        <v>3335</v>
      </c>
      <c r="AC412">
        <v>4</v>
      </c>
      <c r="AD412" t="s">
        <v>56</v>
      </c>
      <c r="AE412" t="s">
        <v>3336</v>
      </c>
      <c r="AF412" t="s">
        <v>217</v>
      </c>
      <c r="AG412" t="s">
        <v>3342</v>
      </c>
      <c r="AH412" s="1">
        <v>45309</v>
      </c>
      <c r="AI412" s="1">
        <v>45310</v>
      </c>
      <c r="AJ412" s="1">
        <v>45319</v>
      </c>
      <c r="AK412" t="s">
        <v>3358</v>
      </c>
      <c r="AL412" t="s">
        <v>1604</v>
      </c>
    </row>
    <row r="413" spans="1:38" x14ac:dyDescent="0.35">
      <c r="A413" t="s">
        <v>1605</v>
      </c>
      <c r="B413" t="s">
        <v>940</v>
      </c>
      <c r="C413" t="s">
        <v>131</v>
      </c>
      <c r="D413" t="s">
        <v>103</v>
      </c>
      <c r="E413" t="s">
        <v>104</v>
      </c>
      <c r="F413" t="s">
        <v>46</v>
      </c>
      <c r="G413" t="s">
        <v>105</v>
      </c>
      <c r="H413">
        <v>33260</v>
      </c>
      <c r="I413">
        <f>Sales_Transactions_Raw[[#This Row],[Unit_Price]]*Sales_Transactions_Raw[[#This Row],[Quantity]]</f>
        <v>66520</v>
      </c>
      <c r="J413">
        <v>2</v>
      </c>
      <c r="K413">
        <v>15</v>
      </c>
      <c r="L413">
        <v>9978</v>
      </c>
      <c r="M413">
        <v>56542</v>
      </c>
      <c r="N413">
        <v>18</v>
      </c>
      <c r="O413">
        <v>10177.56</v>
      </c>
      <c r="P413">
        <v>0</v>
      </c>
      <c r="Q413">
        <v>66719.56</v>
      </c>
      <c r="R413" t="s">
        <v>48</v>
      </c>
      <c r="S413" t="s">
        <v>49</v>
      </c>
      <c r="T413" t="s">
        <v>66</v>
      </c>
      <c r="U413" t="s">
        <v>108</v>
      </c>
      <c r="V413" t="s">
        <v>297</v>
      </c>
      <c r="W413" t="s">
        <v>52</v>
      </c>
      <c r="X413" t="s">
        <v>260</v>
      </c>
      <c r="Y413" t="s">
        <v>118</v>
      </c>
      <c r="Z413" t="s">
        <v>70</v>
      </c>
      <c r="AA413" t="s">
        <v>1607</v>
      </c>
      <c r="AB413" t="s">
        <v>3340</v>
      </c>
      <c r="AC413">
        <v>4</v>
      </c>
      <c r="AD413" t="s">
        <v>56</v>
      </c>
      <c r="AE413" t="s">
        <v>3336</v>
      </c>
      <c r="AF413" t="s">
        <v>72</v>
      </c>
      <c r="AG413" t="s">
        <v>58</v>
      </c>
      <c r="AH413" s="1">
        <v>44939</v>
      </c>
      <c r="AI413" s="1">
        <v>44940</v>
      </c>
      <c r="AJ413" s="1">
        <v>44949</v>
      </c>
      <c r="AK413" t="s">
        <v>3582</v>
      </c>
      <c r="AL413" t="s">
        <v>1606</v>
      </c>
    </row>
    <row r="414" spans="1:38" x14ac:dyDescent="0.35">
      <c r="A414" t="s">
        <v>1608</v>
      </c>
      <c r="B414" t="s">
        <v>373</v>
      </c>
      <c r="C414" t="s">
        <v>43</v>
      </c>
      <c r="D414" t="s">
        <v>283</v>
      </c>
      <c r="E414" t="s">
        <v>284</v>
      </c>
      <c r="F414" t="s">
        <v>285</v>
      </c>
      <c r="G414" t="s">
        <v>286</v>
      </c>
      <c r="H414">
        <v>470</v>
      </c>
      <c r="I414">
        <f>Sales_Transactions_Raw[[#This Row],[Unit_Price]]*Sales_Transactions_Raw[[#This Row],[Quantity]]</f>
        <v>2350</v>
      </c>
      <c r="J414">
        <v>5</v>
      </c>
      <c r="K414">
        <v>5</v>
      </c>
      <c r="L414">
        <v>117.5</v>
      </c>
      <c r="M414">
        <v>2232.5</v>
      </c>
      <c r="N414">
        <v>5</v>
      </c>
      <c r="O414">
        <v>111.62</v>
      </c>
      <c r="P414">
        <v>79</v>
      </c>
      <c r="Q414">
        <v>2344.12</v>
      </c>
      <c r="R414" t="s">
        <v>79</v>
      </c>
      <c r="S414" t="s">
        <v>49</v>
      </c>
      <c r="T414" t="s">
        <v>115</v>
      </c>
      <c r="U414" t="s">
        <v>214</v>
      </c>
      <c r="V414" t="s">
        <v>80</v>
      </c>
      <c r="W414" t="s">
        <v>81</v>
      </c>
      <c r="X414" t="s">
        <v>243</v>
      </c>
      <c r="Y414" t="s">
        <v>244</v>
      </c>
      <c r="Z414" t="s">
        <v>70</v>
      </c>
      <c r="AA414" t="s">
        <v>1610</v>
      </c>
      <c r="AB414" t="s">
        <v>3335</v>
      </c>
      <c r="AC414">
        <v>4</v>
      </c>
      <c r="AD414" t="s">
        <v>56</v>
      </c>
      <c r="AE414" t="s">
        <v>3336</v>
      </c>
      <c r="AF414" t="s">
        <v>84</v>
      </c>
      <c r="AG414" t="s">
        <v>111</v>
      </c>
      <c r="AH414" s="1">
        <v>44944</v>
      </c>
      <c r="AI414" s="1">
        <v>44949</v>
      </c>
      <c r="AJ414" s="1">
        <v>44955</v>
      </c>
      <c r="AK414" t="s">
        <v>3381</v>
      </c>
      <c r="AL414" t="s">
        <v>1609</v>
      </c>
    </row>
    <row r="415" spans="1:38" x14ac:dyDescent="0.35">
      <c r="A415" t="s">
        <v>1611</v>
      </c>
      <c r="B415" t="s">
        <v>264</v>
      </c>
      <c r="C415" t="s">
        <v>89</v>
      </c>
      <c r="D415" t="s">
        <v>971</v>
      </c>
      <c r="E415" t="s">
        <v>972</v>
      </c>
      <c r="F415" t="s">
        <v>146</v>
      </c>
      <c r="G415" t="s">
        <v>195</v>
      </c>
      <c r="H415">
        <v>1470</v>
      </c>
      <c r="I415">
        <f>Sales_Transactions_Raw[[#This Row],[Unit_Price]]*Sales_Transactions_Raw[[#This Row],[Quantity]]</f>
        <v>1470</v>
      </c>
      <c r="J415">
        <v>1</v>
      </c>
      <c r="K415">
        <v>10</v>
      </c>
      <c r="L415">
        <v>147</v>
      </c>
      <c r="M415">
        <v>1323</v>
      </c>
      <c r="N415">
        <v>12</v>
      </c>
      <c r="O415">
        <v>158.76</v>
      </c>
      <c r="P415">
        <v>99</v>
      </c>
      <c r="Q415">
        <v>1481.76</v>
      </c>
      <c r="R415" t="s">
        <v>79</v>
      </c>
      <c r="S415" t="s">
        <v>107</v>
      </c>
      <c r="T415" t="s">
        <v>115</v>
      </c>
      <c r="U415" t="s">
        <v>214</v>
      </c>
      <c r="V415" t="s">
        <v>276</v>
      </c>
      <c r="W415" t="s">
        <v>95</v>
      </c>
      <c r="X415" t="s">
        <v>150</v>
      </c>
      <c r="Y415" t="s">
        <v>151</v>
      </c>
      <c r="Z415" t="s">
        <v>81</v>
      </c>
      <c r="AA415" t="s">
        <v>1613</v>
      </c>
      <c r="AB415" t="s">
        <v>3335</v>
      </c>
      <c r="AC415">
        <v>5</v>
      </c>
      <c r="AD415" t="s">
        <v>56</v>
      </c>
      <c r="AE415" t="s">
        <v>3336</v>
      </c>
      <c r="AF415" t="s">
        <v>279</v>
      </c>
      <c r="AG415" t="s">
        <v>445</v>
      </c>
      <c r="AH415" s="1">
        <v>45056</v>
      </c>
      <c r="AI415" s="1">
        <v>45058</v>
      </c>
      <c r="AJ415" s="1">
        <v>45067</v>
      </c>
      <c r="AK415" t="s">
        <v>3367</v>
      </c>
      <c r="AL415" t="s">
        <v>1612</v>
      </c>
    </row>
    <row r="416" spans="1:38" x14ac:dyDescent="0.35">
      <c r="A416" t="s">
        <v>1614</v>
      </c>
      <c r="B416" t="s">
        <v>944</v>
      </c>
      <c r="C416" t="s">
        <v>157</v>
      </c>
      <c r="D416" t="s">
        <v>90</v>
      </c>
      <c r="E416" t="s">
        <v>91</v>
      </c>
      <c r="F416" t="s">
        <v>46</v>
      </c>
      <c r="G416" t="s">
        <v>78</v>
      </c>
      <c r="H416">
        <v>100570</v>
      </c>
      <c r="I416">
        <f>Sales_Transactions_Raw[[#This Row],[Unit_Price]]*Sales_Transactions_Raw[[#This Row],[Quantity]]</f>
        <v>402280</v>
      </c>
      <c r="J416">
        <v>4</v>
      </c>
      <c r="K416">
        <v>5</v>
      </c>
      <c r="L416">
        <v>20114</v>
      </c>
      <c r="M416">
        <v>382166</v>
      </c>
      <c r="N416">
        <v>18</v>
      </c>
      <c r="O416">
        <v>68789.88</v>
      </c>
      <c r="P416">
        <v>0</v>
      </c>
      <c r="Q416">
        <v>450955.88</v>
      </c>
      <c r="R416" t="s">
        <v>48</v>
      </c>
      <c r="S416" t="s">
        <v>49</v>
      </c>
      <c r="T416" t="s">
        <v>115</v>
      </c>
      <c r="U416" t="s">
        <v>108</v>
      </c>
      <c r="V416" t="s">
        <v>80</v>
      </c>
      <c r="W416" t="s">
        <v>81</v>
      </c>
      <c r="X416" t="s">
        <v>393</v>
      </c>
      <c r="Y416" t="s">
        <v>393</v>
      </c>
      <c r="Z416" t="s">
        <v>70</v>
      </c>
      <c r="AA416" t="s">
        <v>1615</v>
      </c>
      <c r="AB416" t="s">
        <v>3339</v>
      </c>
      <c r="AC416">
        <v>4</v>
      </c>
      <c r="AD416" t="s">
        <v>56</v>
      </c>
      <c r="AE416" t="s">
        <v>3336</v>
      </c>
      <c r="AF416" t="s">
        <v>279</v>
      </c>
      <c r="AG416" t="s">
        <v>85</v>
      </c>
      <c r="AH416" s="1">
        <v>45131</v>
      </c>
      <c r="AI416" s="1">
        <v>45137</v>
      </c>
      <c r="AJ416" s="1">
        <v>45146</v>
      </c>
      <c r="AK416" t="s">
        <v>3490</v>
      </c>
      <c r="AL416" t="s">
        <v>3739</v>
      </c>
    </row>
    <row r="417" spans="1:38" x14ac:dyDescent="0.35">
      <c r="A417" t="s">
        <v>1616</v>
      </c>
      <c r="B417" t="s">
        <v>803</v>
      </c>
      <c r="C417" t="s">
        <v>89</v>
      </c>
      <c r="D417" t="s">
        <v>704</v>
      </c>
      <c r="E417" t="s">
        <v>705</v>
      </c>
      <c r="F417" t="s">
        <v>285</v>
      </c>
      <c r="G417" t="s">
        <v>706</v>
      </c>
      <c r="H417">
        <v>270</v>
      </c>
      <c r="I417">
        <f>Sales_Transactions_Raw[[#This Row],[Unit_Price]]*Sales_Transactions_Raw[[#This Row],[Quantity]]</f>
        <v>1080</v>
      </c>
      <c r="J417">
        <v>4</v>
      </c>
      <c r="K417">
        <v>25</v>
      </c>
      <c r="L417">
        <v>270</v>
      </c>
      <c r="M417">
        <v>810</v>
      </c>
      <c r="N417">
        <v>5</v>
      </c>
      <c r="O417">
        <v>40.5</v>
      </c>
      <c r="P417">
        <v>49</v>
      </c>
      <c r="Q417">
        <v>850.5</v>
      </c>
      <c r="R417" t="s">
        <v>106</v>
      </c>
      <c r="S417" t="s">
        <v>107</v>
      </c>
      <c r="T417" t="s">
        <v>213</v>
      </c>
      <c r="U417" t="s">
        <v>161</v>
      </c>
      <c r="V417" t="s">
        <v>242</v>
      </c>
      <c r="W417" t="s">
        <v>70</v>
      </c>
      <c r="X417" t="s">
        <v>370</v>
      </c>
      <c r="Y417" t="s">
        <v>151</v>
      </c>
      <c r="Z417" t="s">
        <v>81</v>
      </c>
      <c r="AA417" t="s">
        <v>1618</v>
      </c>
      <c r="AB417" t="s">
        <v>3335</v>
      </c>
      <c r="AC417">
        <v>5</v>
      </c>
      <c r="AD417" t="s">
        <v>179</v>
      </c>
      <c r="AE417" t="s">
        <v>818</v>
      </c>
      <c r="AF417" t="s">
        <v>153</v>
      </c>
      <c r="AG417" t="s">
        <v>3342</v>
      </c>
      <c r="AH417" s="1">
        <v>44972</v>
      </c>
      <c r="AI417" s="1">
        <v>44976</v>
      </c>
      <c r="AJ417" s="1">
        <v>45146</v>
      </c>
      <c r="AK417" t="s">
        <v>3468</v>
      </c>
      <c r="AL417" t="s">
        <v>1617</v>
      </c>
    </row>
    <row r="418" spans="1:38" x14ac:dyDescent="0.35">
      <c r="A418" t="s">
        <v>1619</v>
      </c>
      <c r="B418" t="s">
        <v>191</v>
      </c>
      <c r="C418" t="s">
        <v>43</v>
      </c>
      <c r="D418" t="s">
        <v>490</v>
      </c>
      <c r="E418" t="s">
        <v>91</v>
      </c>
      <c r="F418" t="s">
        <v>46</v>
      </c>
      <c r="G418" t="s">
        <v>369</v>
      </c>
      <c r="H418">
        <v>72280</v>
      </c>
      <c r="I418">
        <f>Sales_Transactions_Raw[[#This Row],[Unit_Price]]*Sales_Transactions_Raw[[#This Row],[Quantity]]</f>
        <v>505960</v>
      </c>
      <c r="J418">
        <v>7</v>
      </c>
      <c r="K418">
        <v>5</v>
      </c>
      <c r="L418">
        <v>25298</v>
      </c>
      <c r="M418">
        <v>480662</v>
      </c>
      <c r="N418">
        <v>18</v>
      </c>
      <c r="O418">
        <v>86519.16</v>
      </c>
      <c r="P418">
        <v>0</v>
      </c>
      <c r="Q418">
        <v>567181.16</v>
      </c>
      <c r="R418" t="s">
        <v>64</v>
      </c>
      <c r="S418" t="s">
        <v>65</v>
      </c>
      <c r="T418" t="s">
        <v>115</v>
      </c>
      <c r="U418" t="s">
        <v>108</v>
      </c>
      <c r="V418" t="s">
        <v>297</v>
      </c>
      <c r="W418" t="s">
        <v>52</v>
      </c>
      <c r="X418" t="s">
        <v>168</v>
      </c>
      <c r="Y418" t="s">
        <v>169</v>
      </c>
      <c r="Z418" t="s">
        <v>95</v>
      </c>
      <c r="AA418" t="s">
        <v>1621</v>
      </c>
      <c r="AB418" t="s">
        <v>3339</v>
      </c>
      <c r="AC418">
        <v>4</v>
      </c>
      <c r="AD418" t="s">
        <v>56</v>
      </c>
      <c r="AE418" t="s">
        <v>3336</v>
      </c>
      <c r="AF418" t="s">
        <v>140</v>
      </c>
      <c r="AG418" t="s">
        <v>3342</v>
      </c>
      <c r="AH418" s="1">
        <v>45311</v>
      </c>
      <c r="AI418" s="1">
        <v>44976</v>
      </c>
      <c r="AJ418" s="1">
        <v>45322</v>
      </c>
      <c r="AK418" t="s">
        <v>3358</v>
      </c>
      <c r="AL418" t="s">
        <v>1620</v>
      </c>
    </row>
    <row r="419" spans="1:38" x14ac:dyDescent="0.35">
      <c r="A419" t="s">
        <v>1622</v>
      </c>
      <c r="B419" t="s">
        <v>453</v>
      </c>
      <c r="C419" t="s">
        <v>43</v>
      </c>
      <c r="D419" t="s">
        <v>249</v>
      </c>
      <c r="E419" t="s">
        <v>250</v>
      </c>
      <c r="F419" t="s">
        <v>211</v>
      </c>
      <c r="G419" t="s">
        <v>251</v>
      </c>
      <c r="H419">
        <v>17770</v>
      </c>
      <c r="I419">
        <f>Sales_Transactions_Raw[[#This Row],[Unit_Price]]*Sales_Transactions_Raw[[#This Row],[Quantity]]</f>
        <v>17770</v>
      </c>
      <c r="J419">
        <v>1</v>
      </c>
      <c r="K419">
        <v>0</v>
      </c>
      <c r="L419">
        <v>0</v>
      </c>
      <c r="M419">
        <v>17770</v>
      </c>
      <c r="N419">
        <v>5</v>
      </c>
      <c r="O419">
        <v>888.5</v>
      </c>
      <c r="P419">
        <v>0</v>
      </c>
      <c r="Q419">
        <v>18658.5</v>
      </c>
      <c r="R419" t="s">
        <v>64</v>
      </c>
      <c r="S419" t="s">
        <v>125</v>
      </c>
      <c r="T419" t="s">
        <v>115</v>
      </c>
      <c r="U419" t="s">
        <v>196</v>
      </c>
      <c r="V419" t="s">
        <v>197</v>
      </c>
      <c r="W419" t="s">
        <v>68</v>
      </c>
      <c r="X419" t="s">
        <v>204</v>
      </c>
      <c r="Y419" t="s">
        <v>118</v>
      </c>
      <c r="Z419" t="s">
        <v>70</v>
      </c>
      <c r="AB419" t="s">
        <v>3335</v>
      </c>
      <c r="AC419">
        <v>4</v>
      </c>
      <c r="AD419" t="s">
        <v>56</v>
      </c>
      <c r="AE419" t="s">
        <v>3336</v>
      </c>
      <c r="AF419" t="s">
        <v>164</v>
      </c>
      <c r="AG419" t="s">
        <v>111</v>
      </c>
      <c r="AH419" s="1">
        <v>45069</v>
      </c>
      <c r="AI419" s="1">
        <v>45074</v>
      </c>
      <c r="AJ419" s="1">
        <v>45322</v>
      </c>
      <c r="AK419" t="s">
        <v>3369</v>
      </c>
      <c r="AL419" t="s">
        <v>1623</v>
      </c>
    </row>
    <row r="420" spans="1:38" x14ac:dyDescent="0.35">
      <c r="A420" t="s">
        <v>1624</v>
      </c>
      <c r="B420" t="s">
        <v>940</v>
      </c>
      <c r="C420" t="s">
        <v>43</v>
      </c>
      <c r="D420" t="s">
        <v>704</v>
      </c>
      <c r="E420" t="s">
        <v>705</v>
      </c>
      <c r="F420" t="s">
        <v>285</v>
      </c>
      <c r="G420" t="s">
        <v>706</v>
      </c>
      <c r="H420">
        <v>300</v>
      </c>
      <c r="I420">
        <f>Sales_Transactions_Raw[[#This Row],[Unit_Price]]*Sales_Transactions_Raw[[#This Row],[Quantity]]</f>
        <v>1200</v>
      </c>
      <c r="J420">
        <v>4</v>
      </c>
      <c r="K420">
        <v>5</v>
      </c>
      <c r="L420">
        <v>60</v>
      </c>
      <c r="M420">
        <v>1140</v>
      </c>
      <c r="N420">
        <v>5</v>
      </c>
      <c r="O420">
        <v>57</v>
      </c>
      <c r="P420">
        <v>79</v>
      </c>
      <c r="Q420">
        <v>1197</v>
      </c>
      <c r="R420" t="s">
        <v>124</v>
      </c>
      <c r="S420" t="s">
        <v>93</v>
      </c>
      <c r="T420" t="s">
        <v>213</v>
      </c>
      <c r="U420" t="s">
        <v>214</v>
      </c>
      <c r="V420" t="s">
        <v>276</v>
      </c>
      <c r="W420" t="s">
        <v>95</v>
      </c>
      <c r="X420" t="s">
        <v>225</v>
      </c>
      <c r="Y420" t="s">
        <v>226</v>
      </c>
      <c r="Z420" t="s">
        <v>95</v>
      </c>
      <c r="AA420" t="s">
        <v>1626</v>
      </c>
      <c r="AB420" t="s">
        <v>3335</v>
      </c>
      <c r="AC420">
        <v>2</v>
      </c>
      <c r="AD420" t="s">
        <v>179</v>
      </c>
      <c r="AE420" t="s">
        <v>3336</v>
      </c>
      <c r="AF420" t="s">
        <v>326</v>
      </c>
      <c r="AG420" t="s">
        <v>111</v>
      </c>
      <c r="AH420" s="1">
        <v>45259</v>
      </c>
      <c r="AI420" s="1">
        <v>45074</v>
      </c>
      <c r="AJ420" s="1">
        <v>45267</v>
      </c>
      <c r="AK420" t="s">
        <v>3582</v>
      </c>
      <c r="AL420" t="s">
        <v>1625</v>
      </c>
    </row>
    <row r="421" spans="1:38" x14ac:dyDescent="0.35">
      <c r="A421" t="s">
        <v>1627</v>
      </c>
      <c r="B421" t="s">
        <v>409</v>
      </c>
      <c r="C421" t="s">
        <v>43</v>
      </c>
      <c r="D421" t="s">
        <v>323</v>
      </c>
      <c r="E421" t="s">
        <v>324</v>
      </c>
      <c r="F421" t="s">
        <v>146</v>
      </c>
      <c r="G421" t="s">
        <v>296</v>
      </c>
      <c r="H421">
        <v>11280</v>
      </c>
      <c r="I421">
        <f>Sales_Transactions_Raw[[#This Row],[Unit_Price]]*Sales_Transactions_Raw[[#This Row],[Quantity]]</f>
        <v>56400</v>
      </c>
      <c r="J421">
        <v>5</v>
      </c>
      <c r="K421">
        <v>10</v>
      </c>
      <c r="L421">
        <v>5640</v>
      </c>
      <c r="M421">
        <v>50760</v>
      </c>
      <c r="N421">
        <v>12</v>
      </c>
      <c r="O421">
        <v>6091.2</v>
      </c>
      <c r="P421">
        <v>0</v>
      </c>
      <c r="Q421">
        <v>56851.199999999997</v>
      </c>
      <c r="R421" t="s">
        <v>92</v>
      </c>
      <c r="S421" t="s">
        <v>65</v>
      </c>
      <c r="T421" t="s">
        <v>66</v>
      </c>
      <c r="U421" t="s">
        <v>108</v>
      </c>
      <c r="V421" t="s">
        <v>67</v>
      </c>
      <c r="W421" t="s">
        <v>68</v>
      </c>
      <c r="X421" t="s">
        <v>922</v>
      </c>
      <c r="Y421" t="s">
        <v>199</v>
      </c>
      <c r="Z421" t="s">
        <v>52</v>
      </c>
      <c r="AA421" t="s">
        <v>1629</v>
      </c>
      <c r="AB421" t="s">
        <v>3335</v>
      </c>
      <c r="AC421">
        <v>5</v>
      </c>
      <c r="AD421" t="s">
        <v>56</v>
      </c>
      <c r="AE421" t="s">
        <v>3336</v>
      </c>
      <c r="AF421" t="s">
        <v>99</v>
      </c>
      <c r="AG421" t="s">
        <v>85</v>
      </c>
      <c r="AH421" s="1">
        <v>45203</v>
      </c>
      <c r="AI421" s="1">
        <v>45210</v>
      </c>
      <c r="AJ421" s="1">
        <v>45216</v>
      </c>
      <c r="AK421" t="s">
        <v>3387</v>
      </c>
      <c r="AL421" t="s">
        <v>1628</v>
      </c>
    </row>
    <row r="422" spans="1:38" x14ac:dyDescent="0.35">
      <c r="A422" t="s">
        <v>1630</v>
      </c>
      <c r="B422" t="s">
        <v>1000</v>
      </c>
      <c r="C422" t="s">
        <v>43</v>
      </c>
      <c r="D422" t="s">
        <v>526</v>
      </c>
      <c r="E422" t="s">
        <v>527</v>
      </c>
      <c r="F422" t="s">
        <v>185</v>
      </c>
      <c r="G422" t="s">
        <v>528</v>
      </c>
      <c r="H422">
        <v>820</v>
      </c>
      <c r="I422">
        <f>Sales_Transactions_Raw[[#This Row],[Unit_Price]]*Sales_Transactions_Raw[[#This Row],[Quantity]]</f>
        <v>820</v>
      </c>
      <c r="J422">
        <v>1</v>
      </c>
      <c r="K422">
        <v>20</v>
      </c>
      <c r="L422">
        <v>164</v>
      </c>
      <c r="M422">
        <v>656</v>
      </c>
      <c r="N422">
        <v>5</v>
      </c>
      <c r="O422">
        <v>32.799999999999997</v>
      </c>
      <c r="P422">
        <v>149</v>
      </c>
      <c r="Q422">
        <v>688.8</v>
      </c>
      <c r="R422" t="s">
        <v>48</v>
      </c>
      <c r="S422" t="s">
        <v>125</v>
      </c>
      <c r="T422" t="s">
        <v>115</v>
      </c>
      <c r="U422" t="s">
        <v>50</v>
      </c>
      <c r="V422" t="s">
        <v>269</v>
      </c>
      <c r="W422" t="s">
        <v>70</v>
      </c>
      <c r="X422" t="s">
        <v>288</v>
      </c>
      <c r="Y422" t="s">
        <v>289</v>
      </c>
      <c r="Z422" t="s">
        <v>52</v>
      </c>
      <c r="AA422" t="s">
        <v>1632</v>
      </c>
      <c r="AB422" t="s">
        <v>3338</v>
      </c>
      <c r="AC422">
        <v>4</v>
      </c>
      <c r="AD422" t="s">
        <v>56</v>
      </c>
      <c r="AE422" t="s">
        <v>3336</v>
      </c>
      <c r="AF422" t="s">
        <v>140</v>
      </c>
      <c r="AG422" t="s">
        <v>3342</v>
      </c>
      <c r="AH422" s="1">
        <v>45127</v>
      </c>
      <c r="AI422" s="1">
        <v>45132</v>
      </c>
      <c r="AJ422" s="1">
        <v>45142</v>
      </c>
      <c r="AK422" t="s">
        <v>3507</v>
      </c>
      <c r="AL422" t="s">
        <v>1631</v>
      </c>
    </row>
    <row r="423" spans="1:38" x14ac:dyDescent="0.35">
      <c r="A423" t="s">
        <v>1633</v>
      </c>
      <c r="B423" t="s">
        <v>379</v>
      </c>
      <c r="C423" t="s">
        <v>89</v>
      </c>
      <c r="D423" t="s">
        <v>971</v>
      </c>
      <c r="E423" t="s">
        <v>972</v>
      </c>
      <c r="F423" t="s">
        <v>146</v>
      </c>
      <c r="G423" t="s">
        <v>195</v>
      </c>
      <c r="H423">
        <v>1500</v>
      </c>
      <c r="I423">
        <f>Sales_Transactions_Raw[[#This Row],[Unit_Price]]*Sales_Transactions_Raw[[#This Row],[Quantity]]</f>
        <v>6000</v>
      </c>
      <c r="J423">
        <v>4</v>
      </c>
      <c r="K423">
        <v>5</v>
      </c>
      <c r="L423">
        <v>300</v>
      </c>
      <c r="M423">
        <v>5700</v>
      </c>
      <c r="N423">
        <v>12</v>
      </c>
      <c r="O423">
        <v>684</v>
      </c>
      <c r="P423">
        <v>0</v>
      </c>
      <c r="Q423">
        <v>6384</v>
      </c>
      <c r="R423" t="s">
        <v>160</v>
      </c>
      <c r="S423" t="s">
        <v>107</v>
      </c>
      <c r="T423" t="s">
        <v>136</v>
      </c>
      <c r="U423" t="s">
        <v>108</v>
      </c>
      <c r="V423" t="s">
        <v>287</v>
      </c>
      <c r="W423" t="s">
        <v>95</v>
      </c>
      <c r="X423" t="s">
        <v>491</v>
      </c>
      <c r="Y423" t="s">
        <v>358</v>
      </c>
      <c r="Z423" t="s">
        <v>95</v>
      </c>
      <c r="AA423" t="s">
        <v>1635</v>
      </c>
      <c r="AB423" t="s">
        <v>3340</v>
      </c>
      <c r="AC423">
        <v>4</v>
      </c>
      <c r="AD423" t="s">
        <v>56</v>
      </c>
      <c r="AE423" t="s">
        <v>3336</v>
      </c>
      <c r="AF423" t="s">
        <v>99</v>
      </c>
      <c r="AG423" t="s">
        <v>58</v>
      </c>
      <c r="AH423" s="1">
        <v>44986</v>
      </c>
      <c r="AI423" s="1">
        <v>44988</v>
      </c>
      <c r="AJ423" s="1">
        <v>44992</v>
      </c>
      <c r="AK423" t="s">
        <v>3382</v>
      </c>
      <c r="AL423" t="s">
        <v>1634</v>
      </c>
    </row>
    <row r="424" spans="1:38" x14ac:dyDescent="0.35">
      <c r="A424" t="s">
        <v>1636</v>
      </c>
      <c r="B424" t="s">
        <v>1225</v>
      </c>
      <c r="C424" t="s">
        <v>157</v>
      </c>
      <c r="D424" t="s">
        <v>158</v>
      </c>
      <c r="E424" t="s">
        <v>159</v>
      </c>
      <c r="F424" t="s">
        <v>46</v>
      </c>
      <c r="G424" t="s">
        <v>105</v>
      </c>
      <c r="H424">
        <v>52480</v>
      </c>
      <c r="I424">
        <f>Sales_Transactions_Raw[[#This Row],[Unit_Price]]*Sales_Transactions_Raw[[#This Row],[Quantity]]</f>
        <v>419840</v>
      </c>
      <c r="J424">
        <v>8</v>
      </c>
      <c r="K424">
        <v>10</v>
      </c>
      <c r="L424">
        <v>41984</v>
      </c>
      <c r="M424">
        <v>377856</v>
      </c>
      <c r="N424">
        <v>18</v>
      </c>
      <c r="O424">
        <v>68014.080000000002</v>
      </c>
      <c r="P424">
        <v>0</v>
      </c>
      <c r="Q424">
        <v>445870.08000000002</v>
      </c>
      <c r="R424" t="s">
        <v>160</v>
      </c>
      <c r="S424" t="s">
        <v>65</v>
      </c>
      <c r="T424" t="s">
        <v>148</v>
      </c>
      <c r="U424" t="s">
        <v>161</v>
      </c>
      <c r="V424" t="s">
        <v>94</v>
      </c>
      <c r="W424" t="s">
        <v>95</v>
      </c>
      <c r="X424" t="s">
        <v>422</v>
      </c>
      <c r="Y424" t="s">
        <v>319</v>
      </c>
      <c r="Z424" t="s">
        <v>95</v>
      </c>
      <c r="AA424" t="s">
        <v>1638</v>
      </c>
      <c r="AB424" t="s">
        <v>3343</v>
      </c>
      <c r="AC424">
        <v>5</v>
      </c>
      <c r="AD424" t="s">
        <v>56</v>
      </c>
      <c r="AE424" t="s">
        <v>3336</v>
      </c>
      <c r="AF424" t="s">
        <v>99</v>
      </c>
      <c r="AG424" t="s">
        <v>85</v>
      </c>
      <c r="AH424" s="1">
        <v>45096</v>
      </c>
      <c r="AI424" s="1">
        <v>45102</v>
      </c>
      <c r="AJ424" s="1">
        <v>45105</v>
      </c>
      <c r="AK424" t="s">
        <v>3586</v>
      </c>
      <c r="AL424" t="s">
        <v>1637</v>
      </c>
    </row>
    <row r="425" spans="1:38" x14ac:dyDescent="0.35">
      <c r="A425" t="s">
        <v>1639</v>
      </c>
      <c r="B425" t="s">
        <v>272</v>
      </c>
      <c r="C425" t="s">
        <v>157</v>
      </c>
      <c r="D425" t="s">
        <v>294</v>
      </c>
      <c r="E425" t="s">
        <v>295</v>
      </c>
      <c r="F425" t="s">
        <v>146</v>
      </c>
      <c r="G425" t="s">
        <v>296</v>
      </c>
      <c r="H425">
        <v>14670</v>
      </c>
      <c r="I425">
        <f>Sales_Transactions_Raw[[#This Row],[Unit_Price]]*Sales_Transactions_Raw[[#This Row],[Quantity]]</f>
        <v>14670</v>
      </c>
      <c r="J425">
        <v>1</v>
      </c>
      <c r="K425">
        <v>0</v>
      </c>
      <c r="L425">
        <v>0</v>
      </c>
      <c r="M425">
        <v>14670</v>
      </c>
      <c r="N425">
        <v>12</v>
      </c>
      <c r="O425">
        <v>1760.4</v>
      </c>
      <c r="P425">
        <v>0</v>
      </c>
      <c r="Q425">
        <v>16430.400000000001</v>
      </c>
      <c r="R425" t="s">
        <v>48</v>
      </c>
      <c r="S425" t="s">
        <v>49</v>
      </c>
      <c r="T425" t="s">
        <v>148</v>
      </c>
      <c r="U425" t="s">
        <v>108</v>
      </c>
      <c r="V425" t="s">
        <v>287</v>
      </c>
      <c r="W425" t="s">
        <v>95</v>
      </c>
      <c r="X425" t="s">
        <v>922</v>
      </c>
      <c r="Y425" t="s">
        <v>199</v>
      </c>
      <c r="Z425" t="s">
        <v>52</v>
      </c>
      <c r="AA425" t="s">
        <v>1641</v>
      </c>
      <c r="AB425" t="s">
        <v>3335</v>
      </c>
      <c r="AC425">
        <v>4</v>
      </c>
      <c r="AD425" t="s">
        <v>56</v>
      </c>
      <c r="AE425" t="s">
        <v>3336</v>
      </c>
      <c r="AF425" t="s">
        <v>326</v>
      </c>
      <c r="AG425" t="s">
        <v>58</v>
      </c>
      <c r="AH425" s="1">
        <v>44942</v>
      </c>
      <c r="AI425" s="1">
        <v>44944</v>
      </c>
      <c r="AJ425" s="1">
        <v>44950</v>
      </c>
      <c r="AK425" t="s">
        <v>3446</v>
      </c>
      <c r="AL425" t="s">
        <v>1640</v>
      </c>
    </row>
    <row r="426" spans="1:38" x14ac:dyDescent="0.35">
      <c r="A426" t="s">
        <v>1642</v>
      </c>
      <c r="B426" t="s">
        <v>142</v>
      </c>
      <c r="C426" t="s">
        <v>43</v>
      </c>
      <c r="D426" t="s">
        <v>867</v>
      </c>
      <c r="E426" t="s">
        <v>868</v>
      </c>
      <c r="F426" t="s">
        <v>285</v>
      </c>
      <c r="G426" t="s">
        <v>869</v>
      </c>
      <c r="H426">
        <v>180</v>
      </c>
      <c r="I426">
        <f>Sales_Transactions_Raw[[#This Row],[Unit_Price]]*Sales_Transactions_Raw[[#This Row],[Quantity]]</f>
        <v>720</v>
      </c>
      <c r="J426">
        <v>4</v>
      </c>
      <c r="K426">
        <v>20</v>
      </c>
      <c r="L426">
        <v>144</v>
      </c>
      <c r="M426">
        <v>576</v>
      </c>
      <c r="N426">
        <v>5</v>
      </c>
      <c r="O426">
        <v>28.8</v>
      </c>
      <c r="P426">
        <v>79</v>
      </c>
      <c r="Q426">
        <v>604.79999999999995</v>
      </c>
      <c r="R426" t="s">
        <v>106</v>
      </c>
      <c r="S426" t="s">
        <v>125</v>
      </c>
      <c r="T426" t="s">
        <v>115</v>
      </c>
      <c r="U426" t="s">
        <v>50</v>
      </c>
      <c r="V426" t="s">
        <v>197</v>
      </c>
      <c r="W426" t="s">
        <v>68</v>
      </c>
      <c r="X426" t="s">
        <v>96</v>
      </c>
      <c r="Y426" t="s">
        <v>97</v>
      </c>
      <c r="Z426" t="s">
        <v>95</v>
      </c>
      <c r="AA426" t="s">
        <v>1644</v>
      </c>
      <c r="AB426" t="s">
        <v>3340</v>
      </c>
      <c r="AC426">
        <v>4</v>
      </c>
      <c r="AD426" t="s">
        <v>56</v>
      </c>
      <c r="AE426" t="s">
        <v>3336</v>
      </c>
      <c r="AF426" t="s">
        <v>164</v>
      </c>
      <c r="AG426" t="s">
        <v>111</v>
      </c>
      <c r="AH426" s="1">
        <v>45087</v>
      </c>
      <c r="AI426" s="1">
        <v>45090</v>
      </c>
      <c r="AJ426" s="1">
        <v>45095</v>
      </c>
      <c r="AK426" t="s">
        <v>3353</v>
      </c>
      <c r="AL426" t="s">
        <v>1643</v>
      </c>
    </row>
    <row r="427" spans="1:38" x14ac:dyDescent="0.35">
      <c r="A427" t="s">
        <v>1645</v>
      </c>
      <c r="B427" t="s">
        <v>235</v>
      </c>
      <c r="C427" t="s">
        <v>43</v>
      </c>
      <c r="D427" t="s">
        <v>193</v>
      </c>
      <c r="E427" t="s">
        <v>194</v>
      </c>
      <c r="F427" t="s">
        <v>146</v>
      </c>
      <c r="G427" t="s">
        <v>195</v>
      </c>
      <c r="H427">
        <v>3120</v>
      </c>
      <c r="I427">
        <f>Sales_Transactions_Raw[[#This Row],[Unit_Price]]*Sales_Transactions_Raw[[#This Row],[Quantity]]</f>
        <v>3120</v>
      </c>
      <c r="J427">
        <v>1</v>
      </c>
      <c r="K427">
        <v>15</v>
      </c>
      <c r="L427">
        <v>468</v>
      </c>
      <c r="M427">
        <v>2652</v>
      </c>
      <c r="N427">
        <v>12</v>
      </c>
      <c r="O427">
        <v>318.24</v>
      </c>
      <c r="P427">
        <v>49</v>
      </c>
      <c r="Q427">
        <v>2970.24</v>
      </c>
      <c r="R427" t="s">
        <v>106</v>
      </c>
      <c r="S427" t="s">
        <v>65</v>
      </c>
      <c r="T427" t="s">
        <v>115</v>
      </c>
      <c r="U427" t="s">
        <v>161</v>
      </c>
      <c r="V427" t="s">
        <v>67</v>
      </c>
      <c r="W427" t="s">
        <v>68</v>
      </c>
      <c r="X427" t="s">
        <v>922</v>
      </c>
      <c r="Y427" t="s">
        <v>199</v>
      </c>
      <c r="Z427" t="s">
        <v>52</v>
      </c>
      <c r="AA427" t="s">
        <v>1647</v>
      </c>
      <c r="AB427" t="s">
        <v>3335</v>
      </c>
      <c r="AC427">
        <v>3</v>
      </c>
      <c r="AD427" t="s">
        <v>56</v>
      </c>
      <c r="AE427" t="s">
        <v>3336</v>
      </c>
      <c r="AF427" t="s">
        <v>84</v>
      </c>
      <c r="AG427" t="s">
        <v>3342</v>
      </c>
      <c r="AH427" s="1">
        <v>45361</v>
      </c>
      <c r="AI427" s="1">
        <v>45368</v>
      </c>
      <c r="AJ427" s="1">
        <v>45371</v>
      </c>
      <c r="AK427" t="s">
        <v>3525</v>
      </c>
      <c r="AL427" t="s">
        <v>1646</v>
      </c>
    </row>
    <row r="428" spans="1:38" x14ac:dyDescent="0.35">
      <c r="A428" t="s">
        <v>1648</v>
      </c>
      <c r="B428" t="s">
        <v>202</v>
      </c>
      <c r="C428" t="s">
        <v>43</v>
      </c>
      <c r="D428" t="s">
        <v>310</v>
      </c>
      <c r="E428" t="s">
        <v>311</v>
      </c>
      <c r="F428" t="s">
        <v>211</v>
      </c>
      <c r="G428" t="s">
        <v>312</v>
      </c>
      <c r="H428">
        <v>11630</v>
      </c>
      <c r="I428">
        <f>Sales_Transactions_Raw[[#This Row],[Unit_Price]]*Sales_Transactions_Raw[[#This Row],[Quantity]]</f>
        <v>23260</v>
      </c>
      <c r="J428">
        <v>2</v>
      </c>
      <c r="K428">
        <v>0</v>
      </c>
      <c r="L428">
        <v>0</v>
      </c>
      <c r="M428">
        <v>23260</v>
      </c>
      <c r="N428">
        <v>5</v>
      </c>
      <c r="O428">
        <v>1163</v>
      </c>
      <c r="P428">
        <v>0</v>
      </c>
      <c r="Q428">
        <v>24423</v>
      </c>
      <c r="R428" t="s">
        <v>48</v>
      </c>
      <c r="S428" t="s">
        <v>93</v>
      </c>
      <c r="T428" t="s">
        <v>115</v>
      </c>
      <c r="U428" t="s">
        <v>196</v>
      </c>
      <c r="V428" t="s">
        <v>94</v>
      </c>
      <c r="W428" t="s">
        <v>95</v>
      </c>
      <c r="X428" t="s">
        <v>215</v>
      </c>
      <c r="Y428" t="s">
        <v>169</v>
      </c>
      <c r="Z428" t="s">
        <v>95</v>
      </c>
      <c r="AA428" t="s">
        <v>1650</v>
      </c>
      <c r="AB428" t="s">
        <v>3340</v>
      </c>
      <c r="AC428">
        <v>5</v>
      </c>
      <c r="AD428" t="s">
        <v>56</v>
      </c>
      <c r="AE428" t="s">
        <v>3336</v>
      </c>
      <c r="AF428" t="s">
        <v>227</v>
      </c>
      <c r="AG428" t="s">
        <v>3342</v>
      </c>
      <c r="AH428" s="1">
        <v>45162</v>
      </c>
      <c r="AI428" s="1">
        <v>45166</v>
      </c>
      <c r="AJ428" s="1">
        <v>45168</v>
      </c>
      <c r="AK428" t="s">
        <v>3600</v>
      </c>
      <c r="AL428" t="s">
        <v>1649</v>
      </c>
    </row>
    <row r="429" spans="1:38" x14ac:dyDescent="0.35">
      <c r="A429" t="s">
        <v>1651</v>
      </c>
      <c r="B429" t="s">
        <v>875</v>
      </c>
      <c r="C429" t="s">
        <v>89</v>
      </c>
      <c r="D429" t="s">
        <v>432</v>
      </c>
      <c r="E429" t="s">
        <v>433</v>
      </c>
      <c r="F429" t="s">
        <v>146</v>
      </c>
      <c r="G429" t="s">
        <v>296</v>
      </c>
      <c r="H429">
        <v>5350</v>
      </c>
      <c r="I429">
        <f>Sales_Transactions_Raw[[#This Row],[Unit_Price]]*Sales_Transactions_Raw[[#This Row],[Quantity]]</f>
        <v>16050</v>
      </c>
      <c r="J429">
        <v>3</v>
      </c>
      <c r="K429">
        <v>25</v>
      </c>
      <c r="L429">
        <v>4012.5</v>
      </c>
      <c r="M429">
        <v>12037.5</v>
      </c>
      <c r="N429">
        <v>12</v>
      </c>
      <c r="O429">
        <v>1444.5</v>
      </c>
      <c r="P429">
        <v>0</v>
      </c>
      <c r="Q429">
        <v>13482</v>
      </c>
      <c r="R429" t="s">
        <v>48</v>
      </c>
      <c r="S429" t="s">
        <v>49</v>
      </c>
      <c r="T429" t="s">
        <v>66</v>
      </c>
      <c r="U429" t="s">
        <v>108</v>
      </c>
      <c r="V429" t="s">
        <v>287</v>
      </c>
      <c r="W429" t="s">
        <v>95</v>
      </c>
      <c r="X429" t="s">
        <v>626</v>
      </c>
      <c r="Y429" t="s">
        <v>289</v>
      </c>
      <c r="Z429" t="s">
        <v>52</v>
      </c>
      <c r="AA429" t="s">
        <v>1653</v>
      </c>
      <c r="AB429" t="s">
        <v>3344</v>
      </c>
      <c r="AC429">
        <v>5</v>
      </c>
      <c r="AD429" t="s">
        <v>56</v>
      </c>
      <c r="AE429" t="s">
        <v>3336</v>
      </c>
      <c r="AF429" t="s">
        <v>262</v>
      </c>
      <c r="AG429" t="s">
        <v>58</v>
      </c>
      <c r="AH429" s="1">
        <v>45343</v>
      </c>
      <c r="AI429" s="1">
        <v>45349</v>
      </c>
      <c r="AJ429" s="1">
        <v>45168</v>
      </c>
      <c r="AK429" t="s">
        <v>3480</v>
      </c>
      <c r="AL429" t="s">
        <v>1652</v>
      </c>
    </row>
    <row r="430" spans="1:38" x14ac:dyDescent="0.35">
      <c r="A430" t="s">
        <v>1654</v>
      </c>
      <c r="B430" t="s">
        <v>472</v>
      </c>
      <c r="C430" t="s">
        <v>157</v>
      </c>
      <c r="D430" t="s">
        <v>704</v>
      </c>
      <c r="E430" t="s">
        <v>705</v>
      </c>
      <c r="F430" t="s">
        <v>285</v>
      </c>
      <c r="G430" t="s">
        <v>706</v>
      </c>
      <c r="H430">
        <v>290</v>
      </c>
      <c r="I430">
        <f>Sales_Transactions_Raw[[#This Row],[Unit_Price]]*Sales_Transactions_Raw[[#This Row],[Quantity]]</f>
        <v>870</v>
      </c>
      <c r="J430">
        <v>3</v>
      </c>
      <c r="K430">
        <v>5</v>
      </c>
      <c r="L430">
        <v>14.5</v>
      </c>
      <c r="M430">
        <v>275.5</v>
      </c>
      <c r="N430">
        <v>5</v>
      </c>
      <c r="O430">
        <v>13.78</v>
      </c>
      <c r="P430">
        <v>49</v>
      </c>
      <c r="Q430">
        <v>289.27999999999997</v>
      </c>
      <c r="R430" t="s">
        <v>106</v>
      </c>
      <c r="S430" t="s">
        <v>93</v>
      </c>
      <c r="T430" t="s">
        <v>136</v>
      </c>
      <c r="U430" t="s">
        <v>196</v>
      </c>
      <c r="V430" t="s">
        <v>269</v>
      </c>
      <c r="W430" t="s">
        <v>70</v>
      </c>
      <c r="X430" t="s">
        <v>260</v>
      </c>
      <c r="Y430" t="s">
        <v>118</v>
      </c>
      <c r="Z430" t="s">
        <v>70</v>
      </c>
      <c r="AA430" t="s">
        <v>1656</v>
      </c>
      <c r="AB430" t="s">
        <v>3335</v>
      </c>
      <c r="AC430">
        <v>5</v>
      </c>
      <c r="AD430" t="s">
        <v>56</v>
      </c>
      <c r="AE430" t="s">
        <v>3336</v>
      </c>
      <c r="AF430" t="s">
        <v>262</v>
      </c>
      <c r="AG430" t="s">
        <v>58</v>
      </c>
      <c r="AH430" s="1">
        <v>45138</v>
      </c>
      <c r="AI430" s="1">
        <v>45140</v>
      </c>
      <c r="AJ430" s="1">
        <v>45142</v>
      </c>
      <c r="AK430" t="s">
        <v>3516</v>
      </c>
      <c r="AL430" t="s">
        <v>1655</v>
      </c>
    </row>
    <row r="431" spans="1:38" x14ac:dyDescent="0.35">
      <c r="A431" t="s">
        <v>1657</v>
      </c>
      <c r="B431" t="s">
        <v>219</v>
      </c>
      <c r="C431" t="s">
        <v>157</v>
      </c>
      <c r="D431" t="s">
        <v>266</v>
      </c>
      <c r="E431" t="s">
        <v>267</v>
      </c>
      <c r="F431" t="s">
        <v>211</v>
      </c>
      <c r="G431" t="s">
        <v>268</v>
      </c>
      <c r="H431">
        <v>58240</v>
      </c>
      <c r="I431">
        <f>Sales_Transactions_Raw[[#This Row],[Unit_Price]]*Sales_Transactions_Raw[[#This Row],[Quantity]]</f>
        <v>174720</v>
      </c>
      <c r="J431">
        <v>3</v>
      </c>
      <c r="K431">
        <v>5</v>
      </c>
      <c r="L431">
        <v>8736</v>
      </c>
      <c r="M431">
        <v>165984</v>
      </c>
      <c r="N431">
        <v>5</v>
      </c>
      <c r="O431">
        <v>8299.2000000000007</v>
      </c>
      <c r="P431">
        <v>0</v>
      </c>
      <c r="Q431">
        <v>174283.2</v>
      </c>
      <c r="R431" t="s">
        <v>106</v>
      </c>
      <c r="S431" t="s">
        <v>65</v>
      </c>
      <c r="T431" t="s">
        <v>148</v>
      </c>
      <c r="U431" t="s">
        <v>214</v>
      </c>
      <c r="V431" t="s">
        <v>177</v>
      </c>
      <c r="W431" t="s">
        <v>81</v>
      </c>
      <c r="X431" t="s">
        <v>357</v>
      </c>
      <c r="Y431" t="s">
        <v>358</v>
      </c>
      <c r="Z431" t="s">
        <v>95</v>
      </c>
      <c r="AA431" t="s">
        <v>1659</v>
      </c>
      <c r="AB431" t="s">
        <v>3340</v>
      </c>
      <c r="AC431">
        <v>3</v>
      </c>
      <c r="AD431" t="s">
        <v>56</v>
      </c>
      <c r="AE431" t="s">
        <v>3336</v>
      </c>
      <c r="AF431" t="s">
        <v>326</v>
      </c>
      <c r="AG431" t="s">
        <v>58</v>
      </c>
      <c r="AH431" s="1">
        <v>45434</v>
      </c>
      <c r="AI431" s="1">
        <v>45441</v>
      </c>
      <c r="AJ431" s="1">
        <v>45444</v>
      </c>
      <c r="AK431" t="s">
        <v>3361</v>
      </c>
      <c r="AL431" t="s">
        <v>1658</v>
      </c>
    </row>
    <row r="432" spans="1:38" x14ac:dyDescent="0.35">
      <c r="A432" t="s">
        <v>1660</v>
      </c>
      <c r="B432" t="s">
        <v>365</v>
      </c>
      <c r="C432" t="s">
        <v>43</v>
      </c>
      <c r="D432" t="s">
        <v>249</v>
      </c>
      <c r="E432" t="s">
        <v>250</v>
      </c>
      <c r="F432" t="s">
        <v>211</v>
      </c>
      <c r="G432" t="s">
        <v>251</v>
      </c>
      <c r="H432">
        <v>17890</v>
      </c>
      <c r="I432">
        <f>Sales_Transactions_Raw[[#This Row],[Unit_Price]]*Sales_Transactions_Raw[[#This Row],[Quantity]]</f>
        <v>17890</v>
      </c>
      <c r="J432">
        <v>1</v>
      </c>
      <c r="K432">
        <v>0</v>
      </c>
      <c r="L432">
        <v>0</v>
      </c>
      <c r="M432">
        <v>17890</v>
      </c>
      <c r="N432">
        <v>5</v>
      </c>
      <c r="O432">
        <v>894.5</v>
      </c>
      <c r="P432">
        <v>0</v>
      </c>
      <c r="Q432">
        <v>18784.5</v>
      </c>
      <c r="R432" t="s">
        <v>48</v>
      </c>
      <c r="S432" t="s">
        <v>107</v>
      </c>
      <c r="T432" t="s">
        <v>136</v>
      </c>
      <c r="U432" t="s">
        <v>108</v>
      </c>
      <c r="V432" t="s">
        <v>297</v>
      </c>
      <c r="W432" t="s">
        <v>52</v>
      </c>
      <c r="X432" t="s">
        <v>198</v>
      </c>
      <c r="Y432" t="s">
        <v>199</v>
      </c>
      <c r="Z432" t="s">
        <v>52</v>
      </c>
      <c r="AA432" t="s">
        <v>1662</v>
      </c>
      <c r="AB432" t="s">
        <v>3343</v>
      </c>
      <c r="AC432">
        <v>5</v>
      </c>
      <c r="AD432" t="s">
        <v>56</v>
      </c>
      <c r="AE432" t="s">
        <v>3336</v>
      </c>
      <c r="AF432" t="s">
        <v>326</v>
      </c>
      <c r="AG432" t="s">
        <v>85</v>
      </c>
      <c r="AH432" s="1">
        <v>45038</v>
      </c>
      <c r="AI432" s="1">
        <v>45044</v>
      </c>
      <c r="AJ432" s="1">
        <v>45444</v>
      </c>
      <c r="AK432" t="s">
        <v>3601</v>
      </c>
      <c r="AL432" t="s">
        <v>1661</v>
      </c>
    </row>
    <row r="433" spans="1:38" x14ac:dyDescent="0.35">
      <c r="A433" t="s">
        <v>1663</v>
      </c>
      <c r="B433" t="s">
        <v>101</v>
      </c>
      <c r="C433" t="s">
        <v>43</v>
      </c>
      <c r="D433" t="s">
        <v>402</v>
      </c>
      <c r="E433" t="s">
        <v>403</v>
      </c>
      <c r="F433" t="s">
        <v>146</v>
      </c>
      <c r="G433" t="s">
        <v>223</v>
      </c>
      <c r="H433">
        <v>2090</v>
      </c>
      <c r="I433">
        <f>Sales_Transactions_Raw[[#This Row],[Unit_Price]]*Sales_Transactions_Raw[[#This Row],[Quantity]]</f>
        <v>14630</v>
      </c>
      <c r="J433">
        <v>7</v>
      </c>
      <c r="K433">
        <v>20</v>
      </c>
      <c r="L433">
        <v>2926</v>
      </c>
      <c r="M433">
        <v>11704</v>
      </c>
      <c r="N433">
        <v>12</v>
      </c>
      <c r="O433">
        <v>1404.48</v>
      </c>
      <c r="P433">
        <v>0</v>
      </c>
      <c r="Q433">
        <v>13108.48</v>
      </c>
      <c r="R433" t="s">
        <v>48</v>
      </c>
      <c r="S433" t="s">
        <v>107</v>
      </c>
      <c r="T433" t="s">
        <v>148</v>
      </c>
      <c r="U433" t="s">
        <v>108</v>
      </c>
      <c r="V433" t="s">
        <v>242</v>
      </c>
      <c r="W433" t="s">
        <v>70</v>
      </c>
      <c r="X433" t="s">
        <v>505</v>
      </c>
      <c r="Y433" t="s">
        <v>118</v>
      </c>
      <c r="Z433" t="s">
        <v>70</v>
      </c>
      <c r="AA433" t="s">
        <v>1665</v>
      </c>
      <c r="AB433" t="s">
        <v>3338</v>
      </c>
      <c r="AC433">
        <v>1</v>
      </c>
      <c r="AD433" t="s">
        <v>56</v>
      </c>
      <c r="AE433" t="s">
        <v>3336</v>
      </c>
      <c r="AF433" t="s">
        <v>164</v>
      </c>
      <c r="AG433" t="s">
        <v>85</v>
      </c>
      <c r="AH433" s="1">
        <v>44974</v>
      </c>
      <c r="AI433" s="1">
        <v>44976</v>
      </c>
      <c r="AJ433" s="1">
        <v>44980</v>
      </c>
      <c r="AK433" t="s">
        <v>3475</v>
      </c>
      <c r="AL433" t="s">
        <v>1664</v>
      </c>
    </row>
    <row r="434" spans="1:38" x14ac:dyDescent="0.35">
      <c r="A434" t="s">
        <v>1666</v>
      </c>
      <c r="B434" t="s">
        <v>1036</v>
      </c>
      <c r="C434" t="s">
        <v>43</v>
      </c>
      <c r="D434" t="s">
        <v>317</v>
      </c>
      <c r="E434" t="s">
        <v>77</v>
      </c>
      <c r="F434" t="s">
        <v>46</v>
      </c>
      <c r="G434" t="s">
        <v>176</v>
      </c>
      <c r="H434">
        <v>31490</v>
      </c>
      <c r="I434">
        <f>Sales_Transactions_Raw[[#This Row],[Unit_Price]]*Sales_Transactions_Raw[[#This Row],[Quantity]]</f>
        <v>31490</v>
      </c>
      <c r="J434">
        <v>1</v>
      </c>
      <c r="K434">
        <v>0</v>
      </c>
      <c r="L434">
        <v>0</v>
      </c>
      <c r="M434">
        <v>31490</v>
      </c>
      <c r="N434">
        <v>18</v>
      </c>
      <c r="O434">
        <v>5668.2</v>
      </c>
      <c r="P434">
        <v>0</v>
      </c>
      <c r="Q434">
        <v>37158.199999999997</v>
      </c>
      <c r="R434" t="s">
        <v>64</v>
      </c>
      <c r="S434" t="s">
        <v>107</v>
      </c>
      <c r="T434" t="s">
        <v>66</v>
      </c>
      <c r="U434" t="s">
        <v>214</v>
      </c>
      <c r="V434" t="s">
        <v>177</v>
      </c>
      <c r="W434" t="s">
        <v>81</v>
      </c>
      <c r="X434" t="s">
        <v>505</v>
      </c>
      <c r="Y434" t="s">
        <v>118</v>
      </c>
      <c r="Z434" t="s">
        <v>70</v>
      </c>
      <c r="AA434" t="s">
        <v>1668</v>
      </c>
      <c r="AB434" t="s">
        <v>3340</v>
      </c>
      <c r="AC434">
        <v>4</v>
      </c>
      <c r="AD434" t="s">
        <v>179</v>
      </c>
      <c r="AE434" t="s">
        <v>3336</v>
      </c>
      <c r="AF434" t="s">
        <v>326</v>
      </c>
      <c r="AG434" t="s">
        <v>3337</v>
      </c>
      <c r="AH434" s="1">
        <v>45179</v>
      </c>
      <c r="AI434" s="1">
        <v>45183</v>
      </c>
      <c r="AJ434" s="1">
        <v>45187</v>
      </c>
      <c r="AK434" t="s">
        <v>3602</v>
      </c>
      <c r="AL434" t="s">
        <v>1667</v>
      </c>
    </row>
    <row r="435" spans="1:38" x14ac:dyDescent="0.35">
      <c r="A435" t="s">
        <v>1669</v>
      </c>
      <c r="B435" t="s">
        <v>605</v>
      </c>
      <c r="C435" t="s">
        <v>43</v>
      </c>
      <c r="D435" t="s">
        <v>174</v>
      </c>
      <c r="E435" t="s">
        <v>175</v>
      </c>
      <c r="F435" t="s">
        <v>46</v>
      </c>
      <c r="G435" t="s">
        <v>176</v>
      </c>
      <c r="H435">
        <v>1550</v>
      </c>
      <c r="I435">
        <f>Sales_Transactions_Raw[[#This Row],[Unit_Price]]*Sales_Transactions_Raw[[#This Row],[Quantity]]</f>
        <v>3100</v>
      </c>
      <c r="J435">
        <v>2</v>
      </c>
      <c r="K435">
        <v>0</v>
      </c>
      <c r="L435">
        <v>0</v>
      </c>
      <c r="M435">
        <v>3100</v>
      </c>
      <c r="N435">
        <v>18</v>
      </c>
      <c r="O435">
        <v>558</v>
      </c>
      <c r="P435">
        <v>149</v>
      </c>
      <c r="Q435">
        <v>3658</v>
      </c>
      <c r="R435" t="s">
        <v>92</v>
      </c>
      <c r="S435" t="s">
        <v>93</v>
      </c>
      <c r="T435" t="s">
        <v>148</v>
      </c>
      <c r="U435" t="s">
        <v>196</v>
      </c>
      <c r="V435" t="s">
        <v>269</v>
      </c>
      <c r="W435" t="s">
        <v>696</v>
      </c>
      <c r="X435" t="s">
        <v>357</v>
      </c>
      <c r="Y435" t="s">
        <v>358</v>
      </c>
      <c r="Z435" t="s">
        <v>95</v>
      </c>
      <c r="AA435" t="s">
        <v>1671</v>
      </c>
      <c r="AB435" t="s">
        <v>3343</v>
      </c>
      <c r="AC435">
        <v>4</v>
      </c>
      <c r="AD435" t="s">
        <v>56</v>
      </c>
      <c r="AE435" t="s">
        <v>3336</v>
      </c>
      <c r="AF435" t="s">
        <v>99</v>
      </c>
      <c r="AG435" t="s">
        <v>58</v>
      </c>
      <c r="AH435" s="1">
        <v>45004</v>
      </c>
      <c r="AI435" s="1">
        <v>45010</v>
      </c>
      <c r="AJ435" s="1">
        <v>45015</v>
      </c>
      <c r="AK435" t="s">
        <v>3435</v>
      </c>
      <c r="AL435" t="s">
        <v>1670</v>
      </c>
    </row>
    <row r="436" spans="1:38" x14ac:dyDescent="0.35">
      <c r="A436" t="s">
        <v>1672</v>
      </c>
      <c r="B436" t="s">
        <v>680</v>
      </c>
      <c r="C436" t="s">
        <v>157</v>
      </c>
      <c r="D436" t="s">
        <v>221</v>
      </c>
      <c r="E436" t="s">
        <v>222</v>
      </c>
      <c r="F436" t="s">
        <v>146</v>
      </c>
      <c r="G436" t="s">
        <v>223</v>
      </c>
      <c r="H436">
        <v>2890</v>
      </c>
      <c r="I436">
        <f>Sales_Transactions_Raw[[#This Row],[Unit_Price]]*Sales_Transactions_Raw[[#This Row],[Quantity]]</f>
        <v>2890</v>
      </c>
      <c r="J436">
        <v>1</v>
      </c>
      <c r="K436">
        <v>0</v>
      </c>
      <c r="L436">
        <v>0</v>
      </c>
      <c r="M436">
        <v>2890</v>
      </c>
      <c r="N436">
        <v>12</v>
      </c>
      <c r="O436">
        <v>346.8</v>
      </c>
      <c r="P436">
        <v>79</v>
      </c>
      <c r="Q436">
        <v>3236.8</v>
      </c>
      <c r="R436" t="s">
        <v>79</v>
      </c>
      <c r="S436" t="s">
        <v>107</v>
      </c>
      <c r="T436" t="s">
        <v>115</v>
      </c>
      <c r="U436" t="s">
        <v>50</v>
      </c>
      <c r="V436" t="s">
        <v>224</v>
      </c>
      <c r="W436" t="s">
        <v>95</v>
      </c>
      <c r="X436" t="s">
        <v>474</v>
      </c>
      <c r="Y436" t="s">
        <v>169</v>
      </c>
      <c r="Z436" t="s">
        <v>95</v>
      </c>
      <c r="AA436" t="s">
        <v>1674</v>
      </c>
      <c r="AB436" t="s">
        <v>3341</v>
      </c>
      <c r="AC436">
        <v>4</v>
      </c>
      <c r="AD436" t="s">
        <v>56</v>
      </c>
      <c r="AE436" t="s">
        <v>3336</v>
      </c>
      <c r="AF436" t="s">
        <v>227</v>
      </c>
      <c r="AG436" t="s">
        <v>58</v>
      </c>
      <c r="AH436" s="1">
        <v>45070</v>
      </c>
      <c r="AI436" s="1">
        <v>45073</v>
      </c>
      <c r="AJ436" s="1">
        <v>45082</v>
      </c>
      <c r="AK436" t="s">
        <v>3603</v>
      </c>
      <c r="AL436" t="s">
        <v>1673</v>
      </c>
    </row>
    <row r="437" spans="1:38" x14ac:dyDescent="0.35">
      <c r="A437" t="s">
        <v>1675</v>
      </c>
      <c r="B437" t="s">
        <v>588</v>
      </c>
      <c r="C437" t="s">
        <v>43</v>
      </c>
      <c r="D437" t="s">
        <v>971</v>
      </c>
      <c r="E437" t="s">
        <v>972</v>
      </c>
      <c r="F437" t="s">
        <v>146</v>
      </c>
      <c r="G437" t="s">
        <v>195</v>
      </c>
      <c r="H437">
        <v>1720</v>
      </c>
      <c r="I437">
        <f>Sales_Transactions_Raw[[#This Row],[Unit_Price]]*Sales_Transactions_Raw[[#This Row],[Quantity]]</f>
        <v>5160</v>
      </c>
      <c r="J437">
        <v>3</v>
      </c>
      <c r="K437">
        <v>5</v>
      </c>
      <c r="L437">
        <v>258</v>
      </c>
      <c r="M437">
        <v>4902</v>
      </c>
      <c r="N437">
        <v>12</v>
      </c>
      <c r="O437">
        <v>588.24</v>
      </c>
      <c r="P437">
        <v>0</v>
      </c>
      <c r="Q437">
        <v>5490.24</v>
      </c>
      <c r="R437" t="s">
        <v>106</v>
      </c>
      <c r="S437" t="s">
        <v>93</v>
      </c>
      <c r="T437" t="s">
        <v>115</v>
      </c>
      <c r="U437" t="s">
        <v>214</v>
      </c>
      <c r="V437" t="s">
        <v>149</v>
      </c>
      <c r="W437" t="s">
        <v>81</v>
      </c>
      <c r="X437" t="s">
        <v>437</v>
      </c>
      <c r="Y437" t="s">
        <v>319</v>
      </c>
      <c r="Z437" t="s">
        <v>95</v>
      </c>
      <c r="AA437" t="s">
        <v>1677</v>
      </c>
      <c r="AB437" t="s">
        <v>3335</v>
      </c>
      <c r="AC437">
        <v>5</v>
      </c>
      <c r="AD437" t="s">
        <v>56</v>
      </c>
      <c r="AE437" t="s">
        <v>3336</v>
      </c>
      <c r="AF437" t="s">
        <v>164</v>
      </c>
      <c r="AG437" t="s">
        <v>111</v>
      </c>
      <c r="AH437" s="1">
        <v>45466</v>
      </c>
      <c r="AI437" s="1">
        <v>45471</v>
      </c>
      <c r="AJ437" s="1">
        <v>45476</v>
      </c>
      <c r="AK437" t="s">
        <v>3419</v>
      </c>
      <c r="AL437" t="s">
        <v>1676</v>
      </c>
    </row>
    <row r="438" spans="1:38" x14ac:dyDescent="0.35">
      <c r="A438" t="s">
        <v>1678</v>
      </c>
      <c r="B438" t="s">
        <v>508</v>
      </c>
      <c r="C438" t="s">
        <v>43</v>
      </c>
      <c r="D438" t="s">
        <v>713</v>
      </c>
      <c r="E438" t="s">
        <v>714</v>
      </c>
      <c r="F438" t="s">
        <v>46</v>
      </c>
      <c r="G438" t="s">
        <v>47</v>
      </c>
      <c r="H438">
        <v>16400</v>
      </c>
      <c r="I438">
        <f>Sales_Transactions_Raw[[#This Row],[Unit_Price]]*Sales_Transactions_Raw[[#This Row],[Quantity]]</f>
        <v>49200</v>
      </c>
      <c r="J438">
        <v>3</v>
      </c>
      <c r="K438">
        <v>5</v>
      </c>
      <c r="L438">
        <v>2460</v>
      </c>
      <c r="M438">
        <v>46740</v>
      </c>
      <c r="N438">
        <v>18</v>
      </c>
      <c r="O438">
        <v>8413.2000000000007</v>
      </c>
      <c r="P438">
        <v>0</v>
      </c>
      <c r="Q438">
        <v>55153.2</v>
      </c>
      <c r="R438" t="s">
        <v>124</v>
      </c>
      <c r="S438" t="s">
        <v>65</v>
      </c>
      <c r="T438" t="s">
        <v>148</v>
      </c>
      <c r="U438" t="s">
        <v>214</v>
      </c>
      <c r="V438" t="s">
        <v>242</v>
      </c>
      <c r="W438" t="s">
        <v>70</v>
      </c>
      <c r="X438" t="s">
        <v>480</v>
      </c>
      <c r="Y438" t="s">
        <v>481</v>
      </c>
      <c r="Z438" t="s">
        <v>52</v>
      </c>
      <c r="AA438" t="s">
        <v>1680</v>
      </c>
      <c r="AB438" t="s">
        <v>3335</v>
      </c>
      <c r="AC438">
        <v>3</v>
      </c>
      <c r="AD438" t="s">
        <v>56</v>
      </c>
      <c r="AE438" t="s">
        <v>3336</v>
      </c>
      <c r="AF438" t="s">
        <v>262</v>
      </c>
      <c r="AG438" t="s">
        <v>111</v>
      </c>
      <c r="AH438" s="1">
        <v>45106</v>
      </c>
      <c r="AI438" s="1">
        <v>45111</v>
      </c>
      <c r="AJ438" s="1">
        <v>45113</v>
      </c>
      <c r="AK438" t="s">
        <v>3517</v>
      </c>
      <c r="AL438" t="s">
        <v>1679</v>
      </c>
    </row>
    <row r="439" spans="1:38" x14ac:dyDescent="0.35">
      <c r="A439" t="s">
        <v>1681</v>
      </c>
      <c r="B439" t="s">
        <v>687</v>
      </c>
      <c r="C439" t="s">
        <v>43</v>
      </c>
      <c r="D439" t="s">
        <v>630</v>
      </c>
      <c r="E439" t="s">
        <v>450</v>
      </c>
      <c r="F439" t="s">
        <v>134</v>
      </c>
      <c r="G439" t="s">
        <v>497</v>
      </c>
      <c r="H439">
        <v>51650</v>
      </c>
      <c r="I439">
        <f>Sales_Transactions_Raw[[#This Row],[Unit_Price]]*Sales_Transactions_Raw[[#This Row],[Quantity]]</f>
        <v>51650</v>
      </c>
      <c r="J439">
        <v>1</v>
      </c>
      <c r="K439">
        <v>20</v>
      </c>
      <c r="L439">
        <v>10330</v>
      </c>
      <c r="M439">
        <v>41320</v>
      </c>
      <c r="N439">
        <v>5</v>
      </c>
      <c r="O439">
        <v>2066</v>
      </c>
      <c r="P439">
        <v>0</v>
      </c>
      <c r="Q439">
        <v>43386</v>
      </c>
      <c r="R439" t="s">
        <v>48</v>
      </c>
      <c r="S439" t="s">
        <v>107</v>
      </c>
      <c r="T439" t="s">
        <v>115</v>
      </c>
      <c r="U439" t="s">
        <v>196</v>
      </c>
      <c r="V439" t="s">
        <v>177</v>
      </c>
      <c r="W439" t="s">
        <v>81</v>
      </c>
      <c r="X439" t="s">
        <v>357</v>
      </c>
      <c r="Y439" t="s">
        <v>358</v>
      </c>
      <c r="Z439" t="s">
        <v>95</v>
      </c>
      <c r="AA439" t="s">
        <v>1683</v>
      </c>
      <c r="AB439" t="s">
        <v>3339</v>
      </c>
      <c r="AC439">
        <v>4</v>
      </c>
      <c r="AD439" t="s">
        <v>56</v>
      </c>
      <c r="AE439" t="s">
        <v>3336</v>
      </c>
      <c r="AF439" t="s">
        <v>217</v>
      </c>
      <c r="AG439" t="s">
        <v>445</v>
      </c>
      <c r="AH439" s="1">
        <v>45336</v>
      </c>
      <c r="AI439" s="1">
        <v>45337</v>
      </c>
      <c r="AJ439" s="1">
        <v>45345</v>
      </c>
      <c r="AK439" t="s">
        <v>3439</v>
      </c>
      <c r="AL439" t="s">
        <v>1682</v>
      </c>
    </row>
    <row r="440" spans="1:38" x14ac:dyDescent="0.35">
      <c r="A440" t="s">
        <v>1684</v>
      </c>
      <c r="B440" t="s">
        <v>687</v>
      </c>
      <c r="C440" t="s">
        <v>43</v>
      </c>
      <c r="D440" t="s">
        <v>335</v>
      </c>
      <c r="E440" t="s">
        <v>336</v>
      </c>
      <c r="F440" t="s">
        <v>134</v>
      </c>
      <c r="G440" t="s">
        <v>135</v>
      </c>
      <c r="H440">
        <v>10510</v>
      </c>
      <c r="I440">
        <f>Sales_Transactions_Raw[[#This Row],[Unit_Price]]*Sales_Transactions_Raw[[#This Row],[Quantity]]</f>
        <v>105100</v>
      </c>
      <c r="J440">
        <v>10</v>
      </c>
      <c r="K440">
        <v>20</v>
      </c>
      <c r="L440">
        <v>21020</v>
      </c>
      <c r="M440">
        <v>84080</v>
      </c>
      <c r="N440">
        <v>5</v>
      </c>
      <c r="O440">
        <v>4204</v>
      </c>
      <c r="P440">
        <v>0</v>
      </c>
      <c r="Q440">
        <v>88284</v>
      </c>
      <c r="R440" t="s">
        <v>124</v>
      </c>
      <c r="S440" t="s">
        <v>125</v>
      </c>
      <c r="T440" t="s">
        <v>136</v>
      </c>
      <c r="U440" t="s">
        <v>196</v>
      </c>
      <c r="V440" t="s">
        <v>51</v>
      </c>
      <c r="W440" t="s">
        <v>52</v>
      </c>
      <c r="X440" t="s">
        <v>298</v>
      </c>
      <c r="Y440" t="s">
        <v>151</v>
      </c>
      <c r="Z440" t="s">
        <v>81</v>
      </c>
      <c r="AA440" t="s">
        <v>1686</v>
      </c>
      <c r="AB440" t="s">
        <v>3340</v>
      </c>
      <c r="AC440">
        <v>4</v>
      </c>
      <c r="AD440" t="s">
        <v>56</v>
      </c>
      <c r="AE440" t="s">
        <v>3336</v>
      </c>
      <c r="AF440" t="s">
        <v>84</v>
      </c>
      <c r="AG440" t="s">
        <v>3342</v>
      </c>
      <c r="AH440" s="1">
        <v>45184</v>
      </c>
      <c r="AI440" s="1">
        <v>45189</v>
      </c>
      <c r="AJ440" s="1">
        <v>45195</v>
      </c>
      <c r="AK440" t="s">
        <v>3604</v>
      </c>
      <c r="AL440" t="s">
        <v>1685</v>
      </c>
    </row>
    <row r="441" spans="1:38" x14ac:dyDescent="0.35">
      <c r="A441" t="s">
        <v>1687</v>
      </c>
      <c r="B441" t="s">
        <v>549</v>
      </c>
      <c r="C441" t="s">
        <v>43</v>
      </c>
      <c r="D441" t="s">
        <v>132</v>
      </c>
      <c r="E441" t="s">
        <v>133</v>
      </c>
      <c r="F441" t="s">
        <v>134</v>
      </c>
      <c r="G441" t="s">
        <v>135</v>
      </c>
      <c r="H441">
        <v>2900</v>
      </c>
      <c r="I441">
        <f>Sales_Transactions_Raw[[#This Row],[Unit_Price]]*Sales_Transactions_Raw[[#This Row],[Quantity]]</f>
        <v>8700</v>
      </c>
      <c r="J441">
        <v>3</v>
      </c>
      <c r="K441">
        <v>0</v>
      </c>
      <c r="L441">
        <v>0</v>
      </c>
      <c r="M441">
        <v>8700</v>
      </c>
      <c r="N441">
        <v>5</v>
      </c>
      <c r="O441">
        <v>435</v>
      </c>
      <c r="P441">
        <v>0</v>
      </c>
      <c r="Q441">
        <v>9135</v>
      </c>
      <c r="R441" t="s">
        <v>79</v>
      </c>
      <c r="S441" t="s">
        <v>107</v>
      </c>
      <c r="T441" t="s">
        <v>66</v>
      </c>
      <c r="U441" t="s">
        <v>196</v>
      </c>
      <c r="V441" t="s">
        <v>242</v>
      </c>
      <c r="W441" t="s">
        <v>70</v>
      </c>
      <c r="X441" t="s">
        <v>198</v>
      </c>
      <c r="Y441" t="s">
        <v>199</v>
      </c>
      <c r="Z441" t="s">
        <v>52</v>
      </c>
      <c r="AA441" t="s">
        <v>1689</v>
      </c>
      <c r="AB441" t="s">
        <v>3341</v>
      </c>
      <c r="AC441">
        <v>4</v>
      </c>
      <c r="AD441" t="s">
        <v>56</v>
      </c>
      <c r="AE441" t="s">
        <v>3336</v>
      </c>
      <c r="AF441" t="s">
        <v>57</v>
      </c>
      <c r="AG441" t="s">
        <v>3342</v>
      </c>
      <c r="AH441" s="1">
        <v>44969</v>
      </c>
      <c r="AI441" s="1">
        <v>44972</v>
      </c>
      <c r="AJ441" s="1">
        <v>44981</v>
      </c>
      <c r="AK441" t="s">
        <v>3542</v>
      </c>
      <c r="AL441" t="s">
        <v>1688</v>
      </c>
    </row>
    <row r="442" spans="1:38" x14ac:dyDescent="0.35">
      <c r="A442" t="s">
        <v>1690</v>
      </c>
      <c r="B442" t="s">
        <v>430</v>
      </c>
      <c r="C442" t="s">
        <v>43</v>
      </c>
      <c r="D442" t="s">
        <v>132</v>
      </c>
      <c r="E442" t="s">
        <v>133</v>
      </c>
      <c r="F442" t="s">
        <v>134</v>
      </c>
      <c r="G442" t="s">
        <v>135</v>
      </c>
      <c r="H442">
        <v>2990</v>
      </c>
      <c r="I442">
        <f>Sales_Transactions_Raw[[#This Row],[Unit_Price]]*Sales_Transactions_Raw[[#This Row],[Quantity]]</f>
        <v>5980</v>
      </c>
      <c r="J442">
        <v>2</v>
      </c>
      <c r="K442">
        <v>20</v>
      </c>
      <c r="L442">
        <v>1196</v>
      </c>
      <c r="M442">
        <v>4784</v>
      </c>
      <c r="N442">
        <v>5</v>
      </c>
      <c r="O442">
        <v>239.2</v>
      </c>
      <c r="P442">
        <v>0</v>
      </c>
      <c r="Q442">
        <v>5023.2</v>
      </c>
      <c r="R442" t="s">
        <v>92</v>
      </c>
      <c r="S442" t="s">
        <v>125</v>
      </c>
      <c r="T442" t="s">
        <v>136</v>
      </c>
      <c r="U442" t="s">
        <v>108</v>
      </c>
      <c r="V442" t="s">
        <v>276</v>
      </c>
      <c r="W442" t="s">
        <v>95</v>
      </c>
      <c r="X442" t="s">
        <v>96</v>
      </c>
      <c r="Y442" t="s">
        <v>97</v>
      </c>
      <c r="Z442" t="s">
        <v>95</v>
      </c>
      <c r="AA442" t="s">
        <v>1692</v>
      </c>
      <c r="AB442" t="s">
        <v>3335</v>
      </c>
      <c r="AC442">
        <v>3</v>
      </c>
      <c r="AD442" t="s">
        <v>56</v>
      </c>
      <c r="AE442" t="s">
        <v>3336</v>
      </c>
      <c r="AF442" t="s">
        <v>99</v>
      </c>
      <c r="AG442" t="s">
        <v>3342</v>
      </c>
      <c r="AH442" s="1">
        <v>45405</v>
      </c>
      <c r="AI442" s="1">
        <v>45407</v>
      </c>
      <c r="AJ442" s="1">
        <v>45415</v>
      </c>
      <c r="AK442" t="s">
        <v>3390</v>
      </c>
      <c r="AL442" t="s">
        <v>1691</v>
      </c>
    </row>
    <row r="443" spans="1:38" x14ac:dyDescent="0.35">
      <c r="A443" t="s">
        <v>1693</v>
      </c>
      <c r="B443" t="s">
        <v>315</v>
      </c>
      <c r="C443" t="s">
        <v>157</v>
      </c>
      <c r="D443" t="s">
        <v>183</v>
      </c>
      <c r="E443" t="s">
        <v>184</v>
      </c>
      <c r="F443" t="s">
        <v>185</v>
      </c>
      <c r="G443" t="s">
        <v>186</v>
      </c>
      <c r="H443">
        <v>120</v>
      </c>
      <c r="I443">
        <f>Sales_Transactions_Raw[[#This Row],[Unit_Price]]*Sales_Transactions_Raw[[#This Row],[Quantity]]</f>
        <v>840</v>
      </c>
      <c r="J443">
        <v>7</v>
      </c>
      <c r="K443">
        <v>10</v>
      </c>
      <c r="L443">
        <v>84</v>
      </c>
      <c r="M443">
        <v>756</v>
      </c>
      <c r="N443">
        <v>5</v>
      </c>
      <c r="O443">
        <v>37.799999999999997</v>
      </c>
      <c r="P443">
        <v>99</v>
      </c>
      <c r="Q443">
        <v>793.8</v>
      </c>
      <c r="R443" t="s">
        <v>160</v>
      </c>
      <c r="S443" t="s">
        <v>65</v>
      </c>
      <c r="T443" t="s">
        <v>136</v>
      </c>
      <c r="U443" t="s">
        <v>50</v>
      </c>
      <c r="V443" t="s">
        <v>94</v>
      </c>
      <c r="W443" t="s">
        <v>95</v>
      </c>
      <c r="X443" t="s">
        <v>469</v>
      </c>
      <c r="Y443" t="s">
        <v>244</v>
      </c>
      <c r="Z443" t="s">
        <v>70</v>
      </c>
      <c r="AA443" t="s">
        <v>1695</v>
      </c>
      <c r="AB443" t="s">
        <v>3335</v>
      </c>
      <c r="AC443">
        <v>4</v>
      </c>
      <c r="AD443" t="s">
        <v>56</v>
      </c>
      <c r="AE443" t="s">
        <v>3336</v>
      </c>
      <c r="AF443" t="s">
        <v>84</v>
      </c>
      <c r="AG443" t="s">
        <v>3342</v>
      </c>
      <c r="AH443" s="1">
        <v>45065</v>
      </c>
      <c r="AI443" s="1">
        <v>45067</v>
      </c>
      <c r="AJ443" s="1">
        <v>45071</v>
      </c>
      <c r="AK443" t="s">
        <v>3373</v>
      </c>
      <c r="AL443" t="s">
        <v>1694</v>
      </c>
    </row>
    <row r="444" spans="1:38" x14ac:dyDescent="0.35">
      <c r="A444" t="s">
        <v>1696</v>
      </c>
      <c r="B444" t="s">
        <v>581</v>
      </c>
      <c r="C444" t="s">
        <v>43</v>
      </c>
      <c r="D444" t="s">
        <v>323</v>
      </c>
      <c r="E444" t="s">
        <v>324</v>
      </c>
      <c r="F444" t="s">
        <v>146</v>
      </c>
      <c r="G444" t="s">
        <v>296</v>
      </c>
      <c r="H444">
        <v>29347.846790890268</v>
      </c>
      <c r="I444">
        <f>Sales_Transactions_Raw[[#This Row],[Unit_Price]]*Sales_Transactions_Raw[[#This Row],[Quantity]]</f>
        <v>146739.23395445134</v>
      </c>
      <c r="J444">
        <v>5</v>
      </c>
      <c r="K444">
        <v>0</v>
      </c>
      <c r="L444">
        <v>0</v>
      </c>
      <c r="M444">
        <v>54100</v>
      </c>
      <c r="N444">
        <v>12</v>
      </c>
      <c r="O444">
        <v>6492</v>
      </c>
      <c r="P444">
        <v>0</v>
      </c>
      <c r="Q444">
        <v>60592</v>
      </c>
      <c r="R444" t="s">
        <v>64</v>
      </c>
      <c r="S444" t="s">
        <v>65</v>
      </c>
      <c r="T444" t="s">
        <v>213</v>
      </c>
      <c r="U444" t="s">
        <v>161</v>
      </c>
      <c r="V444" t="s">
        <v>276</v>
      </c>
      <c r="W444" t="s">
        <v>95</v>
      </c>
      <c r="X444" t="s">
        <v>137</v>
      </c>
      <c r="Y444" t="s">
        <v>138</v>
      </c>
      <c r="Z444" t="s">
        <v>81</v>
      </c>
      <c r="AA444" t="s">
        <v>1698</v>
      </c>
      <c r="AB444" t="s">
        <v>3341</v>
      </c>
      <c r="AC444">
        <v>5</v>
      </c>
      <c r="AD444" t="s">
        <v>179</v>
      </c>
      <c r="AE444" t="s">
        <v>180</v>
      </c>
      <c r="AF444" t="s">
        <v>153</v>
      </c>
      <c r="AG444" t="s">
        <v>85</v>
      </c>
      <c r="AH444" s="1">
        <v>45327</v>
      </c>
      <c r="AI444" s="1">
        <v>45329</v>
      </c>
      <c r="AJ444" s="1">
        <v>45333</v>
      </c>
      <c r="AK444" t="s">
        <v>3417</v>
      </c>
      <c r="AL444" t="s">
        <v>1697</v>
      </c>
    </row>
    <row r="445" spans="1:38" x14ac:dyDescent="0.35">
      <c r="A445" t="s">
        <v>1699</v>
      </c>
      <c r="B445" t="s">
        <v>699</v>
      </c>
      <c r="C445" t="s">
        <v>157</v>
      </c>
      <c r="D445" t="s">
        <v>266</v>
      </c>
      <c r="E445" t="s">
        <v>267</v>
      </c>
      <c r="F445" t="s">
        <v>211</v>
      </c>
      <c r="G445" t="s">
        <v>268</v>
      </c>
      <c r="H445">
        <v>59210</v>
      </c>
      <c r="I445">
        <f>Sales_Transactions_Raw[[#This Row],[Unit_Price]]*Sales_Transactions_Raw[[#This Row],[Quantity]]</f>
        <v>177630</v>
      </c>
      <c r="J445">
        <v>3</v>
      </c>
      <c r="K445">
        <v>5</v>
      </c>
      <c r="L445">
        <v>8881.5</v>
      </c>
      <c r="M445">
        <v>168748.5</v>
      </c>
      <c r="N445">
        <v>5</v>
      </c>
      <c r="O445">
        <v>8437.42</v>
      </c>
      <c r="P445">
        <v>0</v>
      </c>
      <c r="Q445">
        <v>177185.92000000001</v>
      </c>
      <c r="R445" t="s">
        <v>160</v>
      </c>
      <c r="S445" t="s">
        <v>49</v>
      </c>
      <c r="T445" t="s">
        <v>719</v>
      </c>
      <c r="U445" t="s">
        <v>108</v>
      </c>
      <c r="V445" t="s">
        <v>242</v>
      </c>
      <c r="W445" t="s">
        <v>70</v>
      </c>
      <c r="X445" t="s">
        <v>515</v>
      </c>
      <c r="Y445" t="s">
        <v>82</v>
      </c>
      <c r="Z445" t="s">
        <v>52</v>
      </c>
      <c r="AA445" t="s">
        <v>1701</v>
      </c>
      <c r="AB445" t="s">
        <v>3335</v>
      </c>
      <c r="AC445">
        <v>3</v>
      </c>
      <c r="AD445" t="s">
        <v>56</v>
      </c>
      <c r="AE445" t="s">
        <v>3336</v>
      </c>
      <c r="AF445" t="s">
        <v>99</v>
      </c>
      <c r="AG445" t="s">
        <v>111</v>
      </c>
      <c r="AH445" s="1">
        <v>44946</v>
      </c>
      <c r="AI445" s="1">
        <v>44947</v>
      </c>
      <c r="AJ445" s="1">
        <v>44953</v>
      </c>
      <c r="AK445" t="s">
        <v>3605</v>
      </c>
      <c r="AL445" t="s">
        <v>1700</v>
      </c>
    </row>
    <row r="446" spans="1:38" x14ac:dyDescent="0.35">
      <c r="A446" t="s">
        <v>1702</v>
      </c>
      <c r="B446" t="s">
        <v>581</v>
      </c>
      <c r="C446" t="s">
        <v>43</v>
      </c>
      <c r="D446" t="s">
        <v>274</v>
      </c>
      <c r="E446" t="s">
        <v>275</v>
      </c>
      <c r="F446" t="s">
        <v>211</v>
      </c>
      <c r="G446" t="s">
        <v>268</v>
      </c>
      <c r="H446">
        <v>15660</v>
      </c>
      <c r="I446">
        <f>Sales_Transactions_Raw[[#This Row],[Unit_Price]]*Sales_Transactions_Raw[[#This Row],[Quantity]]</f>
        <v>125280</v>
      </c>
      <c r="J446">
        <v>8</v>
      </c>
      <c r="K446">
        <v>0</v>
      </c>
      <c r="L446">
        <v>0</v>
      </c>
      <c r="M446">
        <v>125280</v>
      </c>
      <c r="N446">
        <v>5</v>
      </c>
      <c r="O446">
        <v>6264</v>
      </c>
      <c r="P446">
        <v>0</v>
      </c>
      <c r="Q446">
        <v>131544</v>
      </c>
      <c r="R446" t="s">
        <v>160</v>
      </c>
      <c r="S446" t="s">
        <v>49</v>
      </c>
      <c r="T446" t="s">
        <v>115</v>
      </c>
      <c r="U446" t="s">
        <v>161</v>
      </c>
      <c r="V446" t="s">
        <v>67</v>
      </c>
      <c r="W446" t="s">
        <v>68</v>
      </c>
      <c r="X446" t="s">
        <v>362</v>
      </c>
      <c r="Y446" t="s">
        <v>118</v>
      </c>
      <c r="Z446" t="s">
        <v>70</v>
      </c>
      <c r="AA446" t="s">
        <v>1704</v>
      </c>
      <c r="AB446" t="s">
        <v>3335</v>
      </c>
      <c r="AC446">
        <v>2</v>
      </c>
      <c r="AD446" t="s">
        <v>56</v>
      </c>
      <c r="AE446" t="s">
        <v>3336</v>
      </c>
      <c r="AF446" t="s">
        <v>84</v>
      </c>
      <c r="AG446" t="s">
        <v>58</v>
      </c>
      <c r="AH446" s="1">
        <v>45450</v>
      </c>
      <c r="AI446" s="1">
        <v>45451</v>
      </c>
      <c r="AJ446" s="1">
        <v>45458</v>
      </c>
      <c r="AK446" t="s">
        <v>3417</v>
      </c>
      <c r="AL446" t="s">
        <v>1703</v>
      </c>
    </row>
    <row r="447" spans="1:38" x14ac:dyDescent="0.35">
      <c r="A447" t="s">
        <v>1705</v>
      </c>
      <c r="B447" t="s">
        <v>74</v>
      </c>
      <c r="C447" t="s">
        <v>43</v>
      </c>
      <c r="D447" t="s">
        <v>466</v>
      </c>
      <c r="E447" t="s">
        <v>467</v>
      </c>
      <c r="F447" t="s">
        <v>185</v>
      </c>
      <c r="G447" t="s">
        <v>468</v>
      </c>
      <c r="H447">
        <v>600</v>
      </c>
      <c r="I447">
        <f>Sales_Transactions_Raw[[#This Row],[Unit_Price]]*Sales_Transactions_Raw[[#This Row],[Quantity]]</f>
        <v>600</v>
      </c>
      <c r="J447">
        <v>1</v>
      </c>
      <c r="K447">
        <v>10</v>
      </c>
      <c r="L447">
        <v>60</v>
      </c>
      <c r="M447">
        <v>540</v>
      </c>
      <c r="N447">
        <v>5</v>
      </c>
      <c r="O447">
        <v>27</v>
      </c>
      <c r="P447">
        <v>49</v>
      </c>
      <c r="Q447">
        <v>567</v>
      </c>
      <c r="R447" t="s">
        <v>79</v>
      </c>
      <c r="S447" t="s">
        <v>93</v>
      </c>
      <c r="T447" t="s">
        <v>115</v>
      </c>
      <c r="U447" t="s">
        <v>108</v>
      </c>
      <c r="V447" t="s">
        <v>276</v>
      </c>
      <c r="W447" t="s">
        <v>696</v>
      </c>
      <c r="X447" t="s">
        <v>626</v>
      </c>
      <c r="Y447" t="s">
        <v>289</v>
      </c>
      <c r="Z447" t="s">
        <v>52</v>
      </c>
      <c r="AA447" t="s">
        <v>1707</v>
      </c>
      <c r="AB447" t="s">
        <v>3335</v>
      </c>
      <c r="AC447">
        <v>4</v>
      </c>
      <c r="AD447" t="s">
        <v>56</v>
      </c>
      <c r="AE447" t="s">
        <v>3336</v>
      </c>
      <c r="AF447" t="s">
        <v>140</v>
      </c>
      <c r="AG447" t="s">
        <v>58</v>
      </c>
      <c r="AH447" s="1">
        <v>45039</v>
      </c>
      <c r="AI447" s="1">
        <v>45041</v>
      </c>
      <c r="AJ447" s="1">
        <v>45050</v>
      </c>
      <c r="AK447" t="s">
        <v>3347</v>
      </c>
      <c r="AL447" t="s">
        <v>1706</v>
      </c>
    </row>
    <row r="448" spans="1:38" x14ac:dyDescent="0.35">
      <c r="A448" t="s">
        <v>1708</v>
      </c>
      <c r="B448" t="s">
        <v>457</v>
      </c>
      <c r="C448" t="s">
        <v>43</v>
      </c>
      <c r="D448" t="s">
        <v>323</v>
      </c>
      <c r="E448" t="s">
        <v>324</v>
      </c>
      <c r="F448" t="s">
        <v>146</v>
      </c>
      <c r="G448" t="s">
        <v>296</v>
      </c>
      <c r="H448">
        <v>10350</v>
      </c>
      <c r="I448">
        <f>Sales_Transactions_Raw[[#This Row],[Unit_Price]]*Sales_Transactions_Raw[[#This Row],[Quantity]]</f>
        <v>20700</v>
      </c>
      <c r="J448">
        <v>2</v>
      </c>
      <c r="K448">
        <v>15</v>
      </c>
      <c r="L448">
        <v>3105</v>
      </c>
      <c r="M448">
        <v>17595</v>
      </c>
      <c r="N448">
        <v>12</v>
      </c>
      <c r="O448">
        <v>2111.4</v>
      </c>
      <c r="P448">
        <v>0</v>
      </c>
      <c r="Q448">
        <v>19706.400000000001</v>
      </c>
      <c r="R448" t="s">
        <v>92</v>
      </c>
      <c r="S448" t="s">
        <v>49</v>
      </c>
      <c r="T448" t="s">
        <v>115</v>
      </c>
      <c r="U448" t="s">
        <v>196</v>
      </c>
      <c r="V448" t="s">
        <v>67</v>
      </c>
      <c r="W448" t="s">
        <v>68</v>
      </c>
      <c r="X448" t="s">
        <v>357</v>
      </c>
      <c r="Y448" t="s">
        <v>358</v>
      </c>
      <c r="Z448" t="s">
        <v>95</v>
      </c>
      <c r="AA448" t="s">
        <v>1710</v>
      </c>
      <c r="AB448" t="s">
        <v>3339</v>
      </c>
      <c r="AC448">
        <v>3</v>
      </c>
      <c r="AD448" t="s">
        <v>56</v>
      </c>
      <c r="AE448" t="s">
        <v>3336</v>
      </c>
      <c r="AF448" t="s">
        <v>84</v>
      </c>
      <c r="AG448" t="s">
        <v>3342</v>
      </c>
      <c r="AH448" s="1">
        <v>44987</v>
      </c>
      <c r="AI448" s="1">
        <v>44989</v>
      </c>
      <c r="AJ448" s="1">
        <v>44997</v>
      </c>
      <c r="AK448" t="s">
        <v>3606</v>
      </c>
      <c r="AL448" t="s">
        <v>1709</v>
      </c>
    </row>
    <row r="449" spans="1:38" x14ac:dyDescent="0.35">
      <c r="A449" t="s">
        <v>1711</v>
      </c>
      <c r="B449" t="s">
        <v>1286</v>
      </c>
      <c r="C449" t="s">
        <v>43</v>
      </c>
      <c r="D449" t="s">
        <v>221</v>
      </c>
      <c r="E449" t="s">
        <v>222</v>
      </c>
      <c r="F449" t="s">
        <v>146</v>
      </c>
      <c r="G449" t="s">
        <v>223</v>
      </c>
      <c r="H449">
        <v>2690</v>
      </c>
      <c r="I449">
        <f>Sales_Transactions_Raw[[#This Row],[Unit_Price]]*Sales_Transactions_Raw[[#This Row],[Quantity]]</f>
        <v>2690</v>
      </c>
      <c r="J449">
        <v>1</v>
      </c>
      <c r="K449">
        <v>10</v>
      </c>
      <c r="L449">
        <v>269</v>
      </c>
      <c r="M449">
        <v>2421</v>
      </c>
      <c r="N449">
        <v>12</v>
      </c>
      <c r="O449">
        <v>290.52</v>
      </c>
      <c r="P449">
        <v>149</v>
      </c>
      <c r="Q449">
        <v>2711.52</v>
      </c>
      <c r="R449" t="s">
        <v>124</v>
      </c>
      <c r="S449" t="s">
        <v>107</v>
      </c>
      <c r="T449" t="s">
        <v>115</v>
      </c>
      <c r="U449" t="s">
        <v>50</v>
      </c>
      <c r="V449" t="s">
        <v>242</v>
      </c>
      <c r="W449" t="s">
        <v>70</v>
      </c>
      <c r="X449" t="s">
        <v>611</v>
      </c>
      <c r="Y449" t="s">
        <v>97</v>
      </c>
      <c r="Z449" t="s">
        <v>95</v>
      </c>
      <c r="AA449" t="s">
        <v>1713</v>
      </c>
      <c r="AB449" t="s">
        <v>3343</v>
      </c>
      <c r="AC449">
        <v>4</v>
      </c>
      <c r="AD449" t="s">
        <v>56</v>
      </c>
      <c r="AE449" t="s">
        <v>3336</v>
      </c>
      <c r="AF449" t="s">
        <v>84</v>
      </c>
      <c r="AG449" t="s">
        <v>58</v>
      </c>
      <c r="AH449" s="1">
        <v>45423</v>
      </c>
      <c r="AI449" s="1">
        <v>45430</v>
      </c>
      <c r="AJ449" s="1">
        <v>45434</v>
      </c>
      <c r="AK449" t="s">
        <v>3607</v>
      </c>
      <c r="AL449" t="s">
        <v>1712</v>
      </c>
    </row>
    <row r="450" spans="1:38" x14ac:dyDescent="0.35">
      <c r="A450" t="s">
        <v>1714</v>
      </c>
      <c r="B450" t="s">
        <v>1036</v>
      </c>
      <c r="C450" t="s">
        <v>43</v>
      </c>
      <c r="D450" t="s">
        <v>122</v>
      </c>
      <c r="E450" t="s">
        <v>123</v>
      </c>
      <c r="F450" t="s">
        <v>46</v>
      </c>
      <c r="G450" t="s">
        <v>63</v>
      </c>
      <c r="H450">
        <v>54800</v>
      </c>
      <c r="I450">
        <f>Sales_Transactions_Raw[[#This Row],[Unit_Price]]*Sales_Transactions_Raw[[#This Row],[Quantity]]</f>
        <v>164400</v>
      </c>
      <c r="J450">
        <v>3</v>
      </c>
      <c r="K450">
        <v>0</v>
      </c>
      <c r="L450">
        <v>0</v>
      </c>
      <c r="M450">
        <v>164400</v>
      </c>
      <c r="N450">
        <v>18</v>
      </c>
      <c r="O450">
        <v>29592</v>
      </c>
      <c r="P450">
        <v>0</v>
      </c>
      <c r="Q450">
        <v>193992</v>
      </c>
      <c r="R450" t="s">
        <v>79</v>
      </c>
      <c r="S450" t="s">
        <v>65</v>
      </c>
      <c r="T450" t="s">
        <v>115</v>
      </c>
      <c r="U450" t="s">
        <v>196</v>
      </c>
      <c r="V450" t="s">
        <v>51</v>
      </c>
      <c r="W450" t="s">
        <v>52</v>
      </c>
      <c r="X450" t="s">
        <v>599</v>
      </c>
      <c r="Y450" t="s">
        <v>319</v>
      </c>
      <c r="Z450" t="s">
        <v>95</v>
      </c>
      <c r="AA450" t="s">
        <v>1716</v>
      </c>
      <c r="AB450" t="s">
        <v>3338</v>
      </c>
      <c r="AC450">
        <v>4</v>
      </c>
      <c r="AD450" t="s">
        <v>179</v>
      </c>
      <c r="AE450" t="s">
        <v>206</v>
      </c>
      <c r="AF450" t="s">
        <v>164</v>
      </c>
      <c r="AG450" t="s">
        <v>111</v>
      </c>
      <c r="AH450" s="1">
        <v>45467</v>
      </c>
      <c r="AI450" s="1">
        <v>45473</v>
      </c>
      <c r="AJ450" s="1">
        <v>45478</v>
      </c>
      <c r="AK450" t="s">
        <v>3602</v>
      </c>
      <c r="AL450" t="s">
        <v>1715</v>
      </c>
    </row>
    <row r="451" spans="1:38" x14ac:dyDescent="0.35">
      <c r="A451" t="s">
        <v>1717</v>
      </c>
      <c r="B451" t="s">
        <v>235</v>
      </c>
      <c r="C451" t="s">
        <v>43</v>
      </c>
      <c r="D451" t="s">
        <v>367</v>
      </c>
      <c r="E451" t="s">
        <v>368</v>
      </c>
      <c r="F451" t="s">
        <v>46</v>
      </c>
      <c r="G451" t="s">
        <v>369</v>
      </c>
      <c r="H451">
        <v>30210</v>
      </c>
      <c r="I451">
        <f>Sales_Transactions_Raw[[#This Row],[Unit_Price]]*Sales_Transactions_Raw[[#This Row],[Quantity]]</f>
        <v>241680</v>
      </c>
      <c r="J451">
        <v>8</v>
      </c>
      <c r="K451">
        <v>5</v>
      </c>
      <c r="L451">
        <v>12084</v>
      </c>
      <c r="M451">
        <v>229596</v>
      </c>
      <c r="N451">
        <v>18</v>
      </c>
      <c r="O451">
        <v>41327.279999999999</v>
      </c>
      <c r="P451">
        <v>0</v>
      </c>
      <c r="Q451">
        <v>270923.28000000003</v>
      </c>
      <c r="R451" t="s">
        <v>79</v>
      </c>
      <c r="S451" t="s">
        <v>107</v>
      </c>
      <c r="T451" t="s">
        <v>213</v>
      </c>
      <c r="U451" t="s">
        <v>196</v>
      </c>
      <c r="V451" t="s">
        <v>80</v>
      </c>
      <c r="W451" t="s">
        <v>81</v>
      </c>
      <c r="X451" t="s">
        <v>381</v>
      </c>
      <c r="Y451" t="s">
        <v>199</v>
      </c>
      <c r="Z451" t="s">
        <v>52</v>
      </c>
      <c r="AA451" t="s">
        <v>1719</v>
      </c>
      <c r="AB451" t="s">
        <v>3335</v>
      </c>
      <c r="AC451">
        <v>5</v>
      </c>
      <c r="AD451" t="s">
        <v>179</v>
      </c>
      <c r="AE451" t="s">
        <v>3336</v>
      </c>
      <c r="AF451" t="s">
        <v>217</v>
      </c>
      <c r="AG451" t="s">
        <v>58</v>
      </c>
      <c r="AH451" s="1">
        <v>45166</v>
      </c>
      <c r="AI451" s="1">
        <v>45169</v>
      </c>
      <c r="AJ451" s="1">
        <v>45174</v>
      </c>
      <c r="AK451" t="s">
        <v>3409</v>
      </c>
      <c r="AL451" t="s">
        <v>1718</v>
      </c>
    </row>
    <row r="452" spans="1:38" x14ac:dyDescent="0.35">
      <c r="A452" t="s">
        <v>1720</v>
      </c>
      <c r="B452" t="s">
        <v>842</v>
      </c>
      <c r="C452" t="s">
        <v>89</v>
      </c>
      <c r="D452" t="s">
        <v>317</v>
      </c>
      <c r="E452" t="s">
        <v>77</v>
      </c>
      <c r="F452" t="s">
        <v>46</v>
      </c>
      <c r="G452" t="s">
        <v>176</v>
      </c>
      <c r="H452">
        <v>29940</v>
      </c>
      <c r="I452">
        <f>Sales_Transactions_Raw[[#This Row],[Unit_Price]]*Sales_Transactions_Raw[[#This Row],[Quantity]]</f>
        <v>29940</v>
      </c>
      <c r="J452">
        <v>1</v>
      </c>
      <c r="K452">
        <v>0</v>
      </c>
      <c r="L452">
        <v>0</v>
      </c>
      <c r="M452">
        <v>29940</v>
      </c>
      <c r="N452">
        <v>18</v>
      </c>
      <c r="O452">
        <v>5389.2</v>
      </c>
      <c r="P452">
        <v>0</v>
      </c>
      <c r="Q452">
        <v>35329.199999999997</v>
      </c>
      <c r="R452" t="s">
        <v>124</v>
      </c>
      <c r="S452" t="s">
        <v>125</v>
      </c>
      <c r="T452" t="s">
        <v>115</v>
      </c>
      <c r="U452" t="s">
        <v>108</v>
      </c>
      <c r="V452" t="s">
        <v>224</v>
      </c>
      <c r="W452" t="s">
        <v>95</v>
      </c>
      <c r="X452" t="s">
        <v>215</v>
      </c>
      <c r="Y452" t="s">
        <v>169</v>
      </c>
      <c r="Z452" t="s">
        <v>95</v>
      </c>
      <c r="AA452" t="s">
        <v>1722</v>
      </c>
      <c r="AB452" t="s">
        <v>3341</v>
      </c>
      <c r="AC452">
        <v>3</v>
      </c>
      <c r="AD452" t="s">
        <v>56</v>
      </c>
      <c r="AE452" t="s">
        <v>3336</v>
      </c>
      <c r="AF452" t="s">
        <v>72</v>
      </c>
      <c r="AG452" t="s">
        <v>85</v>
      </c>
      <c r="AH452" s="1">
        <v>45250</v>
      </c>
      <c r="AI452" s="1">
        <v>45257</v>
      </c>
      <c r="AJ452" s="1">
        <v>45174</v>
      </c>
      <c r="AK452" t="s">
        <v>3482</v>
      </c>
      <c r="AL452" t="s">
        <v>1721</v>
      </c>
    </row>
    <row r="453" spans="1:38" x14ac:dyDescent="0.35">
      <c r="A453" t="s">
        <v>1723</v>
      </c>
      <c r="B453" t="s">
        <v>315</v>
      </c>
      <c r="C453" t="s">
        <v>43</v>
      </c>
      <c r="D453" t="s">
        <v>132</v>
      </c>
      <c r="E453" t="s">
        <v>133</v>
      </c>
      <c r="F453" t="s">
        <v>134</v>
      </c>
      <c r="G453" t="s">
        <v>135</v>
      </c>
      <c r="H453">
        <v>2880</v>
      </c>
      <c r="I453">
        <f>Sales_Transactions_Raw[[#This Row],[Unit_Price]]*Sales_Transactions_Raw[[#This Row],[Quantity]]</f>
        <v>28800</v>
      </c>
      <c r="J453">
        <v>10</v>
      </c>
      <c r="K453">
        <v>20</v>
      </c>
      <c r="L453">
        <v>5760</v>
      </c>
      <c r="M453">
        <v>23040</v>
      </c>
      <c r="N453">
        <v>5</v>
      </c>
      <c r="O453">
        <v>1152</v>
      </c>
      <c r="P453">
        <v>0</v>
      </c>
      <c r="Q453">
        <v>24192</v>
      </c>
      <c r="R453" t="s">
        <v>79</v>
      </c>
      <c r="S453" t="s">
        <v>93</v>
      </c>
      <c r="T453" t="s">
        <v>719</v>
      </c>
      <c r="U453" t="s">
        <v>214</v>
      </c>
      <c r="V453" t="s">
        <v>116</v>
      </c>
      <c r="W453" t="s">
        <v>70</v>
      </c>
      <c r="X453" t="s">
        <v>599</v>
      </c>
      <c r="Y453" t="s">
        <v>319</v>
      </c>
      <c r="Z453" t="s">
        <v>95</v>
      </c>
      <c r="AA453" t="s">
        <v>1725</v>
      </c>
      <c r="AB453" t="s">
        <v>3335</v>
      </c>
      <c r="AC453">
        <v>4</v>
      </c>
      <c r="AD453" t="s">
        <v>56</v>
      </c>
      <c r="AE453" t="s">
        <v>3336</v>
      </c>
      <c r="AF453" t="s">
        <v>262</v>
      </c>
      <c r="AG453" t="s">
        <v>3337</v>
      </c>
      <c r="AH453" s="1">
        <v>45000</v>
      </c>
      <c r="AI453" s="1">
        <v>45007</v>
      </c>
      <c r="AJ453" s="1">
        <v>45016</v>
      </c>
      <c r="AK453" t="s">
        <v>3373</v>
      </c>
      <c r="AL453" t="s">
        <v>1724</v>
      </c>
    </row>
    <row r="454" spans="1:38" x14ac:dyDescent="0.35">
      <c r="A454" t="s">
        <v>1726</v>
      </c>
      <c r="B454" t="s">
        <v>155</v>
      </c>
      <c r="C454" t="s">
        <v>157</v>
      </c>
      <c r="D454" t="s">
        <v>630</v>
      </c>
      <c r="E454" t="s">
        <v>450</v>
      </c>
      <c r="F454" t="s">
        <v>134</v>
      </c>
      <c r="G454" t="s">
        <v>497</v>
      </c>
      <c r="H454">
        <v>48350</v>
      </c>
      <c r="I454">
        <f>Sales_Transactions_Raw[[#This Row],[Unit_Price]]*Sales_Transactions_Raw[[#This Row],[Quantity]]</f>
        <v>241750</v>
      </c>
      <c r="J454">
        <v>5</v>
      </c>
      <c r="K454">
        <v>0</v>
      </c>
      <c r="L454">
        <v>0</v>
      </c>
      <c r="M454">
        <v>241750</v>
      </c>
      <c r="N454">
        <v>5</v>
      </c>
      <c r="O454">
        <v>12087.5</v>
      </c>
      <c r="P454">
        <v>0</v>
      </c>
      <c r="Q454">
        <v>253837.5</v>
      </c>
      <c r="R454" t="s">
        <v>79</v>
      </c>
      <c r="S454" t="s">
        <v>49</v>
      </c>
      <c r="T454" t="s">
        <v>136</v>
      </c>
      <c r="U454" t="s">
        <v>50</v>
      </c>
      <c r="V454" t="s">
        <v>116</v>
      </c>
      <c r="W454" t="s">
        <v>70</v>
      </c>
      <c r="X454" t="s">
        <v>611</v>
      </c>
      <c r="Y454" t="s">
        <v>97</v>
      </c>
      <c r="Z454" t="s">
        <v>95</v>
      </c>
      <c r="AA454" t="s">
        <v>1728</v>
      </c>
      <c r="AB454" t="s">
        <v>3335</v>
      </c>
      <c r="AC454">
        <v>3</v>
      </c>
      <c r="AD454" t="s">
        <v>56</v>
      </c>
      <c r="AE454" t="s">
        <v>3336</v>
      </c>
      <c r="AF454" t="s">
        <v>164</v>
      </c>
      <c r="AG454" t="s">
        <v>58</v>
      </c>
      <c r="AH454" s="1">
        <v>45209</v>
      </c>
      <c r="AI454" s="1">
        <v>45210</v>
      </c>
      <c r="AJ454" s="1">
        <v>45215</v>
      </c>
      <c r="AK454" t="s">
        <v>3608</v>
      </c>
      <c r="AL454" t="s">
        <v>1727</v>
      </c>
    </row>
    <row r="455" spans="1:38" x14ac:dyDescent="0.35">
      <c r="A455" t="s">
        <v>1151</v>
      </c>
      <c r="B455" t="s">
        <v>948</v>
      </c>
      <c r="C455" t="s">
        <v>157</v>
      </c>
      <c r="D455" t="s">
        <v>283</v>
      </c>
      <c r="E455" t="s">
        <v>284</v>
      </c>
      <c r="F455" t="s">
        <v>285</v>
      </c>
      <c r="G455" t="s">
        <v>286</v>
      </c>
      <c r="H455">
        <v>450</v>
      </c>
      <c r="I455">
        <f>Sales_Transactions_Raw[[#This Row],[Unit_Price]]*Sales_Transactions_Raw[[#This Row],[Quantity]]</f>
        <v>4500</v>
      </c>
      <c r="J455">
        <v>10</v>
      </c>
      <c r="K455">
        <v>25</v>
      </c>
      <c r="L455">
        <v>1125</v>
      </c>
      <c r="M455">
        <v>3375</v>
      </c>
      <c r="N455">
        <v>5</v>
      </c>
      <c r="O455">
        <v>168.75</v>
      </c>
      <c r="P455">
        <v>49</v>
      </c>
      <c r="Q455">
        <v>3543.75</v>
      </c>
      <c r="R455" t="s">
        <v>79</v>
      </c>
      <c r="S455" t="s">
        <v>65</v>
      </c>
      <c r="T455" t="s">
        <v>66</v>
      </c>
      <c r="U455" t="s">
        <v>50</v>
      </c>
      <c r="V455" t="s">
        <v>67</v>
      </c>
      <c r="W455" t="s">
        <v>68</v>
      </c>
      <c r="X455" t="s">
        <v>187</v>
      </c>
      <c r="Y455" t="s">
        <v>188</v>
      </c>
      <c r="Z455" t="s">
        <v>68</v>
      </c>
      <c r="AA455" t="s">
        <v>1730</v>
      </c>
      <c r="AB455" t="s">
        <v>3335</v>
      </c>
      <c r="AC455">
        <v>4</v>
      </c>
      <c r="AD455" t="s">
        <v>56</v>
      </c>
      <c r="AE455" t="s">
        <v>3336</v>
      </c>
      <c r="AF455" t="s">
        <v>279</v>
      </c>
      <c r="AG455" t="s">
        <v>111</v>
      </c>
      <c r="AH455" s="1">
        <v>45369</v>
      </c>
      <c r="AI455" s="1">
        <v>45373</v>
      </c>
      <c r="AJ455" s="1">
        <v>45375</v>
      </c>
      <c r="AK455" t="s">
        <v>3609</v>
      </c>
      <c r="AL455" t="s">
        <v>1729</v>
      </c>
    </row>
    <row r="456" spans="1:38" x14ac:dyDescent="0.35">
      <c r="A456" t="s">
        <v>1731</v>
      </c>
      <c r="B456" t="s">
        <v>920</v>
      </c>
      <c r="C456" t="s">
        <v>43</v>
      </c>
      <c r="D456" t="s">
        <v>44</v>
      </c>
      <c r="E456" t="s">
        <v>45</v>
      </c>
      <c r="F456" t="s">
        <v>46</v>
      </c>
      <c r="G456" t="s">
        <v>47</v>
      </c>
      <c r="H456">
        <v>11610</v>
      </c>
      <c r="I456">
        <f>Sales_Transactions_Raw[[#This Row],[Unit_Price]]*Sales_Transactions_Raw[[#This Row],[Quantity]]</f>
        <v>104490</v>
      </c>
      <c r="J456">
        <v>9</v>
      </c>
      <c r="K456">
        <v>10</v>
      </c>
      <c r="L456">
        <v>10449</v>
      </c>
      <c r="M456">
        <v>94041</v>
      </c>
      <c r="N456">
        <v>18</v>
      </c>
      <c r="O456">
        <v>16927.38</v>
      </c>
      <c r="P456">
        <v>0</v>
      </c>
      <c r="Q456">
        <v>110968.38</v>
      </c>
      <c r="R456" t="s">
        <v>106</v>
      </c>
      <c r="S456" t="s">
        <v>49</v>
      </c>
      <c r="T456" t="s">
        <v>213</v>
      </c>
      <c r="U456" t="s">
        <v>214</v>
      </c>
      <c r="V456" t="s">
        <v>149</v>
      </c>
      <c r="W456" t="s">
        <v>81</v>
      </c>
      <c r="X456" t="s">
        <v>318</v>
      </c>
      <c r="Y456" t="s">
        <v>319</v>
      </c>
      <c r="Z456" t="s">
        <v>95</v>
      </c>
      <c r="AA456" t="s">
        <v>1733</v>
      </c>
      <c r="AB456" t="s">
        <v>3340</v>
      </c>
      <c r="AC456">
        <v>3</v>
      </c>
      <c r="AD456" t="s">
        <v>179</v>
      </c>
      <c r="AE456" t="s">
        <v>818</v>
      </c>
      <c r="AF456" t="s">
        <v>140</v>
      </c>
      <c r="AG456" t="s">
        <v>111</v>
      </c>
      <c r="AH456" s="1">
        <v>45212</v>
      </c>
      <c r="AI456" s="1">
        <v>45215</v>
      </c>
      <c r="AJ456" s="1">
        <v>45224</v>
      </c>
      <c r="AK456" t="s">
        <v>3610</v>
      </c>
      <c r="AL456" t="s">
        <v>1732</v>
      </c>
    </row>
    <row r="457" spans="1:38" x14ac:dyDescent="0.35">
      <c r="A457" t="s">
        <v>1734</v>
      </c>
      <c r="B457" t="s">
        <v>513</v>
      </c>
      <c r="C457" t="s">
        <v>43</v>
      </c>
      <c r="D457" t="s">
        <v>406</v>
      </c>
      <c r="E457" t="s">
        <v>231</v>
      </c>
      <c r="F457" t="s">
        <v>46</v>
      </c>
      <c r="G457" t="s">
        <v>369</v>
      </c>
      <c r="H457">
        <v>91920</v>
      </c>
      <c r="I457">
        <f>Sales_Transactions_Raw[[#This Row],[Unit_Price]]*Sales_Transactions_Raw[[#This Row],[Quantity]]</f>
        <v>91920</v>
      </c>
      <c r="J457">
        <v>1</v>
      </c>
      <c r="K457">
        <v>0</v>
      </c>
      <c r="L457">
        <v>0</v>
      </c>
      <c r="M457">
        <v>91920</v>
      </c>
      <c r="N457">
        <v>18</v>
      </c>
      <c r="O457">
        <v>16545.599999999999</v>
      </c>
      <c r="P457">
        <v>0</v>
      </c>
      <c r="Q457">
        <v>108465.60000000001</v>
      </c>
      <c r="R457" t="s">
        <v>160</v>
      </c>
      <c r="S457" t="s">
        <v>107</v>
      </c>
      <c r="T457" t="s">
        <v>115</v>
      </c>
      <c r="U457" t="s">
        <v>108</v>
      </c>
      <c r="V457" t="s">
        <v>287</v>
      </c>
      <c r="W457" t="s">
        <v>95</v>
      </c>
      <c r="X457" t="s">
        <v>318</v>
      </c>
      <c r="Y457" t="s">
        <v>319</v>
      </c>
      <c r="Z457" t="s">
        <v>95</v>
      </c>
      <c r="AA457" t="s">
        <v>1736</v>
      </c>
      <c r="AB457" t="s">
        <v>3339</v>
      </c>
      <c r="AC457">
        <v>5</v>
      </c>
      <c r="AD457" t="s">
        <v>56</v>
      </c>
      <c r="AE457" t="s">
        <v>3336</v>
      </c>
      <c r="AF457" t="s">
        <v>217</v>
      </c>
      <c r="AG457" t="s">
        <v>111</v>
      </c>
      <c r="AH457" s="1">
        <v>45059</v>
      </c>
      <c r="AI457" s="1">
        <v>45065</v>
      </c>
      <c r="AJ457" s="1">
        <v>45075</v>
      </c>
      <c r="AK457" t="s">
        <v>3404</v>
      </c>
      <c r="AL457" t="s">
        <v>1735</v>
      </c>
    </row>
    <row r="458" spans="1:38" x14ac:dyDescent="0.35">
      <c r="A458" t="s">
        <v>1737</v>
      </c>
      <c r="B458" t="s">
        <v>1738</v>
      </c>
      <c r="C458" t="s">
        <v>89</v>
      </c>
      <c r="D458" t="s">
        <v>449</v>
      </c>
      <c r="E458" t="s">
        <v>450</v>
      </c>
      <c r="F458" t="s">
        <v>46</v>
      </c>
      <c r="G458" t="s">
        <v>78</v>
      </c>
      <c r="H458">
        <v>40560</v>
      </c>
      <c r="I458">
        <f>Sales_Transactions_Raw[[#This Row],[Unit_Price]]*Sales_Transactions_Raw[[#This Row],[Quantity]]</f>
        <v>40560</v>
      </c>
      <c r="J458">
        <v>1</v>
      </c>
      <c r="K458">
        <v>5</v>
      </c>
      <c r="L458">
        <v>2028</v>
      </c>
      <c r="M458">
        <v>38532</v>
      </c>
      <c r="N458">
        <v>18</v>
      </c>
      <c r="O458">
        <v>6935.76</v>
      </c>
      <c r="P458">
        <v>0</v>
      </c>
      <c r="Q458">
        <v>45467.76</v>
      </c>
      <c r="R458" t="s">
        <v>79</v>
      </c>
      <c r="S458" t="s">
        <v>107</v>
      </c>
      <c r="T458" t="s">
        <v>115</v>
      </c>
      <c r="U458" t="s">
        <v>108</v>
      </c>
      <c r="V458" t="s">
        <v>297</v>
      </c>
      <c r="W458" t="s">
        <v>52</v>
      </c>
      <c r="X458" t="s">
        <v>237</v>
      </c>
      <c r="Y458" t="s">
        <v>138</v>
      </c>
      <c r="Z458" t="s">
        <v>81</v>
      </c>
      <c r="AA458" t="s">
        <v>1740</v>
      </c>
      <c r="AB458" t="s">
        <v>3335</v>
      </c>
      <c r="AC458">
        <v>4</v>
      </c>
      <c r="AD458" t="s">
        <v>56</v>
      </c>
      <c r="AE458" t="s">
        <v>3336</v>
      </c>
      <c r="AF458" t="s">
        <v>72</v>
      </c>
      <c r="AG458" t="s">
        <v>85</v>
      </c>
      <c r="AH458" s="1">
        <v>45219</v>
      </c>
      <c r="AI458" s="1">
        <v>45225</v>
      </c>
      <c r="AJ458" s="1">
        <v>45235</v>
      </c>
      <c r="AK458" t="s">
        <v>3611</v>
      </c>
      <c r="AL458" t="s">
        <v>1739</v>
      </c>
    </row>
    <row r="459" spans="1:38" x14ac:dyDescent="0.35">
      <c r="A459" t="s">
        <v>1741</v>
      </c>
      <c r="B459" t="s">
        <v>624</v>
      </c>
      <c r="C459" t="s">
        <v>43</v>
      </c>
      <c r="D459" t="s">
        <v>490</v>
      </c>
      <c r="E459" t="s">
        <v>91</v>
      </c>
      <c r="F459" t="s">
        <v>46</v>
      </c>
      <c r="G459" t="s">
        <v>369</v>
      </c>
      <c r="H459">
        <v>77710</v>
      </c>
      <c r="I459">
        <f>Sales_Transactions_Raw[[#This Row],[Unit_Price]]*Sales_Transactions_Raw[[#This Row],[Quantity]]</f>
        <v>77710</v>
      </c>
      <c r="J459">
        <v>1</v>
      </c>
      <c r="K459">
        <v>25</v>
      </c>
      <c r="L459">
        <v>19427.5</v>
      </c>
      <c r="M459">
        <v>58282.5</v>
      </c>
      <c r="N459">
        <v>18</v>
      </c>
      <c r="O459">
        <v>10490.85</v>
      </c>
      <c r="P459">
        <v>0</v>
      </c>
      <c r="Q459">
        <v>68773.350000000006</v>
      </c>
      <c r="R459" t="s">
        <v>106</v>
      </c>
      <c r="S459" t="s">
        <v>65</v>
      </c>
      <c r="T459" t="s">
        <v>115</v>
      </c>
      <c r="U459" t="s">
        <v>196</v>
      </c>
      <c r="V459" t="s">
        <v>297</v>
      </c>
      <c r="W459" t="s">
        <v>52</v>
      </c>
      <c r="X459" t="s">
        <v>393</v>
      </c>
      <c r="Y459" t="s">
        <v>393</v>
      </c>
      <c r="Z459" t="s">
        <v>70</v>
      </c>
      <c r="AA459" t="s">
        <v>1743</v>
      </c>
      <c r="AB459" t="s">
        <v>3335</v>
      </c>
      <c r="AC459">
        <v>4</v>
      </c>
      <c r="AD459" t="s">
        <v>56</v>
      </c>
      <c r="AE459" t="s">
        <v>3336</v>
      </c>
      <c r="AF459" t="s">
        <v>227</v>
      </c>
      <c r="AG459" t="s">
        <v>3342</v>
      </c>
      <c r="AH459" s="1">
        <v>45130</v>
      </c>
      <c r="AI459" s="1">
        <v>45136</v>
      </c>
      <c r="AJ459" s="1">
        <v>45138</v>
      </c>
      <c r="AK459" t="s">
        <v>3612</v>
      </c>
      <c r="AL459" t="s">
        <v>1742</v>
      </c>
    </row>
    <row r="460" spans="1:38" x14ac:dyDescent="0.35">
      <c r="A460" t="s">
        <v>1744</v>
      </c>
      <c r="B460" t="s">
        <v>472</v>
      </c>
      <c r="C460" t="s">
        <v>43</v>
      </c>
      <c r="D460" t="s">
        <v>221</v>
      </c>
      <c r="E460" t="s">
        <v>222</v>
      </c>
      <c r="F460" t="s">
        <v>146</v>
      </c>
      <c r="G460" t="s">
        <v>223</v>
      </c>
      <c r="H460">
        <v>2720</v>
      </c>
      <c r="I460">
        <f>Sales_Transactions_Raw[[#This Row],[Unit_Price]]*Sales_Transactions_Raw[[#This Row],[Quantity]]</f>
        <v>2720</v>
      </c>
      <c r="J460">
        <v>1</v>
      </c>
      <c r="K460">
        <v>10</v>
      </c>
      <c r="L460">
        <v>272</v>
      </c>
      <c r="M460">
        <v>2448</v>
      </c>
      <c r="N460">
        <v>12</v>
      </c>
      <c r="O460">
        <v>293.76</v>
      </c>
      <c r="P460">
        <v>99</v>
      </c>
      <c r="Q460">
        <v>2741.76</v>
      </c>
      <c r="R460" t="s">
        <v>160</v>
      </c>
      <c r="S460" t="s">
        <v>93</v>
      </c>
      <c r="T460" t="s">
        <v>66</v>
      </c>
      <c r="U460" t="s">
        <v>161</v>
      </c>
      <c r="V460" t="s">
        <v>276</v>
      </c>
      <c r="W460" t="s">
        <v>95</v>
      </c>
      <c r="X460" t="s">
        <v>578</v>
      </c>
      <c r="Y460" t="s">
        <v>54</v>
      </c>
      <c r="Z460" t="s">
        <v>70</v>
      </c>
      <c r="AA460" t="s">
        <v>1746</v>
      </c>
      <c r="AB460" t="s">
        <v>3335</v>
      </c>
      <c r="AC460">
        <v>5</v>
      </c>
      <c r="AD460" t="s">
        <v>56</v>
      </c>
      <c r="AE460" t="s">
        <v>3336</v>
      </c>
      <c r="AF460" t="s">
        <v>72</v>
      </c>
      <c r="AG460" t="s">
        <v>111</v>
      </c>
      <c r="AH460" s="1">
        <v>45265</v>
      </c>
      <c r="AI460" s="1">
        <v>45269</v>
      </c>
      <c r="AJ460" s="1">
        <v>45272</v>
      </c>
      <c r="AK460" t="s">
        <v>3508</v>
      </c>
      <c r="AL460" t="s">
        <v>1745</v>
      </c>
    </row>
    <row r="461" spans="1:38" x14ac:dyDescent="0.35">
      <c r="A461" t="s">
        <v>1747</v>
      </c>
      <c r="B461" t="s">
        <v>453</v>
      </c>
      <c r="C461" t="s">
        <v>43</v>
      </c>
      <c r="D461" t="s">
        <v>420</v>
      </c>
      <c r="E461" t="s">
        <v>421</v>
      </c>
      <c r="F461" t="s">
        <v>134</v>
      </c>
      <c r="G461" t="s">
        <v>135</v>
      </c>
      <c r="H461">
        <v>3570</v>
      </c>
      <c r="I461">
        <f>Sales_Transactions_Raw[[#This Row],[Unit_Price]]*Sales_Transactions_Raw[[#This Row],[Quantity]]</f>
        <v>28560</v>
      </c>
      <c r="J461">
        <v>8</v>
      </c>
      <c r="K461">
        <v>15</v>
      </c>
      <c r="L461">
        <v>4284</v>
      </c>
      <c r="M461">
        <v>24276</v>
      </c>
      <c r="N461">
        <v>5</v>
      </c>
      <c r="O461">
        <v>1213.8</v>
      </c>
      <c r="P461">
        <v>0</v>
      </c>
      <c r="Q461">
        <v>25489.8</v>
      </c>
      <c r="R461" t="s">
        <v>160</v>
      </c>
      <c r="S461" t="s">
        <v>125</v>
      </c>
      <c r="T461" t="s">
        <v>115</v>
      </c>
      <c r="U461" t="s">
        <v>214</v>
      </c>
      <c r="V461" t="s">
        <v>276</v>
      </c>
      <c r="W461" t="s">
        <v>95</v>
      </c>
      <c r="X461" t="s">
        <v>474</v>
      </c>
      <c r="Y461" t="s">
        <v>169</v>
      </c>
      <c r="Z461" t="s">
        <v>95</v>
      </c>
      <c r="AA461" t="s">
        <v>1749</v>
      </c>
      <c r="AB461" t="s">
        <v>3339</v>
      </c>
      <c r="AC461">
        <v>4</v>
      </c>
      <c r="AD461" t="s">
        <v>56</v>
      </c>
      <c r="AE461" t="s">
        <v>3336</v>
      </c>
      <c r="AF461" t="s">
        <v>279</v>
      </c>
      <c r="AG461" t="s">
        <v>85</v>
      </c>
      <c r="AH461" s="1">
        <v>45118</v>
      </c>
      <c r="AI461" s="1">
        <v>45121</v>
      </c>
      <c r="AJ461" s="1">
        <v>45125</v>
      </c>
      <c r="AK461" t="s">
        <v>3394</v>
      </c>
      <c r="AL461" t="s">
        <v>1748</v>
      </c>
    </row>
    <row r="462" spans="1:38" x14ac:dyDescent="0.35">
      <c r="A462" t="s">
        <v>1750</v>
      </c>
      <c r="B462" t="s">
        <v>646</v>
      </c>
      <c r="C462" t="s">
        <v>43</v>
      </c>
      <c r="D462" t="s">
        <v>406</v>
      </c>
      <c r="E462" t="s">
        <v>231</v>
      </c>
      <c r="F462" t="s">
        <v>46</v>
      </c>
      <c r="G462" t="s">
        <v>369</v>
      </c>
      <c r="H462">
        <v>85030</v>
      </c>
      <c r="I462">
        <f>Sales_Transactions_Raw[[#This Row],[Unit_Price]]*Sales_Transactions_Raw[[#This Row],[Quantity]]</f>
        <v>85030</v>
      </c>
      <c r="J462">
        <v>1</v>
      </c>
      <c r="K462">
        <v>15</v>
      </c>
      <c r="L462">
        <v>12754.5</v>
      </c>
      <c r="M462">
        <v>72275.5</v>
      </c>
      <c r="N462">
        <v>18</v>
      </c>
      <c r="O462">
        <v>13009.59</v>
      </c>
      <c r="P462">
        <v>0</v>
      </c>
      <c r="Q462">
        <v>85285.09</v>
      </c>
      <c r="R462" t="s">
        <v>64</v>
      </c>
      <c r="S462" t="s">
        <v>49</v>
      </c>
      <c r="T462" t="s">
        <v>115</v>
      </c>
      <c r="U462" t="s">
        <v>214</v>
      </c>
      <c r="V462" t="s">
        <v>67</v>
      </c>
      <c r="W462" t="s">
        <v>68</v>
      </c>
      <c r="X462" t="s">
        <v>370</v>
      </c>
      <c r="Y462" t="s">
        <v>151</v>
      </c>
      <c r="Z462" t="s">
        <v>81</v>
      </c>
      <c r="AA462" t="s">
        <v>1752</v>
      </c>
      <c r="AB462" t="s">
        <v>3335</v>
      </c>
      <c r="AC462">
        <v>3</v>
      </c>
      <c r="AD462" t="s">
        <v>56</v>
      </c>
      <c r="AE462" t="s">
        <v>3336</v>
      </c>
      <c r="AF462" t="s">
        <v>72</v>
      </c>
      <c r="AG462" t="s">
        <v>111</v>
      </c>
      <c r="AH462" s="1">
        <v>45329</v>
      </c>
      <c r="AI462" s="1">
        <v>45336</v>
      </c>
      <c r="AJ462" s="1">
        <v>45342</v>
      </c>
      <c r="AK462" t="s">
        <v>3432</v>
      </c>
      <c r="AL462" t="s">
        <v>1751</v>
      </c>
    </row>
    <row r="463" spans="1:38" x14ac:dyDescent="0.35">
      <c r="A463" t="s">
        <v>1753</v>
      </c>
      <c r="B463" t="s">
        <v>513</v>
      </c>
      <c r="C463" t="s">
        <v>157</v>
      </c>
      <c r="D463" t="s">
        <v>432</v>
      </c>
      <c r="E463" t="s">
        <v>433</v>
      </c>
      <c r="F463" t="s">
        <v>146</v>
      </c>
      <c r="G463" t="s">
        <v>296</v>
      </c>
      <c r="H463">
        <v>5050</v>
      </c>
      <c r="I463">
        <f>Sales_Transactions_Raw[[#This Row],[Unit_Price]]*Sales_Transactions_Raw[[#This Row],[Quantity]]</f>
        <v>5050</v>
      </c>
      <c r="J463">
        <v>1</v>
      </c>
      <c r="K463">
        <v>0</v>
      </c>
      <c r="L463">
        <v>0</v>
      </c>
      <c r="M463">
        <v>5050</v>
      </c>
      <c r="N463">
        <v>12</v>
      </c>
      <c r="O463">
        <v>606</v>
      </c>
      <c r="P463">
        <v>0</v>
      </c>
      <c r="Q463">
        <v>5656</v>
      </c>
      <c r="R463" t="s">
        <v>106</v>
      </c>
      <c r="S463" t="s">
        <v>49</v>
      </c>
      <c r="T463" t="s">
        <v>213</v>
      </c>
      <c r="U463" t="s">
        <v>108</v>
      </c>
      <c r="V463" t="s">
        <v>297</v>
      </c>
      <c r="W463" t="s">
        <v>52</v>
      </c>
      <c r="X463" t="s">
        <v>277</v>
      </c>
      <c r="Y463" t="s">
        <v>127</v>
      </c>
      <c r="Z463" t="s">
        <v>68</v>
      </c>
      <c r="AA463" t="s">
        <v>1754</v>
      </c>
      <c r="AB463" t="s">
        <v>3339</v>
      </c>
      <c r="AC463">
        <v>4</v>
      </c>
      <c r="AD463" t="s">
        <v>179</v>
      </c>
      <c r="AE463" t="s">
        <v>3336</v>
      </c>
      <c r="AF463" t="s">
        <v>227</v>
      </c>
      <c r="AG463" t="s">
        <v>58</v>
      </c>
      <c r="AH463" s="1">
        <v>45445</v>
      </c>
      <c r="AI463" s="1">
        <v>45447</v>
      </c>
      <c r="AJ463" s="1">
        <v>45455</v>
      </c>
      <c r="AK463" t="s">
        <v>3404</v>
      </c>
      <c r="AL463" t="s">
        <v>3740</v>
      </c>
    </row>
    <row r="464" spans="1:38" x14ac:dyDescent="0.35">
      <c r="A464" t="s">
        <v>1755</v>
      </c>
      <c r="B464" t="s">
        <v>543</v>
      </c>
      <c r="C464" t="s">
        <v>43</v>
      </c>
      <c r="D464" t="s">
        <v>406</v>
      </c>
      <c r="E464" t="s">
        <v>231</v>
      </c>
      <c r="F464" t="s">
        <v>46</v>
      </c>
      <c r="G464" t="s">
        <v>369</v>
      </c>
      <c r="H464">
        <v>85920</v>
      </c>
      <c r="I464">
        <f>Sales_Transactions_Raw[[#This Row],[Unit_Price]]*Sales_Transactions_Raw[[#This Row],[Quantity]]</f>
        <v>171840</v>
      </c>
      <c r="J464">
        <v>2</v>
      </c>
      <c r="K464">
        <v>0</v>
      </c>
      <c r="L464">
        <v>0</v>
      </c>
      <c r="M464">
        <v>171840</v>
      </c>
      <c r="N464">
        <v>18</v>
      </c>
      <c r="O464">
        <v>30931.200000000001</v>
      </c>
      <c r="P464">
        <v>0</v>
      </c>
      <c r="Q464">
        <v>202771.20000000001</v>
      </c>
      <c r="R464" t="s">
        <v>160</v>
      </c>
      <c r="S464" t="s">
        <v>125</v>
      </c>
      <c r="T464" t="s">
        <v>115</v>
      </c>
      <c r="U464" t="s">
        <v>161</v>
      </c>
      <c r="V464" t="s">
        <v>242</v>
      </c>
      <c r="W464" t="s">
        <v>70</v>
      </c>
      <c r="X464" t="s">
        <v>306</v>
      </c>
      <c r="Y464" t="s">
        <v>97</v>
      </c>
      <c r="Z464" t="s">
        <v>95</v>
      </c>
      <c r="AA464" t="s">
        <v>1757</v>
      </c>
      <c r="AB464" t="s">
        <v>3340</v>
      </c>
      <c r="AC464">
        <v>4</v>
      </c>
      <c r="AD464" t="s">
        <v>56</v>
      </c>
      <c r="AE464" t="s">
        <v>3336</v>
      </c>
      <c r="AF464" t="s">
        <v>99</v>
      </c>
      <c r="AG464" t="s">
        <v>58</v>
      </c>
      <c r="AH464" s="1">
        <v>45139</v>
      </c>
      <c r="AI464" s="1">
        <v>45141</v>
      </c>
      <c r="AJ464" s="1">
        <v>45149</v>
      </c>
      <c r="AK464" t="s">
        <v>3613</v>
      </c>
      <c r="AL464" t="s">
        <v>1756</v>
      </c>
    </row>
    <row r="465" spans="1:38" x14ac:dyDescent="0.35">
      <c r="A465" t="s">
        <v>1758</v>
      </c>
      <c r="B465" t="s">
        <v>875</v>
      </c>
      <c r="C465" t="s">
        <v>43</v>
      </c>
      <c r="D465" t="s">
        <v>667</v>
      </c>
      <c r="E465" t="s">
        <v>668</v>
      </c>
      <c r="F465" t="s">
        <v>146</v>
      </c>
      <c r="G465" t="s">
        <v>195</v>
      </c>
      <c r="H465">
        <v>8360</v>
      </c>
      <c r="I465">
        <f>Sales_Transactions_Raw[[#This Row],[Unit_Price]]*Sales_Transactions_Raw[[#This Row],[Quantity]]</f>
        <v>25080</v>
      </c>
      <c r="J465">
        <v>3</v>
      </c>
      <c r="K465">
        <v>10</v>
      </c>
      <c r="L465">
        <v>2508</v>
      </c>
      <c r="M465">
        <v>22572</v>
      </c>
      <c r="N465">
        <v>12</v>
      </c>
      <c r="O465">
        <v>2708.64</v>
      </c>
      <c r="P465">
        <v>0</v>
      </c>
      <c r="Q465">
        <v>25280.639999999999</v>
      </c>
      <c r="R465" t="s">
        <v>92</v>
      </c>
      <c r="S465" t="s">
        <v>65</v>
      </c>
      <c r="T465" t="s">
        <v>719</v>
      </c>
      <c r="U465" t="s">
        <v>161</v>
      </c>
      <c r="V465" t="s">
        <v>80</v>
      </c>
      <c r="W465" t="s">
        <v>81</v>
      </c>
      <c r="X465" t="s">
        <v>362</v>
      </c>
      <c r="Y465" t="s">
        <v>118</v>
      </c>
      <c r="Z465" t="s">
        <v>70</v>
      </c>
      <c r="AA465" t="s">
        <v>1760</v>
      </c>
      <c r="AB465" t="s">
        <v>3335</v>
      </c>
      <c r="AC465">
        <v>4</v>
      </c>
      <c r="AD465" t="s">
        <v>56</v>
      </c>
      <c r="AE465" t="s">
        <v>3336</v>
      </c>
      <c r="AF465" t="s">
        <v>84</v>
      </c>
      <c r="AG465" t="s">
        <v>58</v>
      </c>
      <c r="AH465" s="1">
        <v>45136</v>
      </c>
      <c r="AI465" s="1">
        <v>45140</v>
      </c>
      <c r="AJ465" s="1">
        <v>45150</v>
      </c>
      <c r="AK465" t="s">
        <v>3497</v>
      </c>
      <c r="AL465" t="s">
        <v>1759</v>
      </c>
    </row>
    <row r="466" spans="1:38" x14ac:dyDescent="0.35">
      <c r="A466" t="s">
        <v>1761</v>
      </c>
      <c r="B466" t="s">
        <v>272</v>
      </c>
      <c r="C466" t="s">
        <v>43</v>
      </c>
      <c r="D466" t="s">
        <v>630</v>
      </c>
      <c r="E466" t="s">
        <v>450</v>
      </c>
      <c r="F466" t="s">
        <v>134</v>
      </c>
      <c r="G466" t="s">
        <v>497</v>
      </c>
      <c r="H466">
        <v>48170</v>
      </c>
      <c r="I466">
        <f>Sales_Transactions_Raw[[#This Row],[Unit_Price]]*Sales_Transactions_Raw[[#This Row],[Quantity]]</f>
        <v>192680</v>
      </c>
      <c r="J466">
        <v>4</v>
      </c>
      <c r="K466">
        <v>5</v>
      </c>
      <c r="L466">
        <v>9634</v>
      </c>
      <c r="M466">
        <v>183046</v>
      </c>
      <c r="N466">
        <v>5</v>
      </c>
      <c r="O466">
        <v>9152.2999999999993</v>
      </c>
      <c r="P466">
        <v>0</v>
      </c>
      <c r="Q466">
        <v>192198.3</v>
      </c>
      <c r="R466" t="s">
        <v>106</v>
      </c>
      <c r="S466" t="s">
        <v>125</v>
      </c>
      <c r="T466" t="s">
        <v>115</v>
      </c>
      <c r="U466" t="s">
        <v>161</v>
      </c>
      <c r="V466" t="s">
        <v>269</v>
      </c>
      <c r="W466" t="s">
        <v>70</v>
      </c>
      <c r="X466" t="s">
        <v>750</v>
      </c>
      <c r="Y466" t="s">
        <v>127</v>
      </c>
      <c r="Z466" t="s">
        <v>68</v>
      </c>
      <c r="AA466" t="s">
        <v>1763</v>
      </c>
      <c r="AB466" t="s">
        <v>3344</v>
      </c>
      <c r="AC466">
        <v>4</v>
      </c>
      <c r="AD466" t="s">
        <v>179</v>
      </c>
      <c r="AE466" t="s">
        <v>3336</v>
      </c>
      <c r="AF466" t="s">
        <v>84</v>
      </c>
      <c r="AG466" t="s">
        <v>445</v>
      </c>
      <c r="AH466" s="1">
        <v>45445</v>
      </c>
      <c r="AI466" s="1">
        <v>45449</v>
      </c>
      <c r="AJ466" s="1">
        <v>45150</v>
      </c>
      <c r="AK466" t="s">
        <v>3368</v>
      </c>
      <c r="AL466" t="s">
        <v>1762</v>
      </c>
    </row>
    <row r="467" spans="1:38" x14ac:dyDescent="0.35">
      <c r="A467" t="s">
        <v>1564</v>
      </c>
      <c r="B467" t="s">
        <v>1158</v>
      </c>
      <c r="C467" t="s">
        <v>157</v>
      </c>
      <c r="D467" t="s">
        <v>630</v>
      </c>
      <c r="E467" t="s">
        <v>450</v>
      </c>
      <c r="F467" t="s">
        <v>134</v>
      </c>
      <c r="G467" t="s">
        <v>497</v>
      </c>
      <c r="H467">
        <v>47300</v>
      </c>
      <c r="I467">
        <f>Sales_Transactions_Raw[[#This Row],[Unit_Price]]*Sales_Transactions_Raw[[#This Row],[Quantity]]</f>
        <v>425700</v>
      </c>
      <c r="J467">
        <v>9</v>
      </c>
      <c r="K467">
        <v>0</v>
      </c>
      <c r="L467">
        <v>0</v>
      </c>
      <c r="M467">
        <v>425700</v>
      </c>
      <c r="N467">
        <v>5</v>
      </c>
      <c r="O467">
        <v>21285</v>
      </c>
      <c r="P467">
        <v>0</v>
      </c>
      <c r="Q467">
        <v>446985</v>
      </c>
      <c r="R467" t="s">
        <v>106</v>
      </c>
      <c r="S467" t="s">
        <v>125</v>
      </c>
      <c r="T467" t="s">
        <v>66</v>
      </c>
      <c r="U467" t="s">
        <v>214</v>
      </c>
      <c r="V467" t="s">
        <v>67</v>
      </c>
      <c r="W467" t="s">
        <v>68</v>
      </c>
      <c r="X467" t="s">
        <v>215</v>
      </c>
      <c r="Y467" t="s">
        <v>169</v>
      </c>
      <c r="Z467" t="s">
        <v>95</v>
      </c>
      <c r="AA467" t="s">
        <v>1765</v>
      </c>
      <c r="AB467" t="s">
        <v>3341</v>
      </c>
      <c r="AC467">
        <v>4</v>
      </c>
      <c r="AD467" t="s">
        <v>56</v>
      </c>
      <c r="AE467" t="s">
        <v>3336</v>
      </c>
      <c r="AF467" t="s">
        <v>326</v>
      </c>
      <c r="AG467" t="s">
        <v>3342</v>
      </c>
      <c r="AH467" s="1">
        <v>44969</v>
      </c>
      <c r="AI467" s="1">
        <v>44975</v>
      </c>
      <c r="AJ467" s="1">
        <v>44978</v>
      </c>
      <c r="AK467" t="s">
        <v>3614</v>
      </c>
      <c r="AL467" t="s">
        <v>1764</v>
      </c>
    </row>
    <row r="468" spans="1:38" x14ac:dyDescent="0.35">
      <c r="A468" t="s">
        <v>1766</v>
      </c>
      <c r="B468" t="s">
        <v>1296</v>
      </c>
      <c r="C468" t="s">
        <v>43</v>
      </c>
      <c r="D468" t="s">
        <v>329</v>
      </c>
      <c r="E468" t="s">
        <v>250</v>
      </c>
      <c r="F468" t="s">
        <v>134</v>
      </c>
      <c r="G468" t="s">
        <v>330</v>
      </c>
      <c r="H468">
        <v>29347.846790890268</v>
      </c>
      <c r="I468">
        <f>Sales_Transactions_Raw[[#This Row],[Unit_Price]]*Sales_Transactions_Raw[[#This Row],[Quantity]]</f>
        <v>88043.540372670803</v>
      </c>
      <c r="J468">
        <v>3</v>
      </c>
      <c r="K468">
        <v>10</v>
      </c>
      <c r="L468">
        <v>7110</v>
      </c>
      <c r="M468">
        <v>63990</v>
      </c>
      <c r="N468">
        <v>5</v>
      </c>
      <c r="O468">
        <v>3199.5</v>
      </c>
      <c r="P468">
        <v>0</v>
      </c>
      <c r="Q468">
        <v>67189.5</v>
      </c>
      <c r="R468" t="s">
        <v>64</v>
      </c>
      <c r="S468" t="s">
        <v>49</v>
      </c>
      <c r="T468" t="s">
        <v>115</v>
      </c>
      <c r="U468" t="s">
        <v>50</v>
      </c>
      <c r="V468" t="s">
        <v>197</v>
      </c>
      <c r="W468" t="s">
        <v>68</v>
      </c>
      <c r="X468" t="s">
        <v>277</v>
      </c>
      <c r="Y468" t="s">
        <v>127</v>
      </c>
      <c r="Z468" t="s">
        <v>68</v>
      </c>
      <c r="AA468" t="s">
        <v>1768</v>
      </c>
      <c r="AB468" t="s">
        <v>3338</v>
      </c>
      <c r="AC468">
        <v>4</v>
      </c>
      <c r="AD468" t="s">
        <v>56</v>
      </c>
      <c r="AE468" t="s">
        <v>3336</v>
      </c>
      <c r="AF468" t="s">
        <v>326</v>
      </c>
      <c r="AG468" t="s">
        <v>3337</v>
      </c>
      <c r="AH468" s="1">
        <v>45313</v>
      </c>
      <c r="AI468" s="1">
        <v>45320</v>
      </c>
      <c r="AJ468" s="1">
        <v>45329</v>
      </c>
      <c r="AK468" t="s">
        <v>3741</v>
      </c>
      <c r="AL468" t="s">
        <v>1767</v>
      </c>
    </row>
    <row r="469" spans="1:38" x14ac:dyDescent="0.35">
      <c r="A469" t="s">
        <v>1769</v>
      </c>
      <c r="B469" t="s">
        <v>264</v>
      </c>
      <c r="C469" t="s">
        <v>131</v>
      </c>
      <c r="D469" t="s">
        <v>704</v>
      </c>
      <c r="E469" t="s">
        <v>705</v>
      </c>
      <c r="F469" t="s">
        <v>285</v>
      </c>
      <c r="G469" t="s">
        <v>706</v>
      </c>
      <c r="H469">
        <v>29347.846790890268</v>
      </c>
      <c r="I469">
        <f>Sales_Transactions_Raw[[#This Row],[Unit_Price]]*Sales_Transactions_Raw[[#This Row],[Quantity]]</f>
        <v>88043.540372670803</v>
      </c>
      <c r="J469">
        <v>3</v>
      </c>
      <c r="K469">
        <v>0</v>
      </c>
      <c r="L469">
        <v>0</v>
      </c>
      <c r="M469">
        <v>870</v>
      </c>
      <c r="N469">
        <v>5</v>
      </c>
      <c r="O469">
        <v>43.5</v>
      </c>
      <c r="P469">
        <v>99</v>
      </c>
      <c r="Q469">
        <v>913.5</v>
      </c>
      <c r="R469" t="s">
        <v>160</v>
      </c>
      <c r="S469" t="s">
        <v>93</v>
      </c>
      <c r="T469" t="s">
        <v>136</v>
      </c>
      <c r="U469" t="s">
        <v>50</v>
      </c>
      <c r="V469" t="s">
        <v>224</v>
      </c>
      <c r="W469" t="s">
        <v>95</v>
      </c>
      <c r="X469" t="s">
        <v>443</v>
      </c>
      <c r="Y469" t="s">
        <v>97</v>
      </c>
      <c r="Z469" t="s">
        <v>95</v>
      </c>
      <c r="AA469" t="s">
        <v>1771</v>
      </c>
      <c r="AB469" t="s">
        <v>3338</v>
      </c>
      <c r="AC469">
        <v>4</v>
      </c>
      <c r="AD469" t="s">
        <v>56</v>
      </c>
      <c r="AE469" t="s">
        <v>3336</v>
      </c>
      <c r="AF469" t="s">
        <v>153</v>
      </c>
      <c r="AG469" t="s">
        <v>3342</v>
      </c>
      <c r="AH469" s="1">
        <v>45462</v>
      </c>
      <c r="AI469" s="1">
        <v>45468</v>
      </c>
      <c r="AJ469" s="1">
        <v>45472</v>
      </c>
      <c r="AK469" t="s">
        <v>3569</v>
      </c>
      <c r="AL469" t="s">
        <v>1770</v>
      </c>
    </row>
    <row r="470" spans="1:38" x14ac:dyDescent="0.35">
      <c r="A470" t="s">
        <v>1772</v>
      </c>
      <c r="B470" t="s">
        <v>731</v>
      </c>
      <c r="C470" t="s">
        <v>43</v>
      </c>
      <c r="D470" t="s">
        <v>426</v>
      </c>
      <c r="E470" t="s">
        <v>427</v>
      </c>
      <c r="F470" t="s">
        <v>134</v>
      </c>
      <c r="G470" t="s">
        <v>305</v>
      </c>
      <c r="H470">
        <v>48470</v>
      </c>
      <c r="I470">
        <f>Sales_Transactions_Raw[[#This Row],[Unit_Price]]*Sales_Transactions_Raw[[#This Row],[Quantity]]</f>
        <v>145410</v>
      </c>
      <c r="J470">
        <v>3</v>
      </c>
      <c r="K470">
        <v>20</v>
      </c>
      <c r="L470">
        <v>29082</v>
      </c>
      <c r="M470">
        <v>116328</v>
      </c>
      <c r="N470">
        <v>5</v>
      </c>
      <c r="O470">
        <v>5816.4</v>
      </c>
      <c r="P470">
        <v>0</v>
      </c>
      <c r="Q470">
        <v>122144.4</v>
      </c>
      <c r="R470" t="s">
        <v>48</v>
      </c>
      <c r="S470" t="s">
        <v>49</v>
      </c>
      <c r="T470" t="s">
        <v>213</v>
      </c>
      <c r="U470" t="s">
        <v>161</v>
      </c>
      <c r="V470" t="s">
        <v>67</v>
      </c>
      <c r="W470" t="s">
        <v>68</v>
      </c>
      <c r="X470" t="s">
        <v>318</v>
      </c>
      <c r="Y470" t="s">
        <v>319</v>
      </c>
      <c r="Z470" t="s">
        <v>95</v>
      </c>
      <c r="AA470" t="s">
        <v>1774</v>
      </c>
      <c r="AB470" t="s">
        <v>3343</v>
      </c>
      <c r="AC470">
        <v>4</v>
      </c>
      <c r="AD470" t="s">
        <v>179</v>
      </c>
      <c r="AE470" t="s">
        <v>3336</v>
      </c>
      <c r="AF470" t="s">
        <v>84</v>
      </c>
      <c r="AG470" t="s">
        <v>3337</v>
      </c>
      <c r="AH470" s="1">
        <v>45275</v>
      </c>
      <c r="AI470" s="1">
        <v>45280</v>
      </c>
      <c r="AJ470" s="1">
        <v>45286</v>
      </c>
      <c r="AK470" t="s">
        <v>3615</v>
      </c>
      <c r="AL470" t="s">
        <v>1773</v>
      </c>
    </row>
    <row r="471" spans="1:38" x14ac:dyDescent="0.35">
      <c r="A471" t="s">
        <v>1775</v>
      </c>
      <c r="B471" t="s">
        <v>1296</v>
      </c>
      <c r="C471" t="s">
        <v>43</v>
      </c>
      <c r="D471" t="s">
        <v>294</v>
      </c>
      <c r="E471" t="s">
        <v>295</v>
      </c>
      <c r="F471" t="s">
        <v>146</v>
      </c>
      <c r="G471" t="s">
        <v>296</v>
      </c>
      <c r="H471">
        <v>14130</v>
      </c>
      <c r="I471">
        <f>Sales_Transactions_Raw[[#This Row],[Unit_Price]]*Sales_Transactions_Raw[[#This Row],[Quantity]]</f>
        <v>42390</v>
      </c>
      <c r="J471">
        <v>3</v>
      </c>
      <c r="K471">
        <v>5</v>
      </c>
      <c r="L471">
        <v>2119.5</v>
      </c>
      <c r="M471">
        <v>40270.5</v>
      </c>
      <c r="N471">
        <v>12</v>
      </c>
      <c r="O471">
        <v>4832.46</v>
      </c>
      <c r="P471">
        <v>0</v>
      </c>
      <c r="Q471">
        <v>45102.96</v>
      </c>
      <c r="R471" t="s">
        <v>160</v>
      </c>
      <c r="S471" t="s">
        <v>93</v>
      </c>
      <c r="T471" t="s">
        <v>115</v>
      </c>
      <c r="U471" t="s">
        <v>214</v>
      </c>
      <c r="V471" t="s">
        <v>116</v>
      </c>
      <c r="W471" t="s">
        <v>70</v>
      </c>
      <c r="X471" t="s">
        <v>922</v>
      </c>
      <c r="Y471" t="s">
        <v>199</v>
      </c>
      <c r="Z471" t="s">
        <v>52</v>
      </c>
      <c r="AA471" t="s">
        <v>1777</v>
      </c>
      <c r="AB471" t="s">
        <v>3335</v>
      </c>
      <c r="AC471">
        <v>5</v>
      </c>
      <c r="AD471" t="s">
        <v>56</v>
      </c>
      <c r="AE471" t="s">
        <v>3336</v>
      </c>
      <c r="AF471" t="s">
        <v>72</v>
      </c>
      <c r="AG471" t="s">
        <v>85</v>
      </c>
      <c r="AH471" s="1">
        <v>45288</v>
      </c>
      <c r="AI471" s="1">
        <v>45293</v>
      </c>
      <c r="AJ471" s="1">
        <v>45296</v>
      </c>
      <c r="AK471" t="s">
        <v>3549</v>
      </c>
      <c r="AL471" t="s">
        <v>1776</v>
      </c>
    </row>
    <row r="472" spans="1:38" x14ac:dyDescent="0.35">
      <c r="A472" t="s">
        <v>1639</v>
      </c>
      <c r="B472" t="s">
        <v>680</v>
      </c>
      <c r="C472" t="s">
        <v>157</v>
      </c>
      <c r="D472" t="s">
        <v>406</v>
      </c>
      <c r="E472" t="s">
        <v>231</v>
      </c>
      <c r="F472" t="s">
        <v>46</v>
      </c>
      <c r="G472" t="s">
        <v>369</v>
      </c>
      <c r="H472">
        <v>85960</v>
      </c>
      <c r="I472">
        <f>Sales_Transactions_Raw[[#This Row],[Unit_Price]]*Sales_Transactions_Raw[[#This Row],[Quantity]]</f>
        <v>257880</v>
      </c>
      <c r="J472">
        <v>3</v>
      </c>
      <c r="K472">
        <v>15</v>
      </c>
      <c r="L472">
        <v>38682</v>
      </c>
      <c r="M472">
        <v>219198</v>
      </c>
      <c r="N472">
        <v>18</v>
      </c>
      <c r="O472">
        <v>39455.64</v>
      </c>
      <c r="P472">
        <v>0</v>
      </c>
      <c r="Q472">
        <v>258653.64</v>
      </c>
      <c r="R472" t="s">
        <v>48</v>
      </c>
      <c r="S472" t="s">
        <v>93</v>
      </c>
      <c r="T472" t="s">
        <v>66</v>
      </c>
      <c r="U472" t="s">
        <v>50</v>
      </c>
      <c r="V472" t="s">
        <v>276</v>
      </c>
      <c r="W472" t="s">
        <v>95</v>
      </c>
      <c r="X472" t="s">
        <v>357</v>
      </c>
      <c r="Y472" t="s">
        <v>358</v>
      </c>
      <c r="Z472" t="s">
        <v>95</v>
      </c>
      <c r="AA472" t="s">
        <v>1779</v>
      </c>
      <c r="AB472" t="s">
        <v>3335</v>
      </c>
      <c r="AC472">
        <v>5</v>
      </c>
      <c r="AD472" t="s">
        <v>56</v>
      </c>
      <c r="AE472" t="s">
        <v>3336</v>
      </c>
      <c r="AF472" t="s">
        <v>326</v>
      </c>
      <c r="AG472" t="s">
        <v>3342</v>
      </c>
      <c r="AH472" s="1">
        <v>44964</v>
      </c>
      <c r="AI472" s="1">
        <v>44971</v>
      </c>
      <c r="AJ472" s="1">
        <v>44974</v>
      </c>
      <c r="AK472" t="s">
        <v>3616</v>
      </c>
      <c r="AL472" t="s">
        <v>1778</v>
      </c>
    </row>
    <row r="473" spans="1:38" x14ac:dyDescent="0.35">
      <c r="A473" t="s">
        <v>1780</v>
      </c>
      <c r="B473" t="s">
        <v>543</v>
      </c>
      <c r="C473" t="s">
        <v>43</v>
      </c>
      <c r="D473" t="s">
        <v>323</v>
      </c>
      <c r="E473" t="s">
        <v>324</v>
      </c>
      <c r="F473" t="s">
        <v>146</v>
      </c>
      <c r="G473" t="s">
        <v>296</v>
      </c>
      <c r="H473">
        <v>11300</v>
      </c>
      <c r="I473">
        <f>Sales_Transactions_Raw[[#This Row],[Unit_Price]]*Sales_Transactions_Raw[[#This Row],[Quantity]]</f>
        <v>33900</v>
      </c>
      <c r="J473">
        <v>3</v>
      </c>
      <c r="K473">
        <v>15</v>
      </c>
      <c r="L473">
        <v>5085</v>
      </c>
      <c r="M473">
        <v>28815</v>
      </c>
      <c r="N473">
        <v>12</v>
      </c>
      <c r="O473">
        <v>3457.8</v>
      </c>
      <c r="P473">
        <v>0</v>
      </c>
      <c r="Q473">
        <v>32272.799999999999</v>
      </c>
      <c r="R473" t="s">
        <v>64</v>
      </c>
      <c r="S473" t="s">
        <v>125</v>
      </c>
      <c r="T473" t="s">
        <v>115</v>
      </c>
      <c r="U473" t="s">
        <v>196</v>
      </c>
      <c r="V473" t="s">
        <v>287</v>
      </c>
      <c r="W473" t="s">
        <v>95</v>
      </c>
      <c r="X473" t="s">
        <v>150</v>
      </c>
      <c r="Y473" t="s">
        <v>151</v>
      </c>
      <c r="Z473" t="s">
        <v>81</v>
      </c>
      <c r="AA473" t="s">
        <v>1782</v>
      </c>
      <c r="AB473" t="s">
        <v>3339</v>
      </c>
      <c r="AC473">
        <v>2</v>
      </c>
      <c r="AD473" t="s">
        <v>179</v>
      </c>
      <c r="AE473" t="s">
        <v>3336</v>
      </c>
      <c r="AF473" t="s">
        <v>99</v>
      </c>
      <c r="AG473" t="s">
        <v>58</v>
      </c>
      <c r="AH473" s="1">
        <v>45293</v>
      </c>
      <c r="AI473" s="1">
        <v>45295</v>
      </c>
      <c r="AJ473" s="1">
        <v>45298</v>
      </c>
      <c r="AK473" t="s">
        <v>3613</v>
      </c>
      <c r="AL473" t="s">
        <v>1781</v>
      </c>
    </row>
    <row r="474" spans="1:38" x14ac:dyDescent="0.35">
      <c r="A474" t="s">
        <v>1783</v>
      </c>
      <c r="B474" t="s">
        <v>343</v>
      </c>
      <c r="C474" t="s">
        <v>157</v>
      </c>
      <c r="D474" t="s">
        <v>713</v>
      </c>
      <c r="E474" t="s">
        <v>714</v>
      </c>
      <c r="F474" t="s">
        <v>46</v>
      </c>
      <c r="G474" t="s">
        <v>47</v>
      </c>
      <c r="H474">
        <v>15480</v>
      </c>
      <c r="I474">
        <f>Sales_Transactions_Raw[[#This Row],[Unit_Price]]*Sales_Transactions_Raw[[#This Row],[Quantity]]</f>
        <v>30960</v>
      </c>
      <c r="J474">
        <v>2</v>
      </c>
      <c r="K474">
        <v>0</v>
      </c>
      <c r="L474">
        <v>0</v>
      </c>
      <c r="M474">
        <v>30960</v>
      </c>
      <c r="N474">
        <v>18</v>
      </c>
      <c r="O474">
        <v>5572.8</v>
      </c>
      <c r="P474">
        <v>0</v>
      </c>
      <c r="Q474">
        <v>36532.800000000003</v>
      </c>
      <c r="R474" t="s">
        <v>48</v>
      </c>
      <c r="S474" t="s">
        <v>107</v>
      </c>
      <c r="T474" t="s">
        <v>115</v>
      </c>
      <c r="U474" t="s">
        <v>196</v>
      </c>
      <c r="V474" t="s">
        <v>197</v>
      </c>
      <c r="W474" t="s">
        <v>68</v>
      </c>
      <c r="X474" t="s">
        <v>137</v>
      </c>
      <c r="Y474" t="s">
        <v>138</v>
      </c>
      <c r="Z474" t="s">
        <v>81</v>
      </c>
      <c r="AA474" t="s">
        <v>1785</v>
      </c>
      <c r="AB474" t="s">
        <v>3335</v>
      </c>
      <c r="AC474">
        <v>4</v>
      </c>
      <c r="AD474" t="s">
        <v>56</v>
      </c>
      <c r="AE474" t="s">
        <v>3336</v>
      </c>
      <c r="AF474" t="s">
        <v>326</v>
      </c>
      <c r="AG474" t="s">
        <v>3337</v>
      </c>
      <c r="AH474" s="1">
        <v>45164</v>
      </c>
      <c r="AI474" s="1">
        <v>45171</v>
      </c>
      <c r="AJ474" s="1">
        <v>45179</v>
      </c>
      <c r="AK474" t="s">
        <v>3428</v>
      </c>
      <c r="AL474" t="s">
        <v>1784</v>
      </c>
    </row>
    <row r="475" spans="1:38" x14ac:dyDescent="0.35">
      <c r="A475" t="s">
        <v>1786</v>
      </c>
      <c r="B475" t="s">
        <v>513</v>
      </c>
      <c r="C475" t="s">
        <v>157</v>
      </c>
      <c r="D475" t="s">
        <v>426</v>
      </c>
      <c r="E475" t="s">
        <v>427</v>
      </c>
      <c r="F475" t="s">
        <v>134</v>
      </c>
      <c r="G475" t="s">
        <v>305</v>
      </c>
      <c r="H475">
        <v>47540</v>
      </c>
      <c r="I475">
        <f>Sales_Transactions_Raw[[#This Row],[Unit_Price]]*Sales_Transactions_Raw[[#This Row],[Quantity]]</f>
        <v>285240</v>
      </c>
      <c r="J475">
        <v>6</v>
      </c>
      <c r="K475">
        <v>5</v>
      </c>
      <c r="L475">
        <v>14262</v>
      </c>
      <c r="M475">
        <v>270978</v>
      </c>
      <c r="N475">
        <v>5</v>
      </c>
      <c r="O475">
        <v>13548.9</v>
      </c>
      <c r="P475">
        <v>0</v>
      </c>
      <c r="Q475">
        <v>284526.90000000002</v>
      </c>
      <c r="R475" t="s">
        <v>92</v>
      </c>
      <c r="S475" t="s">
        <v>107</v>
      </c>
      <c r="T475" t="s">
        <v>66</v>
      </c>
      <c r="U475" t="s">
        <v>196</v>
      </c>
      <c r="V475" t="s">
        <v>269</v>
      </c>
      <c r="W475" t="s">
        <v>70</v>
      </c>
      <c r="X475" t="s">
        <v>137</v>
      </c>
      <c r="Y475" t="s">
        <v>138</v>
      </c>
      <c r="Z475" t="s">
        <v>81</v>
      </c>
      <c r="AA475" t="s">
        <v>1788</v>
      </c>
      <c r="AB475" t="s">
        <v>3335</v>
      </c>
      <c r="AC475">
        <v>2</v>
      </c>
      <c r="AD475" t="s">
        <v>56</v>
      </c>
      <c r="AE475" t="s">
        <v>3336</v>
      </c>
      <c r="AF475" t="s">
        <v>217</v>
      </c>
      <c r="AG475" t="s">
        <v>85</v>
      </c>
      <c r="AH475" s="1">
        <v>45139</v>
      </c>
      <c r="AI475" s="1">
        <v>45142</v>
      </c>
      <c r="AJ475" s="1">
        <v>45148</v>
      </c>
      <c r="AK475" t="s">
        <v>3404</v>
      </c>
      <c r="AL475" t="s">
        <v>1787</v>
      </c>
    </row>
    <row r="476" spans="1:38" x14ac:dyDescent="0.35">
      <c r="A476" t="s">
        <v>1789</v>
      </c>
      <c r="B476" t="s">
        <v>605</v>
      </c>
      <c r="C476" t="s">
        <v>43</v>
      </c>
      <c r="D476" t="s">
        <v>221</v>
      </c>
      <c r="E476" t="s">
        <v>222</v>
      </c>
      <c r="F476" t="s">
        <v>146</v>
      </c>
      <c r="G476" t="s">
        <v>223</v>
      </c>
      <c r="H476">
        <v>2680</v>
      </c>
      <c r="I476">
        <f>Sales_Transactions_Raw[[#This Row],[Unit_Price]]*Sales_Transactions_Raw[[#This Row],[Quantity]]</f>
        <v>8040</v>
      </c>
      <c r="J476">
        <v>3</v>
      </c>
      <c r="K476">
        <v>0</v>
      </c>
      <c r="L476">
        <v>0</v>
      </c>
      <c r="M476">
        <v>8040</v>
      </c>
      <c r="N476">
        <v>12</v>
      </c>
      <c r="O476">
        <v>964.8</v>
      </c>
      <c r="P476">
        <v>0</v>
      </c>
      <c r="Q476">
        <v>9004.7999999999993</v>
      </c>
      <c r="R476" t="s">
        <v>106</v>
      </c>
      <c r="S476" t="s">
        <v>49</v>
      </c>
      <c r="T476" t="s">
        <v>213</v>
      </c>
      <c r="U476" t="s">
        <v>161</v>
      </c>
      <c r="V476" t="s">
        <v>67</v>
      </c>
      <c r="W476" t="s">
        <v>68</v>
      </c>
      <c r="X476" t="s">
        <v>750</v>
      </c>
      <c r="Y476" t="s">
        <v>127</v>
      </c>
      <c r="Z476" t="s">
        <v>68</v>
      </c>
      <c r="AA476" t="s">
        <v>1791</v>
      </c>
      <c r="AB476" t="s">
        <v>3335</v>
      </c>
      <c r="AC476">
        <v>3</v>
      </c>
      <c r="AD476" t="s">
        <v>179</v>
      </c>
      <c r="AE476" t="s">
        <v>3336</v>
      </c>
      <c r="AF476" t="s">
        <v>262</v>
      </c>
      <c r="AG476" t="s">
        <v>58</v>
      </c>
      <c r="AH476" s="1">
        <v>45055</v>
      </c>
      <c r="AI476" s="1">
        <v>45142</v>
      </c>
      <c r="AJ476" s="1">
        <v>45068</v>
      </c>
      <c r="AK476" t="s">
        <v>3485</v>
      </c>
      <c r="AL476" t="s">
        <v>1790</v>
      </c>
    </row>
    <row r="477" spans="1:38" x14ac:dyDescent="0.35">
      <c r="A477" t="s">
        <v>1792</v>
      </c>
      <c r="B477" t="s">
        <v>680</v>
      </c>
      <c r="C477" t="s">
        <v>43</v>
      </c>
      <c r="D477" t="s">
        <v>329</v>
      </c>
      <c r="E477" t="s">
        <v>250</v>
      </c>
      <c r="F477" t="s">
        <v>134</v>
      </c>
      <c r="G477" t="s">
        <v>330</v>
      </c>
      <c r="H477">
        <v>21390</v>
      </c>
      <c r="I477">
        <f>Sales_Transactions_Raw[[#This Row],[Unit_Price]]*Sales_Transactions_Raw[[#This Row],[Quantity]]</f>
        <v>64170</v>
      </c>
      <c r="J477">
        <v>3</v>
      </c>
      <c r="K477">
        <v>10</v>
      </c>
      <c r="L477">
        <v>6417</v>
      </c>
      <c r="M477">
        <v>57753</v>
      </c>
      <c r="N477">
        <v>5</v>
      </c>
      <c r="O477">
        <v>2887.65</v>
      </c>
      <c r="P477">
        <v>0</v>
      </c>
      <c r="Q477">
        <v>60640.65</v>
      </c>
      <c r="R477" t="s">
        <v>124</v>
      </c>
      <c r="S477" t="s">
        <v>65</v>
      </c>
      <c r="T477" t="s">
        <v>115</v>
      </c>
      <c r="U477" t="s">
        <v>196</v>
      </c>
      <c r="V477" t="s">
        <v>149</v>
      </c>
      <c r="W477" t="s">
        <v>81</v>
      </c>
      <c r="X477" t="s">
        <v>288</v>
      </c>
      <c r="Y477" t="s">
        <v>289</v>
      </c>
      <c r="Z477" t="s">
        <v>52</v>
      </c>
      <c r="AA477" t="s">
        <v>1794</v>
      </c>
      <c r="AB477" t="s">
        <v>3338</v>
      </c>
      <c r="AC477">
        <v>4</v>
      </c>
      <c r="AD477" t="s">
        <v>56</v>
      </c>
      <c r="AE477" t="s">
        <v>3336</v>
      </c>
      <c r="AF477" t="s">
        <v>227</v>
      </c>
      <c r="AG477" t="s">
        <v>111</v>
      </c>
      <c r="AH477" s="1">
        <v>44943</v>
      </c>
      <c r="AI477" s="1">
        <v>44944</v>
      </c>
      <c r="AJ477" s="1">
        <v>44953</v>
      </c>
      <c r="AK477" t="s">
        <v>3544</v>
      </c>
      <c r="AL477" t="s">
        <v>1793</v>
      </c>
    </row>
    <row r="478" spans="1:38" x14ac:dyDescent="0.35">
      <c r="A478" t="s">
        <v>1795</v>
      </c>
      <c r="B478" t="s">
        <v>400</v>
      </c>
      <c r="C478" t="s">
        <v>43</v>
      </c>
      <c r="D478" t="s">
        <v>490</v>
      </c>
      <c r="E478" t="s">
        <v>91</v>
      </c>
      <c r="F478" t="s">
        <v>46</v>
      </c>
      <c r="G478" t="s">
        <v>369</v>
      </c>
      <c r="H478">
        <v>69760</v>
      </c>
      <c r="I478">
        <f>Sales_Transactions_Raw[[#This Row],[Unit_Price]]*Sales_Transactions_Raw[[#This Row],[Quantity]]</f>
        <v>139520</v>
      </c>
      <c r="J478">
        <v>2</v>
      </c>
      <c r="K478">
        <v>15</v>
      </c>
      <c r="L478">
        <v>20928</v>
      </c>
      <c r="M478">
        <v>118592</v>
      </c>
      <c r="N478">
        <v>18</v>
      </c>
      <c r="O478">
        <v>21346.560000000001</v>
      </c>
      <c r="P478">
        <v>0</v>
      </c>
      <c r="Q478">
        <v>139938.56</v>
      </c>
      <c r="R478" t="s">
        <v>106</v>
      </c>
      <c r="S478" t="s">
        <v>125</v>
      </c>
      <c r="T478" t="s">
        <v>115</v>
      </c>
      <c r="U478" t="s">
        <v>196</v>
      </c>
      <c r="V478" t="s">
        <v>67</v>
      </c>
      <c r="W478" t="s">
        <v>68</v>
      </c>
      <c r="X478" t="s">
        <v>578</v>
      </c>
      <c r="Y478" t="s">
        <v>54</v>
      </c>
      <c r="Z478" t="s">
        <v>70</v>
      </c>
      <c r="AA478" t="s">
        <v>1797</v>
      </c>
      <c r="AB478" t="s">
        <v>3335</v>
      </c>
      <c r="AC478">
        <v>1</v>
      </c>
      <c r="AD478" t="s">
        <v>56</v>
      </c>
      <c r="AE478" t="s">
        <v>3336</v>
      </c>
      <c r="AF478" t="s">
        <v>279</v>
      </c>
      <c r="AG478" t="s">
        <v>3342</v>
      </c>
      <c r="AH478" s="1">
        <v>45258</v>
      </c>
      <c r="AI478" s="1">
        <v>45259</v>
      </c>
      <c r="AJ478" s="1">
        <v>45263</v>
      </c>
      <c r="AK478" t="s">
        <v>3386</v>
      </c>
      <c r="AL478" t="s">
        <v>1796</v>
      </c>
    </row>
    <row r="479" spans="1:38" x14ac:dyDescent="0.35">
      <c r="A479" t="s">
        <v>1798</v>
      </c>
      <c r="B479" t="s">
        <v>513</v>
      </c>
      <c r="C479" t="s">
        <v>43</v>
      </c>
      <c r="D479" t="s">
        <v>335</v>
      </c>
      <c r="E479" t="s">
        <v>336</v>
      </c>
      <c r="F479" t="s">
        <v>134</v>
      </c>
      <c r="G479" t="s">
        <v>135</v>
      </c>
      <c r="H479">
        <v>9290</v>
      </c>
      <c r="I479">
        <f>Sales_Transactions_Raw[[#This Row],[Unit_Price]]*Sales_Transactions_Raw[[#This Row],[Quantity]]</f>
        <v>27870</v>
      </c>
      <c r="J479">
        <v>3</v>
      </c>
      <c r="K479">
        <v>15</v>
      </c>
      <c r="L479">
        <v>4180.5</v>
      </c>
      <c r="M479">
        <v>23689.5</v>
      </c>
      <c r="N479">
        <v>5</v>
      </c>
      <c r="O479">
        <v>1184.47</v>
      </c>
      <c r="P479">
        <v>0</v>
      </c>
      <c r="Q479">
        <v>24873.97</v>
      </c>
      <c r="R479" t="s">
        <v>48</v>
      </c>
      <c r="S479" t="s">
        <v>65</v>
      </c>
      <c r="T479" t="s">
        <v>115</v>
      </c>
      <c r="U479" t="s">
        <v>196</v>
      </c>
      <c r="V479" t="s">
        <v>94</v>
      </c>
      <c r="W479" t="s">
        <v>95</v>
      </c>
      <c r="X479" t="s">
        <v>204</v>
      </c>
      <c r="Y479" t="s">
        <v>118</v>
      </c>
      <c r="Z479" t="s">
        <v>70</v>
      </c>
      <c r="AA479" t="s">
        <v>1800</v>
      </c>
      <c r="AB479" t="s">
        <v>3341</v>
      </c>
      <c r="AC479">
        <v>4</v>
      </c>
      <c r="AD479" t="s">
        <v>56</v>
      </c>
      <c r="AE479" t="s">
        <v>3336</v>
      </c>
      <c r="AF479" t="s">
        <v>164</v>
      </c>
      <c r="AG479" t="s">
        <v>58</v>
      </c>
      <c r="AH479" s="1">
        <v>45125</v>
      </c>
      <c r="AI479" s="1">
        <v>45126</v>
      </c>
      <c r="AJ479" s="1">
        <v>45136</v>
      </c>
      <c r="AK479" t="s">
        <v>3617</v>
      </c>
      <c r="AL479" t="s">
        <v>1799</v>
      </c>
    </row>
    <row r="480" spans="1:38" x14ac:dyDescent="0.35">
      <c r="A480" t="s">
        <v>1801</v>
      </c>
      <c r="B480" t="s">
        <v>948</v>
      </c>
      <c r="C480" t="s">
        <v>131</v>
      </c>
      <c r="D480" t="s">
        <v>174</v>
      </c>
      <c r="E480" t="s">
        <v>175</v>
      </c>
      <c r="F480" t="s">
        <v>46</v>
      </c>
      <c r="G480" t="s">
        <v>176</v>
      </c>
      <c r="H480">
        <v>1460</v>
      </c>
      <c r="I480">
        <f>Sales_Transactions_Raw[[#This Row],[Unit_Price]]*Sales_Transactions_Raw[[#This Row],[Quantity]]</f>
        <v>1460</v>
      </c>
      <c r="J480">
        <v>1</v>
      </c>
      <c r="K480">
        <v>15</v>
      </c>
      <c r="L480">
        <v>219</v>
      </c>
      <c r="M480">
        <v>1241</v>
      </c>
      <c r="N480">
        <v>18</v>
      </c>
      <c r="O480">
        <v>223.38</v>
      </c>
      <c r="P480">
        <v>79</v>
      </c>
      <c r="Q480">
        <v>1464.38</v>
      </c>
      <c r="R480" t="s">
        <v>79</v>
      </c>
      <c r="S480" t="s">
        <v>65</v>
      </c>
      <c r="T480" t="s">
        <v>115</v>
      </c>
      <c r="U480" t="s">
        <v>196</v>
      </c>
      <c r="V480" t="s">
        <v>276</v>
      </c>
      <c r="W480" t="s">
        <v>95</v>
      </c>
      <c r="X480" t="s">
        <v>922</v>
      </c>
      <c r="Y480" t="s">
        <v>199</v>
      </c>
      <c r="Z480" t="s">
        <v>52</v>
      </c>
      <c r="AA480" t="s">
        <v>1803</v>
      </c>
      <c r="AB480" t="s">
        <v>3343</v>
      </c>
      <c r="AC480">
        <v>4</v>
      </c>
      <c r="AD480" t="s">
        <v>56</v>
      </c>
      <c r="AE480" t="s">
        <v>3336</v>
      </c>
      <c r="AF480" t="s">
        <v>153</v>
      </c>
      <c r="AG480" t="s">
        <v>58</v>
      </c>
      <c r="AH480" s="1">
        <v>45211</v>
      </c>
      <c r="AI480" s="1">
        <v>45276</v>
      </c>
      <c r="AJ480" s="1">
        <v>45283</v>
      </c>
      <c r="AK480" t="s">
        <v>3618</v>
      </c>
      <c r="AL480" t="s">
        <v>1802</v>
      </c>
    </row>
    <row r="481" spans="1:38" x14ac:dyDescent="0.35">
      <c r="A481" t="s">
        <v>1804</v>
      </c>
      <c r="B481" t="s">
        <v>1158</v>
      </c>
      <c r="C481" t="s">
        <v>157</v>
      </c>
      <c r="D481" t="s">
        <v>310</v>
      </c>
      <c r="E481" t="s">
        <v>311</v>
      </c>
      <c r="F481" t="s">
        <v>211</v>
      </c>
      <c r="G481" t="s">
        <v>312</v>
      </c>
      <c r="H481">
        <v>11450</v>
      </c>
      <c r="I481">
        <f>Sales_Transactions_Raw[[#This Row],[Unit_Price]]*Sales_Transactions_Raw[[#This Row],[Quantity]]</f>
        <v>11450</v>
      </c>
      <c r="J481">
        <v>1</v>
      </c>
      <c r="K481">
        <v>0</v>
      </c>
      <c r="L481">
        <v>0</v>
      </c>
      <c r="M481">
        <v>11450</v>
      </c>
      <c r="N481">
        <v>5</v>
      </c>
      <c r="O481">
        <v>572.5</v>
      </c>
      <c r="P481">
        <v>0</v>
      </c>
      <c r="Q481">
        <v>12022.5</v>
      </c>
      <c r="R481" t="s">
        <v>92</v>
      </c>
      <c r="S481" t="s">
        <v>93</v>
      </c>
      <c r="T481" t="s">
        <v>66</v>
      </c>
      <c r="U481" t="s">
        <v>196</v>
      </c>
      <c r="V481" t="s">
        <v>297</v>
      </c>
      <c r="W481" t="s">
        <v>52</v>
      </c>
      <c r="X481" t="s">
        <v>117</v>
      </c>
      <c r="Y481" t="s">
        <v>118</v>
      </c>
      <c r="Z481" t="s">
        <v>70</v>
      </c>
      <c r="AA481" t="s">
        <v>1806</v>
      </c>
      <c r="AB481" t="s">
        <v>3344</v>
      </c>
      <c r="AC481">
        <v>4</v>
      </c>
      <c r="AD481" t="s">
        <v>56</v>
      </c>
      <c r="AE481" t="s">
        <v>3336</v>
      </c>
      <c r="AF481" t="s">
        <v>153</v>
      </c>
      <c r="AG481" t="s">
        <v>3342</v>
      </c>
      <c r="AH481" s="1">
        <v>45112</v>
      </c>
      <c r="AI481" s="1">
        <v>45117</v>
      </c>
      <c r="AJ481" s="1">
        <v>45125</v>
      </c>
      <c r="AK481" t="s">
        <v>3520</v>
      </c>
      <c r="AL481" t="s">
        <v>1805</v>
      </c>
    </row>
    <row r="482" spans="1:38" x14ac:dyDescent="0.35">
      <c r="A482" t="s">
        <v>1807</v>
      </c>
      <c r="B482" t="s">
        <v>457</v>
      </c>
      <c r="C482" t="s">
        <v>157</v>
      </c>
      <c r="D482" t="s">
        <v>345</v>
      </c>
      <c r="E482" t="s">
        <v>346</v>
      </c>
      <c r="F482" t="s">
        <v>46</v>
      </c>
      <c r="G482" t="s">
        <v>63</v>
      </c>
      <c r="H482">
        <v>125220</v>
      </c>
      <c r="I482">
        <f>Sales_Transactions_Raw[[#This Row],[Unit_Price]]*Sales_Transactions_Raw[[#This Row],[Quantity]]</f>
        <v>751320</v>
      </c>
      <c r="J482">
        <v>6</v>
      </c>
      <c r="K482">
        <v>10</v>
      </c>
      <c r="L482">
        <v>75132</v>
      </c>
      <c r="M482">
        <v>676188</v>
      </c>
      <c r="N482">
        <v>18</v>
      </c>
      <c r="O482">
        <v>121713.84</v>
      </c>
      <c r="P482">
        <v>0</v>
      </c>
      <c r="Q482">
        <v>797901.84</v>
      </c>
      <c r="R482" t="s">
        <v>92</v>
      </c>
      <c r="S482" t="s">
        <v>65</v>
      </c>
      <c r="T482" t="s">
        <v>115</v>
      </c>
      <c r="U482" t="s">
        <v>196</v>
      </c>
      <c r="V482" t="s">
        <v>269</v>
      </c>
      <c r="W482" t="s">
        <v>70</v>
      </c>
      <c r="X482" t="s">
        <v>443</v>
      </c>
      <c r="Y482" t="s">
        <v>97</v>
      </c>
      <c r="Z482" t="s">
        <v>95</v>
      </c>
      <c r="AA482" t="s">
        <v>1809</v>
      </c>
      <c r="AB482" t="s">
        <v>3335</v>
      </c>
      <c r="AC482">
        <v>5</v>
      </c>
      <c r="AD482" t="s">
        <v>56</v>
      </c>
      <c r="AE482" t="s">
        <v>3336</v>
      </c>
      <c r="AF482" t="s">
        <v>326</v>
      </c>
      <c r="AG482" t="s">
        <v>3342</v>
      </c>
      <c r="AH482" s="1">
        <v>45326</v>
      </c>
      <c r="AI482" s="1">
        <v>45328</v>
      </c>
      <c r="AJ482" s="1">
        <v>45335</v>
      </c>
      <c r="AK482" t="s">
        <v>3606</v>
      </c>
      <c r="AL482" t="s">
        <v>1808</v>
      </c>
    </row>
    <row r="483" spans="1:38" x14ac:dyDescent="0.35">
      <c r="A483" t="s">
        <v>1810</v>
      </c>
      <c r="B483" t="s">
        <v>1107</v>
      </c>
      <c r="C483" t="s">
        <v>43</v>
      </c>
      <c r="D483" t="s">
        <v>132</v>
      </c>
      <c r="E483" t="s">
        <v>133</v>
      </c>
      <c r="F483" t="s">
        <v>134</v>
      </c>
      <c r="G483" t="s">
        <v>135</v>
      </c>
      <c r="H483">
        <v>2760</v>
      </c>
      <c r="I483">
        <f>Sales_Transactions_Raw[[#This Row],[Unit_Price]]*Sales_Transactions_Raw[[#This Row],[Quantity]]</f>
        <v>11040</v>
      </c>
      <c r="J483">
        <v>4</v>
      </c>
      <c r="K483">
        <v>5</v>
      </c>
      <c r="L483">
        <v>552</v>
      </c>
      <c r="M483">
        <v>10488</v>
      </c>
      <c r="N483">
        <v>5</v>
      </c>
      <c r="O483">
        <v>524.4</v>
      </c>
      <c r="P483">
        <v>0</v>
      </c>
      <c r="Q483">
        <v>11012.4</v>
      </c>
      <c r="R483" t="s">
        <v>48</v>
      </c>
      <c r="S483" t="s">
        <v>107</v>
      </c>
      <c r="T483" t="s">
        <v>66</v>
      </c>
      <c r="U483" t="s">
        <v>108</v>
      </c>
      <c r="V483" t="s">
        <v>149</v>
      </c>
      <c r="W483" t="s">
        <v>81</v>
      </c>
      <c r="X483" t="s">
        <v>162</v>
      </c>
      <c r="Y483" t="s">
        <v>109</v>
      </c>
      <c r="Z483" t="s">
        <v>70</v>
      </c>
      <c r="AA483" t="s">
        <v>1812</v>
      </c>
      <c r="AB483" t="s">
        <v>3335</v>
      </c>
      <c r="AC483">
        <v>5</v>
      </c>
      <c r="AD483" t="s">
        <v>56</v>
      </c>
      <c r="AE483" t="s">
        <v>3336</v>
      </c>
      <c r="AF483" t="s">
        <v>227</v>
      </c>
      <c r="AG483" t="s">
        <v>85</v>
      </c>
      <c r="AH483" s="1">
        <v>45156</v>
      </c>
      <c r="AI483" s="1">
        <v>45159</v>
      </c>
      <c r="AJ483" s="1">
        <v>45165</v>
      </c>
      <c r="AK483" t="s">
        <v>3619</v>
      </c>
      <c r="AL483" t="s">
        <v>1811</v>
      </c>
    </row>
    <row r="484" spans="1:38" x14ac:dyDescent="0.35">
      <c r="A484" t="s">
        <v>1813</v>
      </c>
      <c r="B484" t="s">
        <v>355</v>
      </c>
      <c r="C484" t="s">
        <v>43</v>
      </c>
      <c r="D484" t="s">
        <v>375</v>
      </c>
      <c r="E484" t="s">
        <v>376</v>
      </c>
      <c r="F484" t="s">
        <v>146</v>
      </c>
      <c r="G484" t="s">
        <v>147</v>
      </c>
      <c r="H484">
        <v>9680</v>
      </c>
      <c r="I484">
        <f>Sales_Transactions_Raw[[#This Row],[Unit_Price]]*Sales_Transactions_Raw[[#This Row],[Quantity]]</f>
        <v>96800</v>
      </c>
      <c r="J484">
        <v>10</v>
      </c>
      <c r="K484">
        <v>5</v>
      </c>
      <c r="L484">
        <v>4840</v>
      </c>
      <c r="M484">
        <v>91960</v>
      </c>
      <c r="N484">
        <v>12</v>
      </c>
      <c r="O484">
        <v>11035.2</v>
      </c>
      <c r="P484">
        <v>0</v>
      </c>
      <c r="Q484">
        <v>102995.2</v>
      </c>
      <c r="R484" t="s">
        <v>106</v>
      </c>
      <c r="S484" t="s">
        <v>125</v>
      </c>
      <c r="T484" t="s">
        <v>115</v>
      </c>
      <c r="U484" t="s">
        <v>161</v>
      </c>
      <c r="V484" t="s">
        <v>276</v>
      </c>
      <c r="W484" t="s">
        <v>95</v>
      </c>
      <c r="X484" t="s">
        <v>260</v>
      </c>
      <c r="Y484" t="s">
        <v>118</v>
      </c>
      <c r="Z484" t="s">
        <v>70</v>
      </c>
      <c r="AA484" t="s">
        <v>1815</v>
      </c>
      <c r="AB484" t="s">
        <v>3335</v>
      </c>
      <c r="AC484">
        <v>4</v>
      </c>
      <c r="AD484" t="s">
        <v>56</v>
      </c>
      <c r="AE484" t="s">
        <v>3336</v>
      </c>
      <c r="AF484" t="s">
        <v>227</v>
      </c>
      <c r="AG484" t="s">
        <v>3342</v>
      </c>
      <c r="AH484" s="1">
        <v>45208</v>
      </c>
      <c r="AI484" s="1">
        <v>45213</v>
      </c>
      <c r="AJ484" s="1">
        <v>45218</v>
      </c>
      <c r="AK484" t="s">
        <v>3379</v>
      </c>
      <c r="AL484" t="s">
        <v>1814</v>
      </c>
    </row>
    <row r="485" spans="1:38" x14ac:dyDescent="0.35">
      <c r="A485" t="s">
        <v>1816</v>
      </c>
      <c r="B485" t="s">
        <v>87</v>
      </c>
      <c r="C485" t="s">
        <v>43</v>
      </c>
      <c r="D485" t="s">
        <v>158</v>
      </c>
      <c r="E485" t="s">
        <v>159</v>
      </c>
      <c r="F485" t="s">
        <v>46</v>
      </c>
      <c r="G485" t="s">
        <v>105</v>
      </c>
      <c r="H485">
        <v>48730</v>
      </c>
      <c r="I485">
        <f>Sales_Transactions_Raw[[#This Row],[Unit_Price]]*Sales_Transactions_Raw[[#This Row],[Quantity]]</f>
        <v>438570</v>
      </c>
      <c r="J485">
        <v>9</v>
      </c>
      <c r="K485">
        <v>5</v>
      </c>
      <c r="L485">
        <v>21928.5</v>
      </c>
      <c r="M485">
        <v>416641.5</v>
      </c>
      <c r="N485">
        <v>18</v>
      </c>
      <c r="O485">
        <v>74995.47</v>
      </c>
      <c r="P485">
        <v>0</v>
      </c>
      <c r="Q485">
        <v>491636.97</v>
      </c>
      <c r="R485" t="s">
        <v>79</v>
      </c>
      <c r="S485" t="s">
        <v>65</v>
      </c>
      <c r="T485" t="s">
        <v>136</v>
      </c>
      <c r="U485" t="s">
        <v>161</v>
      </c>
      <c r="V485" t="s">
        <v>297</v>
      </c>
      <c r="W485" t="s">
        <v>52</v>
      </c>
      <c r="X485" t="s">
        <v>578</v>
      </c>
      <c r="Y485" t="s">
        <v>54</v>
      </c>
      <c r="Z485" t="s">
        <v>70</v>
      </c>
      <c r="AA485" t="s">
        <v>1818</v>
      </c>
      <c r="AB485" t="s">
        <v>3341</v>
      </c>
      <c r="AC485">
        <v>4</v>
      </c>
      <c r="AD485" t="s">
        <v>56</v>
      </c>
      <c r="AE485" t="s">
        <v>3336</v>
      </c>
      <c r="AF485" t="s">
        <v>279</v>
      </c>
      <c r="AG485" t="s">
        <v>85</v>
      </c>
      <c r="AH485" s="1">
        <v>45152</v>
      </c>
      <c r="AI485" s="1">
        <v>45157</v>
      </c>
      <c r="AJ485" s="1">
        <v>45160</v>
      </c>
      <c r="AK485" t="s">
        <v>3501</v>
      </c>
      <c r="AL485" t="s">
        <v>1817</v>
      </c>
    </row>
    <row r="486" spans="1:38" x14ac:dyDescent="0.35">
      <c r="A486" t="s">
        <v>1819</v>
      </c>
      <c r="B486" t="s">
        <v>524</v>
      </c>
      <c r="C486" t="s">
        <v>157</v>
      </c>
      <c r="D486" t="s">
        <v>90</v>
      </c>
      <c r="E486" t="s">
        <v>91</v>
      </c>
      <c r="F486" t="s">
        <v>46</v>
      </c>
      <c r="G486" t="s">
        <v>78</v>
      </c>
      <c r="H486">
        <v>93540</v>
      </c>
      <c r="I486">
        <f>Sales_Transactions_Raw[[#This Row],[Unit_Price]]*Sales_Transactions_Raw[[#This Row],[Quantity]]</f>
        <v>748320</v>
      </c>
      <c r="J486">
        <v>8</v>
      </c>
      <c r="K486">
        <v>10</v>
      </c>
      <c r="L486">
        <v>74832</v>
      </c>
      <c r="M486">
        <v>673488</v>
      </c>
      <c r="N486">
        <v>18</v>
      </c>
      <c r="O486">
        <v>121227.84</v>
      </c>
      <c r="P486">
        <v>0</v>
      </c>
      <c r="Q486">
        <v>794715.84</v>
      </c>
      <c r="R486" t="s">
        <v>79</v>
      </c>
      <c r="S486" t="s">
        <v>107</v>
      </c>
      <c r="T486" t="s">
        <v>115</v>
      </c>
      <c r="U486" t="s">
        <v>50</v>
      </c>
      <c r="V486" t="s">
        <v>80</v>
      </c>
      <c r="W486" t="s">
        <v>81</v>
      </c>
      <c r="X486" t="s">
        <v>237</v>
      </c>
      <c r="Y486" t="s">
        <v>138</v>
      </c>
      <c r="Z486" t="s">
        <v>81</v>
      </c>
      <c r="AA486" t="s">
        <v>1821</v>
      </c>
      <c r="AB486" t="s">
        <v>3339</v>
      </c>
      <c r="AC486">
        <v>4</v>
      </c>
      <c r="AD486" t="s">
        <v>56</v>
      </c>
      <c r="AE486" t="s">
        <v>3336</v>
      </c>
      <c r="AF486" t="s">
        <v>72</v>
      </c>
      <c r="AG486" t="s">
        <v>85</v>
      </c>
      <c r="AH486" s="1">
        <v>45469</v>
      </c>
      <c r="AI486" s="1">
        <v>45298</v>
      </c>
      <c r="AJ486" s="1">
        <v>45542</v>
      </c>
      <c r="AK486" t="s">
        <v>3620</v>
      </c>
      <c r="AL486" t="s">
        <v>1820</v>
      </c>
    </row>
    <row r="487" spans="1:38" x14ac:dyDescent="0.35">
      <c r="A487" t="s">
        <v>1822</v>
      </c>
      <c r="B487" t="s">
        <v>155</v>
      </c>
      <c r="C487" t="s">
        <v>157</v>
      </c>
      <c r="D487" t="s">
        <v>490</v>
      </c>
      <c r="E487" t="s">
        <v>91</v>
      </c>
      <c r="F487" t="s">
        <v>46</v>
      </c>
      <c r="G487" t="s">
        <v>369</v>
      </c>
      <c r="H487">
        <v>75670</v>
      </c>
      <c r="I487">
        <f>Sales_Transactions_Raw[[#This Row],[Unit_Price]]*Sales_Transactions_Raw[[#This Row],[Quantity]]</f>
        <v>605360</v>
      </c>
      <c r="J487">
        <v>8</v>
      </c>
      <c r="K487">
        <v>10</v>
      </c>
      <c r="L487">
        <v>60536</v>
      </c>
      <c r="M487">
        <v>544824</v>
      </c>
      <c r="N487">
        <v>18</v>
      </c>
      <c r="O487">
        <v>98068.32</v>
      </c>
      <c r="P487">
        <v>0</v>
      </c>
      <c r="Q487">
        <v>642892.32000000007</v>
      </c>
      <c r="R487" t="s">
        <v>79</v>
      </c>
      <c r="S487" t="s">
        <v>49</v>
      </c>
      <c r="T487" t="s">
        <v>115</v>
      </c>
      <c r="U487" t="s">
        <v>50</v>
      </c>
      <c r="V487" t="s">
        <v>177</v>
      </c>
      <c r="W487" t="s">
        <v>81</v>
      </c>
      <c r="X487" t="s">
        <v>260</v>
      </c>
      <c r="Y487" t="s">
        <v>118</v>
      </c>
      <c r="Z487" t="s">
        <v>70</v>
      </c>
      <c r="AA487" t="s">
        <v>1824</v>
      </c>
      <c r="AB487" t="s">
        <v>3335</v>
      </c>
      <c r="AC487">
        <v>5</v>
      </c>
      <c r="AD487" t="s">
        <v>56</v>
      </c>
      <c r="AE487" t="s">
        <v>3336</v>
      </c>
      <c r="AF487" t="s">
        <v>153</v>
      </c>
      <c r="AG487" t="s">
        <v>3342</v>
      </c>
      <c r="AH487" s="1">
        <v>45402</v>
      </c>
      <c r="AI487" s="1">
        <v>45408</v>
      </c>
      <c r="AJ487" s="1">
        <v>45410</v>
      </c>
      <c r="AK487" t="s">
        <v>3608</v>
      </c>
      <c r="AL487" t="s">
        <v>1823</v>
      </c>
    </row>
    <row r="488" spans="1:38" x14ac:dyDescent="0.35">
      <c r="A488" t="s">
        <v>1825</v>
      </c>
      <c r="B488" t="s">
        <v>765</v>
      </c>
      <c r="C488" t="s">
        <v>43</v>
      </c>
      <c r="D488" t="s">
        <v>274</v>
      </c>
      <c r="E488" t="s">
        <v>275</v>
      </c>
      <c r="F488" t="s">
        <v>211</v>
      </c>
      <c r="G488" t="s">
        <v>268</v>
      </c>
      <c r="H488">
        <v>14630</v>
      </c>
      <c r="I488">
        <f>Sales_Transactions_Raw[[#This Row],[Unit_Price]]*Sales_Transactions_Raw[[#This Row],[Quantity]]</f>
        <v>14630</v>
      </c>
      <c r="J488">
        <v>1</v>
      </c>
      <c r="K488">
        <v>0</v>
      </c>
      <c r="L488">
        <v>0</v>
      </c>
      <c r="M488">
        <v>14630</v>
      </c>
      <c r="N488">
        <v>5</v>
      </c>
      <c r="O488">
        <v>731.5</v>
      </c>
      <c r="P488">
        <v>0</v>
      </c>
      <c r="Q488">
        <v>15361.5</v>
      </c>
      <c r="R488" t="s">
        <v>106</v>
      </c>
      <c r="S488" t="s">
        <v>93</v>
      </c>
      <c r="T488" t="s">
        <v>115</v>
      </c>
      <c r="U488" t="s">
        <v>196</v>
      </c>
      <c r="V488" t="s">
        <v>224</v>
      </c>
      <c r="W488" t="s">
        <v>95</v>
      </c>
      <c r="X488" t="s">
        <v>225</v>
      </c>
      <c r="Y488" t="s">
        <v>226</v>
      </c>
      <c r="Z488" t="s">
        <v>95</v>
      </c>
      <c r="AA488" t="s">
        <v>1827</v>
      </c>
      <c r="AB488" t="s">
        <v>3340</v>
      </c>
      <c r="AC488">
        <v>4</v>
      </c>
      <c r="AD488" t="s">
        <v>56</v>
      </c>
      <c r="AE488" t="s">
        <v>3336</v>
      </c>
      <c r="AF488" t="s">
        <v>72</v>
      </c>
      <c r="AG488" t="s">
        <v>111</v>
      </c>
      <c r="AH488" s="1">
        <v>45116</v>
      </c>
      <c r="AI488" s="1">
        <v>45120</v>
      </c>
      <c r="AJ488" s="1">
        <v>45123</v>
      </c>
      <c r="AK488" t="s">
        <v>3537</v>
      </c>
      <c r="AL488" t="s">
        <v>1826</v>
      </c>
    </row>
    <row r="489" spans="1:38" x14ac:dyDescent="0.35">
      <c r="A489" t="s">
        <v>1828</v>
      </c>
      <c r="B489" t="s">
        <v>581</v>
      </c>
      <c r="C489" t="s">
        <v>43</v>
      </c>
      <c r="D489" t="s">
        <v>62</v>
      </c>
      <c r="E489" t="s">
        <v>45</v>
      </c>
      <c r="F489" t="s">
        <v>46</v>
      </c>
      <c r="G489" t="s">
        <v>63</v>
      </c>
      <c r="H489">
        <v>60680</v>
      </c>
      <c r="I489">
        <f>Sales_Transactions_Raw[[#This Row],[Unit_Price]]*Sales_Transactions_Raw[[#This Row],[Quantity]]</f>
        <v>121360</v>
      </c>
      <c r="J489">
        <v>2</v>
      </c>
      <c r="K489">
        <v>0</v>
      </c>
      <c r="L489">
        <v>0</v>
      </c>
      <c r="M489">
        <v>121360</v>
      </c>
      <c r="N489">
        <v>18</v>
      </c>
      <c r="O489">
        <v>21844.799999999999</v>
      </c>
      <c r="P489">
        <v>0</v>
      </c>
      <c r="Q489">
        <v>143204.79999999999</v>
      </c>
      <c r="R489" t="s">
        <v>124</v>
      </c>
      <c r="S489" t="s">
        <v>65</v>
      </c>
      <c r="T489" t="s">
        <v>148</v>
      </c>
      <c r="U489" t="s">
        <v>108</v>
      </c>
      <c r="V489" t="s">
        <v>80</v>
      </c>
      <c r="W489" t="s">
        <v>81</v>
      </c>
      <c r="X489" t="s">
        <v>474</v>
      </c>
      <c r="Y489" t="s">
        <v>169</v>
      </c>
      <c r="Z489" t="s">
        <v>95</v>
      </c>
      <c r="AA489" t="s">
        <v>1830</v>
      </c>
      <c r="AB489" t="s">
        <v>3340</v>
      </c>
      <c r="AC489">
        <v>2</v>
      </c>
      <c r="AD489" t="s">
        <v>179</v>
      </c>
      <c r="AE489" t="s">
        <v>206</v>
      </c>
      <c r="AF489" t="s">
        <v>72</v>
      </c>
      <c r="AG489" t="s">
        <v>58</v>
      </c>
      <c r="AH489" s="1">
        <v>45326</v>
      </c>
      <c r="AI489" s="1">
        <v>45330</v>
      </c>
      <c r="AJ489" s="1">
        <v>45334</v>
      </c>
      <c r="AK489" t="s">
        <v>3417</v>
      </c>
      <c r="AL489" t="s">
        <v>1829</v>
      </c>
    </row>
    <row r="490" spans="1:38" x14ac:dyDescent="0.35">
      <c r="A490" t="s">
        <v>1831</v>
      </c>
      <c r="B490" t="s">
        <v>315</v>
      </c>
      <c r="C490" t="s">
        <v>43</v>
      </c>
      <c r="D490" t="s">
        <v>630</v>
      </c>
      <c r="E490" t="s">
        <v>450</v>
      </c>
      <c r="F490" t="s">
        <v>134</v>
      </c>
      <c r="G490" t="s">
        <v>497</v>
      </c>
      <c r="H490">
        <v>44460</v>
      </c>
      <c r="I490">
        <f>Sales_Transactions_Raw[[#This Row],[Unit_Price]]*Sales_Transactions_Raw[[#This Row],[Quantity]]</f>
        <v>44460</v>
      </c>
      <c r="J490">
        <v>1</v>
      </c>
      <c r="K490">
        <v>15</v>
      </c>
      <c r="L490">
        <v>6669</v>
      </c>
      <c r="M490">
        <v>37791</v>
      </c>
      <c r="N490">
        <v>5</v>
      </c>
      <c r="O490">
        <v>1889.55</v>
      </c>
      <c r="P490">
        <v>0</v>
      </c>
      <c r="Q490">
        <v>39680.550000000003</v>
      </c>
      <c r="R490" t="s">
        <v>160</v>
      </c>
      <c r="S490" t="s">
        <v>65</v>
      </c>
      <c r="T490" t="s">
        <v>115</v>
      </c>
      <c r="U490" t="s">
        <v>214</v>
      </c>
      <c r="V490" t="s">
        <v>94</v>
      </c>
      <c r="W490" t="s">
        <v>95</v>
      </c>
      <c r="X490" t="s">
        <v>362</v>
      </c>
      <c r="Y490" t="s">
        <v>118</v>
      </c>
      <c r="Z490" t="s">
        <v>70</v>
      </c>
      <c r="AA490" t="s">
        <v>1833</v>
      </c>
      <c r="AB490" t="s">
        <v>3344</v>
      </c>
      <c r="AC490">
        <v>5</v>
      </c>
      <c r="AD490" t="s">
        <v>56</v>
      </c>
      <c r="AE490" t="s">
        <v>3336</v>
      </c>
      <c r="AF490" t="s">
        <v>57</v>
      </c>
      <c r="AG490" t="s">
        <v>111</v>
      </c>
      <c r="AH490" s="1">
        <v>45124</v>
      </c>
      <c r="AI490" s="1">
        <v>45127</v>
      </c>
      <c r="AJ490" s="1">
        <v>45133</v>
      </c>
      <c r="AK490" t="s">
        <v>3372</v>
      </c>
      <c r="AL490" t="s">
        <v>1832</v>
      </c>
    </row>
    <row r="491" spans="1:38" x14ac:dyDescent="0.35">
      <c r="A491" t="s">
        <v>1834</v>
      </c>
      <c r="B491" t="s">
        <v>781</v>
      </c>
      <c r="C491" t="s">
        <v>157</v>
      </c>
      <c r="D491" t="s">
        <v>504</v>
      </c>
      <c r="E491" t="s">
        <v>91</v>
      </c>
      <c r="F491" t="s">
        <v>134</v>
      </c>
      <c r="G491" t="s">
        <v>330</v>
      </c>
      <c r="H491">
        <v>26870</v>
      </c>
      <c r="I491">
        <f>Sales_Transactions_Raw[[#This Row],[Unit_Price]]*Sales_Transactions_Raw[[#This Row],[Quantity]]</f>
        <v>26870</v>
      </c>
      <c r="J491">
        <v>1</v>
      </c>
      <c r="K491">
        <v>5</v>
      </c>
      <c r="L491">
        <v>1343.5</v>
      </c>
      <c r="M491">
        <v>25526.5</v>
      </c>
      <c r="N491">
        <v>5</v>
      </c>
      <c r="O491">
        <v>1276.33</v>
      </c>
      <c r="P491">
        <v>0</v>
      </c>
      <c r="Q491">
        <v>26802.83</v>
      </c>
      <c r="R491" t="s">
        <v>64</v>
      </c>
      <c r="S491" t="s">
        <v>49</v>
      </c>
      <c r="T491" t="s">
        <v>115</v>
      </c>
      <c r="U491" t="s">
        <v>50</v>
      </c>
      <c r="V491" t="s">
        <v>80</v>
      </c>
      <c r="W491" t="s">
        <v>81</v>
      </c>
      <c r="X491" t="s">
        <v>277</v>
      </c>
      <c r="Y491" t="s">
        <v>127</v>
      </c>
      <c r="Z491" t="s">
        <v>68</v>
      </c>
      <c r="AA491" t="s">
        <v>1836</v>
      </c>
      <c r="AB491" t="s">
        <v>3339</v>
      </c>
      <c r="AC491">
        <v>4</v>
      </c>
      <c r="AD491" t="s">
        <v>56</v>
      </c>
      <c r="AE491" t="s">
        <v>3336</v>
      </c>
      <c r="AF491" t="s">
        <v>57</v>
      </c>
      <c r="AG491" t="s">
        <v>85</v>
      </c>
      <c r="AH491" s="1">
        <v>45449</v>
      </c>
      <c r="AI491" s="1">
        <v>45456</v>
      </c>
      <c r="AJ491" s="1">
        <v>45459</v>
      </c>
      <c r="AK491" t="s">
        <v>3621</v>
      </c>
      <c r="AL491" t="s">
        <v>1835</v>
      </c>
    </row>
    <row r="492" spans="1:38" x14ac:dyDescent="0.35">
      <c r="A492" t="s">
        <v>1837</v>
      </c>
      <c r="B492" t="s">
        <v>41</v>
      </c>
      <c r="C492" t="s">
        <v>43</v>
      </c>
      <c r="D492" t="s">
        <v>406</v>
      </c>
      <c r="E492" t="s">
        <v>231</v>
      </c>
      <c r="F492" t="s">
        <v>46</v>
      </c>
      <c r="G492" t="s">
        <v>369</v>
      </c>
      <c r="H492">
        <v>85010</v>
      </c>
      <c r="I492">
        <f>Sales_Transactions_Raw[[#This Row],[Unit_Price]]*Sales_Transactions_Raw[[#This Row],[Quantity]]</f>
        <v>170020</v>
      </c>
      <c r="J492">
        <v>2</v>
      </c>
      <c r="K492">
        <v>10</v>
      </c>
      <c r="L492">
        <v>17002</v>
      </c>
      <c r="M492">
        <v>153018</v>
      </c>
      <c r="N492">
        <v>18</v>
      </c>
      <c r="O492">
        <v>27543.24</v>
      </c>
      <c r="P492">
        <v>0</v>
      </c>
      <c r="Q492">
        <v>180561.24</v>
      </c>
      <c r="R492" t="s">
        <v>79</v>
      </c>
      <c r="S492" t="s">
        <v>93</v>
      </c>
      <c r="T492" t="s">
        <v>115</v>
      </c>
      <c r="U492" t="s">
        <v>108</v>
      </c>
      <c r="V492" t="s">
        <v>242</v>
      </c>
      <c r="W492" t="s">
        <v>70</v>
      </c>
      <c r="X492" t="s">
        <v>397</v>
      </c>
      <c r="Y492" t="s">
        <v>226</v>
      </c>
      <c r="Z492" t="s">
        <v>95</v>
      </c>
      <c r="AA492" t="s">
        <v>1839</v>
      </c>
      <c r="AB492" t="s">
        <v>3339</v>
      </c>
      <c r="AC492">
        <v>3</v>
      </c>
      <c r="AD492" t="s">
        <v>56</v>
      </c>
      <c r="AE492" t="s">
        <v>3336</v>
      </c>
      <c r="AF492" t="s">
        <v>72</v>
      </c>
      <c r="AG492" t="s">
        <v>3342</v>
      </c>
      <c r="AH492" s="1">
        <v>45367</v>
      </c>
      <c r="AI492" s="1">
        <v>45372</v>
      </c>
      <c r="AJ492" s="1">
        <v>45374</v>
      </c>
      <c r="AK492" t="s">
        <v>3345</v>
      </c>
      <c r="AL492" t="s">
        <v>1838</v>
      </c>
    </row>
    <row r="493" spans="1:38" x14ac:dyDescent="0.35">
      <c r="A493" t="s">
        <v>1840</v>
      </c>
      <c r="B493" t="s">
        <v>613</v>
      </c>
      <c r="C493" t="s">
        <v>43</v>
      </c>
      <c r="D493" t="s">
        <v>266</v>
      </c>
      <c r="E493" t="s">
        <v>267</v>
      </c>
      <c r="F493" t="s">
        <v>211</v>
      </c>
      <c r="G493" t="s">
        <v>268</v>
      </c>
      <c r="H493">
        <v>57350</v>
      </c>
      <c r="I493">
        <f>Sales_Transactions_Raw[[#This Row],[Unit_Price]]*Sales_Transactions_Raw[[#This Row],[Quantity]]</f>
        <v>172050</v>
      </c>
      <c r="J493">
        <v>3</v>
      </c>
      <c r="K493">
        <v>0</v>
      </c>
      <c r="L493">
        <v>0</v>
      </c>
      <c r="M493">
        <v>172050</v>
      </c>
      <c r="N493">
        <v>5</v>
      </c>
      <c r="O493">
        <v>8602.5</v>
      </c>
      <c r="P493">
        <v>0</v>
      </c>
      <c r="Q493">
        <v>180652.5</v>
      </c>
      <c r="R493" t="s">
        <v>48</v>
      </c>
      <c r="S493" t="s">
        <v>125</v>
      </c>
      <c r="T493" t="s">
        <v>115</v>
      </c>
      <c r="U493" t="s">
        <v>108</v>
      </c>
      <c r="V493" t="s">
        <v>51</v>
      </c>
      <c r="W493" t="s">
        <v>52</v>
      </c>
      <c r="X493" t="s">
        <v>117</v>
      </c>
      <c r="Y493" t="s">
        <v>118</v>
      </c>
      <c r="Z493" t="s">
        <v>70</v>
      </c>
      <c r="AA493" t="s">
        <v>1842</v>
      </c>
      <c r="AB493" t="s">
        <v>3344</v>
      </c>
      <c r="AC493">
        <v>3</v>
      </c>
      <c r="AD493" t="s">
        <v>56</v>
      </c>
      <c r="AE493" t="s">
        <v>3336</v>
      </c>
      <c r="AF493" t="s">
        <v>72</v>
      </c>
      <c r="AG493" t="s">
        <v>3337</v>
      </c>
      <c r="AH493" s="1">
        <v>45071</v>
      </c>
      <c r="AI493" s="1">
        <v>45074</v>
      </c>
      <c r="AJ493" s="1">
        <v>45078</v>
      </c>
      <c r="AK493" t="s">
        <v>3622</v>
      </c>
      <c r="AL493" t="s">
        <v>1841</v>
      </c>
    </row>
    <row r="494" spans="1:38" x14ac:dyDescent="0.35">
      <c r="A494" t="s">
        <v>1843</v>
      </c>
      <c r="B494" t="s">
        <v>292</v>
      </c>
      <c r="C494" t="s">
        <v>157</v>
      </c>
      <c r="D494" t="s">
        <v>209</v>
      </c>
      <c r="E494" t="s">
        <v>210</v>
      </c>
      <c r="F494" t="s">
        <v>211</v>
      </c>
      <c r="G494" t="s">
        <v>212</v>
      </c>
      <c r="H494">
        <v>4240</v>
      </c>
      <c r="I494">
        <f>Sales_Transactions_Raw[[#This Row],[Unit_Price]]*Sales_Transactions_Raw[[#This Row],[Quantity]]</f>
        <v>4240</v>
      </c>
      <c r="J494">
        <v>1</v>
      </c>
      <c r="K494">
        <v>0</v>
      </c>
      <c r="L494">
        <v>0</v>
      </c>
      <c r="M494">
        <v>4240</v>
      </c>
      <c r="N494">
        <v>5</v>
      </c>
      <c r="O494">
        <v>212</v>
      </c>
      <c r="P494">
        <v>99</v>
      </c>
      <c r="Q494">
        <v>4452</v>
      </c>
      <c r="R494" t="s">
        <v>124</v>
      </c>
      <c r="S494" t="s">
        <v>107</v>
      </c>
      <c r="T494" t="s">
        <v>115</v>
      </c>
      <c r="U494" t="s">
        <v>214</v>
      </c>
      <c r="V494" t="s">
        <v>269</v>
      </c>
      <c r="W494" t="s">
        <v>70</v>
      </c>
      <c r="X494" t="s">
        <v>243</v>
      </c>
      <c r="Y494" t="s">
        <v>244</v>
      </c>
      <c r="Z494" t="s">
        <v>70</v>
      </c>
      <c r="AA494" t="s">
        <v>1845</v>
      </c>
      <c r="AB494" t="s">
        <v>3340</v>
      </c>
      <c r="AC494">
        <v>3</v>
      </c>
      <c r="AD494" t="s">
        <v>56</v>
      </c>
      <c r="AE494" t="s">
        <v>3336</v>
      </c>
      <c r="AF494" t="s">
        <v>217</v>
      </c>
      <c r="AG494" t="s">
        <v>58</v>
      </c>
      <c r="AH494" s="1">
        <v>45088</v>
      </c>
      <c r="AI494" s="1">
        <v>45089</v>
      </c>
      <c r="AJ494" s="1">
        <v>45098</v>
      </c>
      <c r="AK494" t="s">
        <v>3430</v>
      </c>
      <c r="AL494" t="s">
        <v>1844</v>
      </c>
    </row>
    <row r="495" spans="1:38" x14ac:dyDescent="0.35">
      <c r="A495" t="s">
        <v>1846</v>
      </c>
      <c r="B495" t="s">
        <v>355</v>
      </c>
      <c r="C495" t="s">
        <v>43</v>
      </c>
      <c r="D495" t="s">
        <v>174</v>
      </c>
      <c r="E495" t="s">
        <v>175</v>
      </c>
      <c r="F495" t="s">
        <v>46</v>
      </c>
      <c r="G495" t="s">
        <v>176</v>
      </c>
      <c r="H495">
        <v>1460</v>
      </c>
      <c r="I495">
        <f>Sales_Transactions_Raw[[#This Row],[Unit_Price]]*Sales_Transactions_Raw[[#This Row],[Quantity]]</f>
        <v>1460</v>
      </c>
      <c r="J495">
        <v>1</v>
      </c>
      <c r="K495">
        <v>15</v>
      </c>
      <c r="L495">
        <v>219</v>
      </c>
      <c r="M495">
        <v>1241</v>
      </c>
      <c r="N495">
        <v>18</v>
      </c>
      <c r="O495">
        <v>223.38</v>
      </c>
      <c r="P495">
        <v>99</v>
      </c>
      <c r="Q495">
        <v>1464.38</v>
      </c>
      <c r="R495" t="s">
        <v>79</v>
      </c>
      <c r="S495" t="s">
        <v>107</v>
      </c>
      <c r="T495" t="s">
        <v>66</v>
      </c>
      <c r="U495" t="s">
        <v>196</v>
      </c>
      <c r="V495" t="s">
        <v>242</v>
      </c>
      <c r="W495" t="s">
        <v>70</v>
      </c>
      <c r="X495" t="s">
        <v>370</v>
      </c>
      <c r="Y495" t="s">
        <v>151</v>
      </c>
      <c r="Z495" t="s">
        <v>81</v>
      </c>
      <c r="AA495" t="s">
        <v>1848</v>
      </c>
      <c r="AB495" t="s">
        <v>3344</v>
      </c>
      <c r="AC495">
        <v>5</v>
      </c>
      <c r="AD495" t="s">
        <v>56</v>
      </c>
      <c r="AE495" t="s">
        <v>3336</v>
      </c>
      <c r="AF495" t="s">
        <v>99</v>
      </c>
      <c r="AG495" t="s">
        <v>3342</v>
      </c>
      <c r="AH495" s="1">
        <v>45276</v>
      </c>
      <c r="AI495" s="1">
        <v>45280</v>
      </c>
      <c r="AJ495" s="1">
        <v>45283</v>
      </c>
      <c r="AK495" t="s">
        <v>3742</v>
      </c>
      <c r="AL495" t="s">
        <v>1847</v>
      </c>
    </row>
    <row r="496" spans="1:38" x14ac:dyDescent="0.35">
      <c r="A496" t="s">
        <v>1849</v>
      </c>
      <c r="B496" t="s">
        <v>264</v>
      </c>
      <c r="C496" t="s">
        <v>43</v>
      </c>
      <c r="D496" t="s">
        <v>504</v>
      </c>
      <c r="E496" t="s">
        <v>91</v>
      </c>
      <c r="F496" t="s">
        <v>134</v>
      </c>
      <c r="G496" t="s">
        <v>330</v>
      </c>
      <c r="H496">
        <v>25130</v>
      </c>
      <c r="I496">
        <f>Sales_Transactions_Raw[[#This Row],[Unit_Price]]*Sales_Transactions_Raw[[#This Row],[Quantity]]</f>
        <v>125650</v>
      </c>
      <c r="J496">
        <v>5</v>
      </c>
      <c r="K496">
        <v>0</v>
      </c>
      <c r="L496">
        <v>0</v>
      </c>
      <c r="M496">
        <v>125650</v>
      </c>
      <c r="N496">
        <v>5</v>
      </c>
      <c r="O496">
        <v>6282.5</v>
      </c>
      <c r="P496">
        <v>0</v>
      </c>
      <c r="Q496">
        <v>131932.5</v>
      </c>
      <c r="R496" t="s">
        <v>160</v>
      </c>
      <c r="S496" t="s">
        <v>65</v>
      </c>
      <c r="T496" t="s">
        <v>66</v>
      </c>
      <c r="U496" t="s">
        <v>196</v>
      </c>
      <c r="V496" t="s">
        <v>297</v>
      </c>
      <c r="W496" t="s">
        <v>52</v>
      </c>
      <c r="X496" t="s">
        <v>486</v>
      </c>
      <c r="Y496" t="s">
        <v>138</v>
      </c>
      <c r="Z496" t="s">
        <v>81</v>
      </c>
      <c r="AA496" t="s">
        <v>1851</v>
      </c>
      <c r="AB496" t="s">
        <v>3335</v>
      </c>
      <c r="AC496">
        <v>4</v>
      </c>
      <c r="AD496" t="s">
        <v>56</v>
      </c>
      <c r="AE496" t="s">
        <v>3336</v>
      </c>
      <c r="AF496" t="s">
        <v>217</v>
      </c>
      <c r="AG496" t="s">
        <v>58</v>
      </c>
      <c r="AH496" s="1">
        <v>45108</v>
      </c>
      <c r="AI496" s="1">
        <v>45114</v>
      </c>
      <c r="AJ496" s="1">
        <v>45123</v>
      </c>
      <c r="AK496" t="s">
        <v>3569</v>
      </c>
      <c r="AL496" t="s">
        <v>1850</v>
      </c>
    </row>
    <row r="497" spans="1:38" x14ac:dyDescent="0.35">
      <c r="A497" t="s">
        <v>1852</v>
      </c>
      <c r="B497" t="s">
        <v>1036</v>
      </c>
      <c r="C497" t="s">
        <v>43</v>
      </c>
      <c r="D497" t="s">
        <v>294</v>
      </c>
      <c r="E497" t="s">
        <v>295</v>
      </c>
      <c r="F497" t="s">
        <v>146</v>
      </c>
      <c r="G497" t="s">
        <v>296</v>
      </c>
      <c r="H497">
        <v>14840</v>
      </c>
      <c r="I497">
        <f>Sales_Transactions_Raw[[#This Row],[Unit_Price]]*Sales_Transactions_Raw[[#This Row],[Quantity]]</f>
        <v>59360</v>
      </c>
      <c r="J497">
        <v>4</v>
      </c>
      <c r="K497">
        <v>15</v>
      </c>
      <c r="L497">
        <v>8904</v>
      </c>
      <c r="M497">
        <v>50456</v>
      </c>
      <c r="N497">
        <v>12</v>
      </c>
      <c r="O497">
        <v>6054.72</v>
      </c>
      <c r="P497">
        <v>0</v>
      </c>
      <c r="Q497">
        <v>56510.720000000001</v>
      </c>
      <c r="R497" t="s">
        <v>48</v>
      </c>
      <c r="S497" t="s">
        <v>125</v>
      </c>
      <c r="T497" t="s">
        <v>115</v>
      </c>
      <c r="U497" t="s">
        <v>161</v>
      </c>
      <c r="V497" t="s">
        <v>197</v>
      </c>
      <c r="W497" t="s">
        <v>68</v>
      </c>
      <c r="X497" t="s">
        <v>422</v>
      </c>
      <c r="Y497" t="s">
        <v>319</v>
      </c>
      <c r="Z497" t="s">
        <v>95</v>
      </c>
      <c r="AA497" t="s">
        <v>1854</v>
      </c>
      <c r="AB497" t="s">
        <v>3344</v>
      </c>
      <c r="AC497">
        <v>4</v>
      </c>
      <c r="AD497" t="s">
        <v>56</v>
      </c>
      <c r="AE497" t="s">
        <v>3336</v>
      </c>
      <c r="AF497" t="s">
        <v>140</v>
      </c>
      <c r="AG497" t="s">
        <v>111</v>
      </c>
      <c r="AH497" s="1">
        <v>45178</v>
      </c>
      <c r="AI497" s="1">
        <v>45183</v>
      </c>
      <c r="AJ497" s="1">
        <v>45193</v>
      </c>
      <c r="AK497" t="s">
        <v>3504</v>
      </c>
      <c r="AL497" t="s">
        <v>1853</v>
      </c>
    </row>
    <row r="498" spans="1:38" x14ac:dyDescent="0.35">
      <c r="A498" t="s">
        <v>1855</v>
      </c>
      <c r="B498" t="s">
        <v>543</v>
      </c>
      <c r="C498" t="s">
        <v>43</v>
      </c>
      <c r="D498" t="s">
        <v>329</v>
      </c>
      <c r="E498" t="s">
        <v>250</v>
      </c>
      <c r="F498" t="s">
        <v>134</v>
      </c>
      <c r="G498" t="s">
        <v>330</v>
      </c>
      <c r="H498">
        <v>22880</v>
      </c>
      <c r="I498">
        <f>Sales_Transactions_Raw[[#This Row],[Unit_Price]]*Sales_Transactions_Raw[[#This Row],[Quantity]]</f>
        <v>45760</v>
      </c>
      <c r="J498">
        <v>2</v>
      </c>
      <c r="K498">
        <v>10</v>
      </c>
      <c r="L498">
        <v>4576</v>
      </c>
      <c r="M498">
        <v>41184</v>
      </c>
      <c r="N498">
        <v>5</v>
      </c>
      <c r="O498">
        <v>2059.1999999999998</v>
      </c>
      <c r="P498">
        <v>0</v>
      </c>
      <c r="Q498">
        <v>43243.199999999997</v>
      </c>
      <c r="R498" t="s">
        <v>92</v>
      </c>
      <c r="S498" t="s">
        <v>107</v>
      </c>
      <c r="T498" t="s">
        <v>719</v>
      </c>
      <c r="U498" t="s">
        <v>161</v>
      </c>
      <c r="V498" t="s">
        <v>197</v>
      </c>
      <c r="W498" t="s">
        <v>68</v>
      </c>
      <c r="X498" t="s">
        <v>69</v>
      </c>
      <c r="Y498" t="s">
        <v>54</v>
      </c>
      <c r="Z498" t="s">
        <v>70</v>
      </c>
      <c r="AA498" t="s">
        <v>1857</v>
      </c>
      <c r="AB498" t="s">
        <v>3335</v>
      </c>
      <c r="AC498">
        <v>2</v>
      </c>
      <c r="AD498" t="s">
        <v>56</v>
      </c>
      <c r="AE498" t="s">
        <v>3336</v>
      </c>
      <c r="AF498" t="s">
        <v>57</v>
      </c>
      <c r="AG498" t="s">
        <v>58</v>
      </c>
      <c r="AH498" s="1">
        <v>45181</v>
      </c>
      <c r="AI498" s="1">
        <v>45185</v>
      </c>
      <c r="AJ498" s="1">
        <v>45192</v>
      </c>
      <c r="AK498" t="s">
        <v>3613</v>
      </c>
      <c r="AL498" t="s">
        <v>1856</v>
      </c>
    </row>
    <row r="499" spans="1:38" x14ac:dyDescent="0.35">
      <c r="A499" t="s">
        <v>1858</v>
      </c>
      <c r="B499" t="s">
        <v>862</v>
      </c>
      <c r="C499" t="s">
        <v>43</v>
      </c>
      <c r="D499" t="s">
        <v>956</v>
      </c>
      <c r="E499" t="s">
        <v>957</v>
      </c>
      <c r="F499" t="s">
        <v>46</v>
      </c>
      <c r="G499" t="s">
        <v>147</v>
      </c>
      <c r="H499">
        <v>9530</v>
      </c>
      <c r="I499">
        <f>Sales_Transactions_Raw[[#This Row],[Unit_Price]]*Sales_Transactions_Raw[[#This Row],[Quantity]]</f>
        <v>19060</v>
      </c>
      <c r="J499">
        <v>2</v>
      </c>
      <c r="K499">
        <v>10</v>
      </c>
      <c r="L499">
        <v>1906</v>
      </c>
      <c r="M499">
        <v>17154</v>
      </c>
      <c r="N499">
        <v>18</v>
      </c>
      <c r="O499">
        <v>3087.72</v>
      </c>
      <c r="P499">
        <v>0</v>
      </c>
      <c r="Q499">
        <v>20241.72</v>
      </c>
      <c r="R499" t="s">
        <v>48</v>
      </c>
      <c r="S499" t="s">
        <v>49</v>
      </c>
      <c r="T499" t="s">
        <v>213</v>
      </c>
      <c r="U499" t="s">
        <v>214</v>
      </c>
      <c r="V499" t="s">
        <v>177</v>
      </c>
      <c r="W499" t="s">
        <v>81</v>
      </c>
      <c r="X499" t="s">
        <v>150</v>
      </c>
      <c r="Y499" t="s">
        <v>151</v>
      </c>
      <c r="Z499" t="s">
        <v>81</v>
      </c>
      <c r="AA499" t="s">
        <v>1860</v>
      </c>
      <c r="AB499" t="s">
        <v>3338</v>
      </c>
      <c r="AC499">
        <v>5</v>
      </c>
      <c r="AD499" t="s">
        <v>179</v>
      </c>
      <c r="AE499" t="s">
        <v>206</v>
      </c>
      <c r="AF499" t="s">
        <v>57</v>
      </c>
      <c r="AG499" t="s">
        <v>58</v>
      </c>
      <c r="AH499" s="1">
        <v>45068</v>
      </c>
      <c r="AI499" s="1">
        <v>45069</v>
      </c>
      <c r="AJ499" s="1">
        <v>45073</v>
      </c>
      <c r="AK499" t="s">
        <v>3478</v>
      </c>
      <c r="AL499" t="s">
        <v>1859</v>
      </c>
    </row>
    <row r="500" spans="1:38" x14ac:dyDescent="0.35">
      <c r="A500" t="s">
        <v>1861</v>
      </c>
      <c r="B500" t="s">
        <v>373</v>
      </c>
      <c r="C500" t="s">
        <v>43</v>
      </c>
      <c r="D500" t="s">
        <v>630</v>
      </c>
      <c r="E500" t="s">
        <v>450</v>
      </c>
      <c r="F500" t="s">
        <v>134</v>
      </c>
      <c r="G500" t="s">
        <v>497</v>
      </c>
      <c r="H500">
        <v>29347.846790890268</v>
      </c>
      <c r="I500">
        <f>Sales_Transactions_Raw[[#This Row],[Unit_Price]]*Sales_Transactions_Raw[[#This Row],[Quantity]]</f>
        <v>58695.693581780535</v>
      </c>
      <c r="J500">
        <v>2</v>
      </c>
      <c r="K500">
        <v>5</v>
      </c>
      <c r="L500">
        <v>4720</v>
      </c>
      <c r="M500">
        <v>89680</v>
      </c>
      <c r="N500">
        <v>5</v>
      </c>
      <c r="O500">
        <v>4484</v>
      </c>
      <c r="P500">
        <v>0</v>
      </c>
      <c r="Q500">
        <v>94164</v>
      </c>
      <c r="R500" t="s">
        <v>48</v>
      </c>
      <c r="S500" t="s">
        <v>107</v>
      </c>
      <c r="T500" t="s">
        <v>115</v>
      </c>
      <c r="U500" t="s">
        <v>161</v>
      </c>
      <c r="V500" t="s">
        <v>149</v>
      </c>
      <c r="W500" t="s">
        <v>81</v>
      </c>
      <c r="X500" t="s">
        <v>393</v>
      </c>
      <c r="Y500" t="s">
        <v>393</v>
      </c>
      <c r="Z500" t="s">
        <v>70</v>
      </c>
      <c r="AA500" t="s">
        <v>1863</v>
      </c>
      <c r="AB500" t="s">
        <v>3341</v>
      </c>
      <c r="AC500">
        <v>4</v>
      </c>
      <c r="AD500" t="s">
        <v>56</v>
      </c>
      <c r="AE500" t="s">
        <v>3336</v>
      </c>
      <c r="AF500" t="s">
        <v>326</v>
      </c>
      <c r="AG500" t="s">
        <v>3337</v>
      </c>
      <c r="AH500" s="1">
        <v>45331</v>
      </c>
      <c r="AI500" s="1">
        <v>45335</v>
      </c>
      <c r="AJ500" s="1">
        <v>45343</v>
      </c>
      <c r="AK500" t="s">
        <v>3381</v>
      </c>
      <c r="AL500" t="s">
        <v>1862</v>
      </c>
    </row>
    <row r="501" spans="1:38" x14ac:dyDescent="0.35">
      <c r="A501" t="s">
        <v>1864</v>
      </c>
      <c r="B501" t="s">
        <v>765</v>
      </c>
      <c r="C501" t="s">
        <v>89</v>
      </c>
      <c r="D501" t="s">
        <v>449</v>
      </c>
      <c r="E501" t="s">
        <v>450</v>
      </c>
      <c r="F501" t="s">
        <v>46</v>
      </c>
      <c r="G501" t="s">
        <v>78</v>
      </c>
      <c r="H501">
        <v>39400</v>
      </c>
      <c r="I501">
        <f>Sales_Transactions_Raw[[#This Row],[Unit_Price]]*Sales_Transactions_Raw[[#This Row],[Quantity]]</f>
        <v>236400</v>
      </c>
      <c r="J501">
        <v>6</v>
      </c>
      <c r="K501">
        <v>0</v>
      </c>
      <c r="L501">
        <v>0</v>
      </c>
      <c r="M501">
        <v>236400</v>
      </c>
      <c r="N501">
        <v>18</v>
      </c>
      <c r="O501">
        <v>42552</v>
      </c>
      <c r="P501">
        <v>0</v>
      </c>
      <c r="Q501">
        <v>278952</v>
      </c>
      <c r="R501" t="s">
        <v>92</v>
      </c>
      <c r="S501" t="s">
        <v>65</v>
      </c>
      <c r="T501" t="s">
        <v>115</v>
      </c>
      <c r="U501" t="s">
        <v>50</v>
      </c>
      <c r="V501" t="s">
        <v>94</v>
      </c>
      <c r="W501" t="s">
        <v>95</v>
      </c>
      <c r="X501" t="s">
        <v>137</v>
      </c>
      <c r="Y501" t="s">
        <v>138</v>
      </c>
      <c r="Z501" t="s">
        <v>81</v>
      </c>
      <c r="AA501" t="s">
        <v>1866</v>
      </c>
      <c r="AB501" t="s">
        <v>3341</v>
      </c>
      <c r="AC501">
        <v>3</v>
      </c>
      <c r="AD501" t="s">
        <v>56</v>
      </c>
      <c r="AE501" t="s">
        <v>3336</v>
      </c>
      <c r="AF501" t="s">
        <v>153</v>
      </c>
      <c r="AG501" t="s">
        <v>58</v>
      </c>
      <c r="AH501" s="1">
        <v>45306</v>
      </c>
      <c r="AI501" s="1">
        <v>45310</v>
      </c>
      <c r="AJ501" s="1">
        <v>45316</v>
      </c>
      <c r="AK501" t="s">
        <v>3623</v>
      </c>
      <c r="AL501" t="s">
        <v>1865</v>
      </c>
    </row>
    <row r="502" spans="1:38" x14ac:dyDescent="0.35">
      <c r="A502" t="s">
        <v>1867</v>
      </c>
      <c r="B502" t="s">
        <v>948</v>
      </c>
      <c r="C502" t="s">
        <v>157</v>
      </c>
      <c r="D502" t="s">
        <v>317</v>
      </c>
      <c r="E502" t="s">
        <v>77</v>
      </c>
      <c r="F502" t="s">
        <v>46</v>
      </c>
      <c r="G502" t="s">
        <v>176</v>
      </c>
      <c r="H502">
        <v>28940</v>
      </c>
      <c r="I502">
        <f>Sales_Transactions_Raw[[#This Row],[Unit_Price]]*Sales_Transactions_Raw[[#This Row],[Quantity]]</f>
        <v>57880</v>
      </c>
      <c r="J502">
        <v>2</v>
      </c>
      <c r="K502">
        <v>0</v>
      </c>
      <c r="L502">
        <v>0</v>
      </c>
      <c r="M502">
        <v>57880</v>
      </c>
      <c r="N502">
        <v>18</v>
      </c>
      <c r="O502">
        <v>10418.4</v>
      </c>
      <c r="P502">
        <v>0</v>
      </c>
      <c r="Q502">
        <v>68298.399999999994</v>
      </c>
      <c r="R502" t="s">
        <v>124</v>
      </c>
      <c r="S502" t="s">
        <v>107</v>
      </c>
      <c r="T502" t="s">
        <v>148</v>
      </c>
      <c r="U502" t="s">
        <v>196</v>
      </c>
      <c r="V502" t="s">
        <v>242</v>
      </c>
      <c r="W502" t="s">
        <v>70</v>
      </c>
      <c r="X502" t="s">
        <v>237</v>
      </c>
      <c r="Y502" t="s">
        <v>138</v>
      </c>
      <c r="Z502" t="s">
        <v>81</v>
      </c>
      <c r="AA502" t="s">
        <v>1869</v>
      </c>
      <c r="AB502" t="s">
        <v>3339</v>
      </c>
      <c r="AC502">
        <v>4</v>
      </c>
      <c r="AD502" t="s">
        <v>56</v>
      </c>
      <c r="AE502" t="s">
        <v>3336</v>
      </c>
      <c r="AF502" t="s">
        <v>153</v>
      </c>
      <c r="AG502" t="s">
        <v>3342</v>
      </c>
      <c r="AH502" s="1">
        <v>44939</v>
      </c>
      <c r="AI502" s="1">
        <v>44940</v>
      </c>
      <c r="AJ502" s="1">
        <v>44948</v>
      </c>
      <c r="AK502" t="s">
        <v>3609</v>
      </c>
      <c r="AL502" t="s">
        <v>1868</v>
      </c>
    </row>
    <row r="503" spans="1:38" x14ac:dyDescent="0.35">
      <c r="A503" t="s">
        <v>1870</v>
      </c>
      <c r="B503" t="s">
        <v>1296</v>
      </c>
      <c r="C503" t="s">
        <v>43</v>
      </c>
      <c r="D503" t="s">
        <v>303</v>
      </c>
      <c r="E503" t="s">
        <v>304</v>
      </c>
      <c r="F503" t="s">
        <v>134</v>
      </c>
      <c r="G503" t="s">
        <v>305</v>
      </c>
      <c r="H503">
        <v>36950</v>
      </c>
      <c r="I503">
        <f>Sales_Transactions_Raw[[#This Row],[Unit_Price]]*Sales_Transactions_Raw[[#This Row],[Quantity]]</f>
        <v>110850</v>
      </c>
      <c r="J503">
        <v>3</v>
      </c>
      <c r="K503">
        <v>15</v>
      </c>
      <c r="L503">
        <v>11085</v>
      </c>
      <c r="M503">
        <v>62815</v>
      </c>
      <c r="N503">
        <v>5</v>
      </c>
      <c r="O503">
        <v>3140.75</v>
      </c>
      <c r="P503">
        <v>0</v>
      </c>
      <c r="Q503">
        <v>65955.75</v>
      </c>
      <c r="R503" t="s">
        <v>48</v>
      </c>
      <c r="S503" t="s">
        <v>125</v>
      </c>
      <c r="T503" t="s">
        <v>115</v>
      </c>
      <c r="U503" t="s">
        <v>214</v>
      </c>
      <c r="V503" t="s">
        <v>177</v>
      </c>
      <c r="W503" t="s">
        <v>81</v>
      </c>
      <c r="X503" t="s">
        <v>162</v>
      </c>
      <c r="Y503" t="s">
        <v>109</v>
      </c>
      <c r="Z503" t="s">
        <v>70</v>
      </c>
      <c r="AA503" t="s">
        <v>1872</v>
      </c>
      <c r="AB503" t="s">
        <v>3341</v>
      </c>
      <c r="AC503">
        <v>4</v>
      </c>
      <c r="AD503" t="s">
        <v>56</v>
      </c>
      <c r="AE503" t="s">
        <v>3336</v>
      </c>
      <c r="AF503" t="s">
        <v>99</v>
      </c>
      <c r="AG503" t="s">
        <v>58</v>
      </c>
      <c r="AH503" s="1">
        <v>45292</v>
      </c>
      <c r="AI503" s="1">
        <v>45298</v>
      </c>
      <c r="AJ503" s="1">
        <v>45308</v>
      </c>
      <c r="AK503" t="s">
        <v>3549</v>
      </c>
      <c r="AL503" t="s">
        <v>1871</v>
      </c>
    </row>
    <row r="504" spans="1:38" x14ac:dyDescent="0.35">
      <c r="A504" t="s">
        <v>1873</v>
      </c>
      <c r="B504" t="s">
        <v>1286</v>
      </c>
      <c r="C504" t="s">
        <v>89</v>
      </c>
      <c r="D504" t="s">
        <v>704</v>
      </c>
      <c r="E504" t="s">
        <v>705</v>
      </c>
      <c r="F504" t="s">
        <v>285</v>
      </c>
      <c r="G504" t="s">
        <v>706</v>
      </c>
      <c r="H504">
        <v>270</v>
      </c>
      <c r="I504">
        <f>Sales_Transactions_Raw[[#This Row],[Unit_Price]]*Sales_Transactions_Raw[[#This Row],[Quantity]]</f>
        <v>540</v>
      </c>
      <c r="J504">
        <v>2</v>
      </c>
      <c r="K504">
        <v>0</v>
      </c>
      <c r="L504">
        <v>0</v>
      </c>
      <c r="M504">
        <v>540</v>
      </c>
      <c r="N504">
        <v>5</v>
      </c>
      <c r="O504">
        <v>27</v>
      </c>
      <c r="P504">
        <v>79</v>
      </c>
      <c r="Q504">
        <v>567</v>
      </c>
      <c r="R504" t="s">
        <v>160</v>
      </c>
      <c r="S504" t="s">
        <v>93</v>
      </c>
      <c r="T504" t="s">
        <v>115</v>
      </c>
      <c r="U504" t="s">
        <v>214</v>
      </c>
      <c r="V504" t="s">
        <v>287</v>
      </c>
      <c r="W504" t="s">
        <v>95</v>
      </c>
      <c r="X504" t="s">
        <v>370</v>
      </c>
      <c r="Y504" t="s">
        <v>151</v>
      </c>
      <c r="Z504" t="s">
        <v>81</v>
      </c>
      <c r="AA504" t="s">
        <v>1875</v>
      </c>
      <c r="AB504" t="s">
        <v>3339</v>
      </c>
      <c r="AC504">
        <v>4</v>
      </c>
      <c r="AD504" t="s">
        <v>56</v>
      </c>
      <c r="AE504" t="s">
        <v>3336</v>
      </c>
      <c r="AF504" t="s">
        <v>164</v>
      </c>
      <c r="AG504" t="s">
        <v>85</v>
      </c>
      <c r="AH504" s="1">
        <v>45095</v>
      </c>
      <c r="AI504" s="1">
        <v>45098</v>
      </c>
      <c r="AJ504" s="1">
        <v>45102</v>
      </c>
      <c r="AK504" t="s">
        <v>3607</v>
      </c>
      <c r="AL504" t="s">
        <v>1874</v>
      </c>
    </row>
    <row r="505" spans="1:38" x14ac:dyDescent="0.35">
      <c r="A505" t="s">
        <v>1876</v>
      </c>
      <c r="B505" t="s">
        <v>842</v>
      </c>
      <c r="C505" t="s">
        <v>89</v>
      </c>
      <c r="D505" t="s">
        <v>432</v>
      </c>
      <c r="E505" t="s">
        <v>433</v>
      </c>
      <c r="F505" t="s">
        <v>146</v>
      </c>
      <c r="G505" t="s">
        <v>296</v>
      </c>
      <c r="H505">
        <v>5230</v>
      </c>
      <c r="I505">
        <f>Sales_Transactions_Raw[[#This Row],[Unit_Price]]*Sales_Transactions_Raw[[#This Row],[Quantity]]</f>
        <v>31380</v>
      </c>
      <c r="J505">
        <v>6</v>
      </c>
      <c r="K505">
        <v>20</v>
      </c>
      <c r="L505">
        <v>6276</v>
      </c>
      <c r="M505">
        <v>25104</v>
      </c>
      <c r="N505">
        <v>12</v>
      </c>
      <c r="O505">
        <v>3012.48</v>
      </c>
      <c r="P505">
        <v>0</v>
      </c>
      <c r="Q505">
        <v>28116.48</v>
      </c>
      <c r="R505" t="s">
        <v>64</v>
      </c>
      <c r="S505" t="s">
        <v>107</v>
      </c>
      <c r="T505" t="s">
        <v>213</v>
      </c>
      <c r="U505" t="s">
        <v>50</v>
      </c>
      <c r="V505" t="s">
        <v>224</v>
      </c>
      <c r="W505" t="s">
        <v>95</v>
      </c>
      <c r="X505" t="s">
        <v>298</v>
      </c>
      <c r="Y505" t="s">
        <v>151</v>
      </c>
      <c r="Z505" t="s">
        <v>81</v>
      </c>
      <c r="AA505" t="s">
        <v>1878</v>
      </c>
      <c r="AB505" t="s">
        <v>3335</v>
      </c>
      <c r="AC505">
        <v>4</v>
      </c>
      <c r="AD505" t="s">
        <v>179</v>
      </c>
      <c r="AE505" t="s">
        <v>206</v>
      </c>
      <c r="AF505" t="s">
        <v>72</v>
      </c>
      <c r="AG505" t="s">
        <v>85</v>
      </c>
      <c r="AH505" s="1">
        <v>45384</v>
      </c>
      <c r="AI505" s="1">
        <v>45388</v>
      </c>
      <c r="AJ505" s="1">
        <v>45391</v>
      </c>
      <c r="AK505" t="s">
        <v>3624</v>
      </c>
      <c r="AL505" t="s">
        <v>1877</v>
      </c>
    </row>
    <row r="506" spans="1:38" x14ac:dyDescent="0.35">
      <c r="A506" t="s">
        <v>1879</v>
      </c>
      <c r="B506" t="s">
        <v>609</v>
      </c>
      <c r="C506" t="s">
        <v>43</v>
      </c>
      <c r="D506" t="s">
        <v>103</v>
      </c>
      <c r="E506" t="s">
        <v>104</v>
      </c>
      <c r="F506" t="s">
        <v>46</v>
      </c>
      <c r="G506" t="s">
        <v>105</v>
      </c>
      <c r="H506">
        <v>35960</v>
      </c>
      <c r="I506">
        <f>Sales_Transactions_Raw[[#This Row],[Unit_Price]]*Sales_Transactions_Raw[[#This Row],[Quantity]]</f>
        <v>35960</v>
      </c>
      <c r="J506">
        <v>1</v>
      </c>
      <c r="K506">
        <v>5</v>
      </c>
      <c r="L506">
        <v>1798</v>
      </c>
      <c r="M506">
        <v>34162</v>
      </c>
      <c r="N506">
        <v>18</v>
      </c>
      <c r="O506">
        <v>6149.16</v>
      </c>
      <c r="P506">
        <v>0</v>
      </c>
      <c r="Q506">
        <v>40311.160000000003</v>
      </c>
      <c r="R506" t="s">
        <v>92</v>
      </c>
      <c r="S506" t="s">
        <v>93</v>
      </c>
      <c r="T506" t="s">
        <v>136</v>
      </c>
      <c r="U506" t="s">
        <v>50</v>
      </c>
      <c r="V506" t="s">
        <v>149</v>
      </c>
      <c r="W506" t="s">
        <v>81</v>
      </c>
      <c r="X506" t="s">
        <v>288</v>
      </c>
      <c r="Y506" t="s">
        <v>289</v>
      </c>
      <c r="Z506" t="s">
        <v>52</v>
      </c>
      <c r="AA506" t="s">
        <v>1881</v>
      </c>
      <c r="AB506" t="s">
        <v>3340</v>
      </c>
      <c r="AC506">
        <v>4</v>
      </c>
      <c r="AD506" t="s">
        <v>56</v>
      </c>
      <c r="AE506" t="s">
        <v>3336</v>
      </c>
      <c r="AF506" t="s">
        <v>227</v>
      </c>
      <c r="AG506" t="s">
        <v>3342</v>
      </c>
      <c r="AH506" s="1">
        <v>44940</v>
      </c>
      <c r="AI506" s="1">
        <v>44944</v>
      </c>
      <c r="AJ506" s="1">
        <v>45391</v>
      </c>
      <c r="AK506" t="s">
        <v>3625</v>
      </c>
      <c r="AL506" t="s">
        <v>1880</v>
      </c>
    </row>
    <row r="507" spans="1:38" x14ac:dyDescent="0.35">
      <c r="A507" t="s">
        <v>1882</v>
      </c>
      <c r="B507" t="s">
        <v>191</v>
      </c>
      <c r="C507" t="s">
        <v>89</v>
      </c>
      <c r="D507" t="s">
        <v>350</v>
      </c>
      <c r="E507" t="s">
        <v>351</v>
      </c>
      <c r="F507" t="s">
        <v>211</v>
      </c>
      <c r="G507" t="s">
        <v>352</v>
      </c>
      <c r="H507">
        <v>29347.846790890268</v>
      </c>
      <c r="I507">
        <f>Sales_Transactions_Raw[[#This Row],[Unit_Price]]*Sales_Transactions_Raw[[#This Row],[Quantity]]</f>
        <v>29347.846790890268</v>
      </c>
      <c r="J507">
        <v>1</v>
      </c>
      <c r="K507">
        <v>20</v>
      </c>
      <c r="L507">
        <v>8580</v>
      </c>
      <c r="M507">
        <v>34320</v>
      </c>
      <c r="N507">
        <v>5</v>
      </c>
      <c r="O507">
        <v>1716</v>
      </c>
      <c r="P507">
        <v>0</v>
      </c>
      <c r="Q507">
        <v>36036</v>
      </c>
      <c r="R507" t="s">
        <v>64</v>
      </c>
      <c r="S507" t="s">
        <v>49</v>
      </c>
      <c r="T507" t="s">
        <v>213</v>
      </c>
      <c r="U507" t="s">
        <v>161</v>
      </c>
      <c r="V507" t="s">
        <v>67</v>
      </c>
      <c r="W507" t="s">
        <v>68</v>
      </c>
      <c r="X507" t="s">
        <v>491</v>
      </c>
      <c r="Y507" t="s">
        <v>358</v>
      </c>
      <c r="Z507" t="s">
        <v>95</v>
      </c>
      <c r="AA507" t="s">
        <v>1884</v>
      </c>
      <c r="AB507" t="s">
        <v>3335</v>
      </c>
      <c r="AC507">
        <v>3</v>
      </c>
      <c r="AD507" t="s">
        <v>179</v>
      </c>
      <c r="AE507" t="s">
        <v>818</v>
      </c>
      <c r="AF507" t="s">
        <v>99</v>
      </c>
      <c r="AG507" t="s">
        <v>85</v>
      </c>
      <c r="AH507" s="1">
        <v>45217</v>
      </c>
      <c r="AI507" s="1">
        <v>45223</v>
      </c>
      <c r="AJ507" s="1">
        <v>45228</v>
      </c>
      <c r="AK507" t="s">
        <v>3626</v>
      </c>
      <c r="AL507" t="s">
        <v>1883</v>
      </c>
    </row>
    <row r="508" spans="1:38" x14ac:dyDescent="0.35">
      <c r="A508" t="s">
        <v>1885</v>
      </c>
      <c r="B508" t="s">
        <v>524</v>
      </c>
      <c r="C508" t="s">
        <v>43</v>
      </c>
      <c r="D508" t="s">
        <v>391</v>
      </c>
      <c r="E508" t="s">
        <v>392</v>
      </c>
      <c r="F508" t="s">
        <v>46</v>
      </c>
      <c r="G508" t="s">
        <v>176</v>
      </c>
      <c r="H508">
        <v>10350</v>
      </c>
      <c r="I508">
        <f>Sales_Transactions_Raw[[#This Row],[Unit_Price]]*Sales_Transactions_Raw[[#This Row],[Quantity]]</f>
        <v>10350</v>
      </c>
      <c r="J508">
        <v>1</v>
      </c>
      <c r="K508">
        <v>10</v>
      </c>
      <c r="L508">
        <v>1035</v>
      </c>
      <c r="M508">
        <v>9315</v>
      </c>
      <c r="N508">
        <v>18</v>
      </c>
      <c r="O508">
        <v>1676.7</v>
      </c>
      <c r="P508">
        <v>0</v>
      </c>
      <c r="Q508">
        <v>10991.7</v>
      </c>
      <c r="R508" t="s">
        <v>160</v>
      </c>
      <c r="S508" t="s">
        <v>107</v>
      </c>
      <c r="T508" t="s">
        <v>115</v>
      </c>
      <c r="U508" t="s">
        <v>214</v>
      </c>
      <c r="V508" t="s">
        <v>242</v>
      </c>
      <c r="W508" t="s">
        <v>70</v>
      </c>
      <c r="X508" t="s">
        <v>491</v>
      </c>
      <c r="Y508" t="s">
        <v>358</v>
      </c>
      <c r="Z508" t="s">
        <v>95</v>
      </c>
      <c r="AA508" t="s">
        <v>1887</v>
      </c>
      <c r="AB508" t="s">
        <v>3340</v>
      </c>
      <c r="AC508">
        <v>4</v>
      </c>
      <c r="AD508" t="s">
        <v>56</v>
      </c>
      <c r="AE508" t="s">
        <v>3336</v>
      </c>
      <c r="AF508" t="s">
        <v>72</v>
      </c>
      <c r="AG508" t="s">
        <v>85</v>
      </c>
      <c r="AH508" s="1">
        <v>45132</v>
      </c>
      <c r="AI508" s="1">
        <v>45139</v>
      </c>
      <c r="AJ508" s="1">
        <v>45141</v>
      </c>
      <c r="AK508" t="s">
        <v>3627</v>
      </c>
      <c r="AL508" t="s">
        <v>1886</v>
      </c>
    </row>
    <row r="509" spans="1:38" x14ac:dyDescent="0.35">
      <c r="A509" t="s">
        <v>1888</v>
      </c>
      <c r="B509" t="s">
        <v>343</v>
      </c>
      <c r="C509" t="s">
        <v>43</v>
      </c>
      <c r="D509" t="s">
        <v>495</v>
      </c>
      <c r="E509" t="s">
        <v>496</v>
      </c>
      <c r="F509" t="s">
        <v>134</v>
      </c>
      <c r="G509" t="s">
        <v>497</v>
      </c>
      <c r="H509">
        <v>34110</v>
      </c>
      <c r="I509">
        <f>Sales_Transactions_Raw[[#This Row],[Unit_Price]]*Sales_Transactions_Raw[[#This Row],[Quantity]]</f>
        <v>204660</v>
      </c>
      <c r="J509">
        <v>6</v>
      </c>
      <c r="K509">
        <v>0</v>
      </c>
      <c r="L509">
        <v>0</v>
      </c>
      <c r="M509">
        <v>204660</v>
      </c>
      <c r="N509">
        <v>5</v>
      </c>
      <c r="O509">
        <v>10233</v>
      </c>
      <c r="P509">
        <v>0</v>
      </c>
      <c r="Q509">
        <v>214893</v>
      </c>
      <c r="R509" t="s">
        <v>106</v>
      </c>
      <c r="S509" t="s">
        <v>65</v>
      </c>
      <c r="T509" t="s">
        <v>719</v>
      </c>
      <c r="U509" t="s">
        <v>108</v>
      </c>
      <c r="V509" t="s">
        <v>269</v>
      </c>
      <c r="W509" t="s">
        <v>70</v>
      </c>
      <c r="X509" t="s">
        <v>187</v>
      </c>
      <c r="Y509" t="s">
        <v>188</v>
      </c>
      <c r="Z509" t="s">
        <v>68</v>
      </c>
      <c r="AA509" t="s">
        <v>1890</v>
      </c>
      <c r="AB509" t="s">
        <v>3344</v>
      </c>
      <c r="AC509">
        <v>4</v>
      </c>
      <c r="AD509" t="s">
        <v>56</v>
      </c>
      <c r="AE509" t="s">
        <v>3336</v>
      </c>
      <c r="AF509" t="s">
        <v>217</v>
      </c>
      <c r="AG509" t="s">
        <v>3342</v>
      </c>
      <c r="AH509" s="1">
        <v>45189</v>
      </c>
      <c r="AI509" s="1">
        <v>45196</v>
      </c>
      <c r="AJ509" s="1">
        <v>45141</v>
      </c>
      <c r="AK509" t="s">
        <v>3457</v>
      </c>
      <c r="AL509" t="s">
        <v>1889</v>
      </c>
    </row>
    <row r="510" spans="1:38" x14ac:dyDescent="0.35">
      <c r="A510" t="s">
        <v>1891</v>
      </c>
      <c r="B510" t="s">
        <v>166</v>
      </c>
      <c r="C510" t="s">
        <v>43</v>
      </c>
      <c r="D510" t="s">
        <v>335</v>
      </c>
      <c r="E510" t="s">
        <v>336</v>
      </c>
      <c r="F510" t="s">
        <v>134</v>
      </c>
      <c r="G510" t="s">
        <v>135</v>
      </c>
      <c r="H510">
        <v>10440</v>
      </c>
      <c r="I510">
        <f>Sales_Transactions_Raw[[#This Row],[Unit_Price]]*Sales_Transactions_Raw[[#This Row],[Quantity]]</f>
        <v>20880</v>
      </c>
      <c r="J510">
        <v>2</v>
      </c>
      <c r="K510">
        <v>10</v>
      </c>
      <c r="L510">
        <v>2088</v>
      </c>
      <c r="M510">
        <v>18792</v>
      </c>
      <c r="N510">
        <v>5</v>
      </c>
      <c r="O510">
        <v>939.6</v>
      </c>
      <c r="P510">
        <v>0</v>
      </c>
      <c r="Q510">
        <v>19731.599999999999</v>
      </c>
      <c r="R510" t="s">
        <v>124</v>
      </c>
      <c r="S510" t="s">
        <v>49</v>
      </c>
      <c r="T510" t="s">
        <v>115</v>
      </c>
      <c r="U510" t="s">
        <v>50</v>
      </c>
      <c r="V510" t="s">
        <v>94</v>
      </c>
      <c r="W510" t="s">
        <v>95</v>
      </c>
      <c r="X510" t="s">
        <v>510</v>
      </c>
      <c r="Y510" t="s">
        <v>199</v>
      </c>
      <c r="Z510" t="s">
        <v>52</v>
      </c>
      <c r="AA510" t="s">
        <v>1893</v>
      </c>
      <c r="AB510" t="s">
        <v>3343</v>
      </c>
      <c r="AC510">
        <v>4</v>
      </c>
      <c r="AD510" t="s">
        <v>56</v>
      </c>
      <c r="AE510" t="s">
        <v>3336</v>
      </c>
      <c r="AF510" t="s">
        <v>262</v>
      </c>
      <c r="AG510" t="s">
        <v>3337</v>
      </c>
      <c r="AH510" s="1">
        <v>45293</v>
      </c>
      <c r="AI510" s="1">
        <v>45294</v>
      </c>
      <c r="AJ510" s="1">
        <v>45297</v>
      </c>
      <c r="AK510" t="s">
        <v>3628</v>
      </c>
      <c r="AL510" t="s">
        <v>1892</v>
      </c>
    </row>
    <row r="511" spans="1:38" x14ac:dyDescent="0.35">
      <c r="A511" t="s">
        <v>1894</v>
      </c>
      <c r="B511" t="s">
        <v>1286</v>
      </c>
      <c r="C511" t="s">
        <v>89</v>
      </c>
      <c r="D511" t="s">
        <v>704</v>
      </c>
      <c r="E511" t="s">
        <v>705</v>
      </c>
      <c r="F511" t="s">
        <v>285</v>
      </c>
      <c r="G511" t="s">
        <v>706</v>
      </c>
      <c r="H511">
        <v>29347.846790890268</v>
      </c>
      <c r="I511">
        <f>Sales_Transactions_Raw[[#This Row],[Unit_Price]]*Sales_Transactions_Raw[[#This Row],[Quantity]]</f>
        <v>264130.62111801241</v>
      </c>
      <c r="J511">
        <v>9</v>
      </c>
      <c r="K511">
        <v>15</v>
      </c>
      <c r="L511">
        <v>364.5</v>
      </c>
      <c r="M511">
        <v>2065.5</v>
      </c>
      <c r="N511">
        <v>5</v>
      </c>
      <c r="O511">
        <v>103.28</v>
      </c>
      <c r="P511">
        <v>49</v>
      </c>
      <c r="Q511">
        <v>2168.7800000000002</v>
      </c>
      <c r="R511" t="s">
        <v>106</v>
      </c>
      <c r="S511" t="s">
        <v>93</v>
      </c>
      <c r="T511" t="s">
        <v>213</v>
      </c>
      <c r="U511" t="s">
        <v>196</v>
      </c>
      <c r="V511" t="s">
        <v>287</v>
      </c>
      <c r="W511" t="s">
        <v>95</v>
      </c>
      <c r="X511" t="s">
        <v>510</v>
      </c>
      <c r="Y511" t="s">
        <v>199</v>
      </c>
      <c r="Z511" t="s">
        <v>52</v>
      </c>
      <c r="AA511" t="s">
        <v>1896</v>
      </c>
      <c r="AB511" t="s">
        <v>3335</v>
      </c>
      <c r="AC511">
        <v>4</v>
      </c>
      <c r="AD511" t="s">
        <v>179</v>
      </c>
      <c r="AE511" t="s">
        <v>3336</v>
      </c>
      <c r="AF511" t="s">
        <v>262</v>
      </c>
      <c r="AG511" t="s">
        <v>3337</v>
      </c>
      <c r="AH511" s="1">
        <v>45251</v>
      </c>
      <c r="AI511" s="1">
        <v>45252</v>
      </c>
      <c r="AJ511" s="1">
        <v>45255</v>
      </c>
      <c r="AK511" t="s">
        <v>3548</v>
      </c>
      <c r="AL511" t="s">
        <v>1895</v>
      </c>
    </row>
    <row r="512" spans="1:38" x14ac:dyDescent="0.35">
      <c r="A512" t="s">
        <v>1897</v>
      </c>
      <c r="B512" t="s">
        <v>731</v>
      </c>
      <c r="C512" t="s">
        <v>157</v>
      </c>
      <c r="D512" t="s">
        <v>221</v>
      </c>
      <c r="E512" t="s">
        <v>222</v>
      </c>
      <c r="F512" t="s">
        <v>146</v>
      </c>
      <c r="G512" t="s">
        <v>223</v>
      </c>
      <c r="H512">
        <v>2860</v>
      </c>
      <c r="I512">
        <f>Sales_Transactions_Raw[[#This Row],[Unit_Price]]*Sales_Transactions_Raw[[#This Row],[Quantity]]</f>
        <v>2860</v>
      </c>
      <c r="J512">
        <v>1</v>
      </c>
      <c r="K512">
        <v>5</v>
      </c>
      <c r="L512">
        <v>143</v>
      </c>
      <c r="M512">
        <v>2717</v>
      </c>
      <c r="N512">
        <v>12</v>
      </c>
      <c r="O512">
        <v>326.04000000000002</v>
      </c>
      <c r="P512">
        <v>49</v>
      </c>
      <c r="Q512">
        <v>3043.04</v>
      </c>
      <c r="R512" t="s">
        <v>48</v>
      </c>
      <c r="S512" t="s">
        <v>107</v>
      </c>
      <c r="T512" t="s">
        <v>115</v>
      </c>
      <c r="U512" t="s">
        <v>108</v>
      </c>
      <c r="V512" t="s">
        <v>287</v>
      </c>
      <c r="W512" t="s">
        <v>95</v>
      </c>
      <c r="X512" t="s">
        <v>162</v>
      </c>
      <c r="Y512" t="s">
        <v>109</v>
      </c>
      <c r="Z512" t="s">
        <v>70</v>
      </c>
      <c r="AA512" t="s">
        <v>1899</v>
      </c>
      <c r="AB512" t="s">
        <v>3335</v>
      </c>
      <c r="AC512">
        <v>4</v>
      </c>
      <c r="AD512" t="s">
        <v>56</v>
      </c>
      <c r="AE512" t="s">
        <v>3336</v>
      </c>
      <c r="AF512" t="s">
        <v>57</v>
      </c>
      <c r="AG512" t="s">
        <v>85</v>
      </c>
      <c r="AH512" s="1">
        <v>45053</v>
      </c>
      <c r="AI512" s="1">
        <v>45054</v>
      </c>
      <c r="AJ512" s="1">
        <v>45058</v>
      </c>
      <c r="AK512" t="s">
        <v>3448</v>
      </c>
      <c r="AL512" t="s">
        <v>1898</v>
      </c>
    </row>
    <row r="513" spans="1:38" x14ac:dyDescent="0.35">
      <c r="A513" t="s">
        <v>1900</v>
      </c>
      <c r="B513" t="s">
        <v>207</v>
      </c>
      <c r="C513" t="s">
        <v>157</v>
      </c>
      <c r="D513" t="s">
        <v>62</v>
      </c>
      <c r="E513" t="s">
        <v>45</v>
      </c>
      <c r="F513" t="s">
        <v>46</v>
      </c>
      <c r="G513" t="s">
        <v>63</v>
      </c>
      <c r="H513">
        <v>60690</v>
      </c>
      <c r="I513">
        <f>Sales_Transactions_Raw[[#This Row],[Unit_Price]]*Sales_Transactions_Raw[[#This Row],[Quantity]]</f>
        <v>606900</v>
      </c>
      <c r="J513">
        <v>10</v>
      </c>
      <c r="K513">
        <v>5</v>
      </c>
      <c r="L513">
        <v>30345</v>
      </c>
      <c r="M513">
        <v>576555</v>
      </c>
      <c r="N513">
        <v>18</v>
      </c>
      <c r="O513">
        <v>103779.9</v>
      </c>
      <c r="P513">
        <v>0</v>
      </c>
      <c r="Q513">
        <v>680334.9</v>
      </c>
      <c r="R513" t="s">
        <v>124</v>
      </c>
      <c r="S513" t="s">
        <v>125</v>
      </c>
      <c r="T513" t="s">
        <v>136</v>
      </c>
      <c r="U513" t="s">
        <v>108</v>
      </c>
      <c r="V513" t="s">
        <v>197</v>
      </c>
      <c r="W513" t="s">
        <v>68</v>
      </c>
      <c r="X513" t="s">
        <v>232</v>
      </c>
      <c r="Y513" t="s">
        <v>82</v>
      </c>
      <c r="Z513" t="s">
        <v>52</v>
      </c>
      <c r="AA513" t="s">
        <v>1902</v>
      </c>
      <c r="AB513" t="s">
        <v>3335</v>
      </c>
      <c r="AC513">
        <v>4</v>
      </c>
      <c r="AD513" t="s">
        <v>56</v>
      </c>
      <c r="AE513" t="s">
        <v>3336</v>
      </c>
      <c r="AF513" t="s">
        <v>227</v>
      </c>
      <c r="AG513" t="s">
        <v>85</v>
      </c>
      <c r="AH513" s="1">
        <v>45240</v>
      </c>
      <c r="AI513" s="1">
        <v>45213</v>
      </c>
      <c r="AJ513" s="1">
        <v>45221</v>
      </c>
      <c r="AK513" t="s">
        <v>3505</v>
      </c>
      <c r="AL513" t="s">
        <v>1901</v>
      </c>
    </row>
    <row r="514" spans="1:38" x14ac:dyDescent="0.35">
      <c r="A514" t="s">
        <v>1903</v>
      </c>
      <c r="B514" t="s">
        <v>235</v>
      </c>
      <c r="C514" t="s">
        <v>43</v>
      </c>
      <c r="D514" t="s">
        <v>490</v>
      </c>
      <c r="E514" t="s">
        <v>91</v>
      </c>
      <c r="F514" t="s">
        <v>46</v>
      </c>
      <c r="G514" t="s">
        <v>369</v>
      </c>
      <c r="H514">
        <v>75090</v>
      </c>
      <c r="I514">
        <f>Sales_Transactions_Raw[[#This Row],[Unit_Price]]*Sales_Transactions_Raw[[#This Row],[Quantity]]</f>
        <v>75090</v>
      </c>
      <c r="J514">
        <v>1</v>
      </c>
      <c r="K514">
        <v>10</v>
      </c>
      <c r="L514">
        <v>7509</v>
      </c>
      <c r="M514">
        <v>67581</v>
      </c>
      <c r="N514">
        <v>18</v>
      </c>
      <c r="O514">
        <v>12164.58</v>
      </c>
      <c r="P514">
        <v>0</v>
      </c>
      <c r="Q514">
        <v>79745.58</v>
      </c>
      <c r="R514" t="s">
        <v>106</v>
      </c>
      <c r="S514" t="s">
        <v>93</v>
      </c>
      <c r="T514" t="s">
        <v>115</v>
      </c>
      <c r="U514" t="s">
        <v>50</v>
      </c>
      <c r="V514" t="s">
        <v>197</v>
      </c>
      <c r="W514" t="s">
        <v>68</v>
      </c>
      <c r="X514" t="s">
        <v>411</v>
      </c>
      <c r="Y514" t="s">
        <v>151</v>
      </c>
      <c r="Z514" t="s">
        <v>81</v>
      </c>
      <c r="AA514" t="s">
        <v>1905</v>
      </c>
      <c r="AB514" t="s">
        <v>3335</v>
      </c>
      <c r="AC514">
        <v>4</v>
      </c>
      <c r="AD514" t="s">
        <v>56</v>
      </c>
      <c r="AE514" t="s">
        <v>3336</v>
      </c>
      <c r="AF514" t="s">
        <v>57</v>
      </c>
      <c r="AG514" t="s">
        <v>3342</v>
      </c>
      <c r="AH514" s="1">
        <v>45398</v>
      </c>
      <c r="AI514" s="1">
        <v>45402</v>
      </c>
      <c r="AJ514" s="1">
        <v>45409</v>
      </c>
      <c r="AK514" t="s">
        <v>3409</v>
      </c>
      <c r="AL514" t="s">
        <v>1904</v>
      </c>
    </row>
    <row r="515" spans="1:38" x14ac:dyDescent="0.35">
      <c r="A515" t="s">
        <v>1906</v>
      </c>
      <c r="B515" t="s">
        <v>430</v>
      </c>
      <c r="C515" t="s">
        <v>89</v>
      </c>
      <c r="D515" t="s">
        <v>274</v>
      </c>
      <c r="E515" t="s">
        <v>275</v>
      </c>
      <c r="F515" t="s">
        <v>211</v>
      </c>
      <c r="G515" t="s">
        <v>268</v>
      </c>
      <c r="H515">
        <v>14130</v>
      </c>
      <c r="I515">
        <f>Sales_Transactions_Raw[[#This Row],[Unit_Price]]*Sales_Transactions_Raw[[#This Row],[Quantity]]</f>
        <v>14130</v>
      </c>
      <c r="J515">
        <v>1</v>
      </c>
      <c r="K515">
        <v>10</v>
      </c>
      <c r="L515">
        <v>1413</v>
      </c>
      <c r="M515">
        <v>12717</v>
      </c>
      <c r="N515">
        <v>5</v>
      </c>
      <c r="O515">
        <v>635.85</v>
      </c>
      <c r="P515">
        <v>0</v>
      </c>
      <c r="Q515">
        <v>13352.85</v>
      </c>
      <c r="R515" t="s">
        <v>92</v>
      </c>
      <c r="S515" t="s">
        <v>65</v>
      </c>
      <c r="T515" t="s">
        <v>115</v>
      </c>
      <c r="U515" t="s">
        <v>214</v>
      </c>
      <c r="V515" t="s">
        <v>224</v>
      </c>
      <c r="W515" t="s">
        <v>95</v>
      </c>
      <c r="X515" t="s">
        <v>515</v>
      </c>
      <c r="Y515" t="s">
        <v>82</v>
      </c>
      <c r="Z515" t="s">
        <v>52</v>
      </c>
      <c r="AA515" t="s">
        <v>1908</v>
      </c>
      <c r="AB515" t="s">
        <v>3335</v>
      </c>
      <c r="AC515">
        <v>4</v>
      </c>
      <c r="AD515" t="s">
        <v>179</v>
      </c>
      <c r="AE515" t="s">
        <v>3336</v>
      </c>
      <c r="AF515" t="s">
        <v>99</v>
      </c>
      <c r="AG515" t="s">
        <v>3342</v>
      </c>
      <c r="AH515" s="1">
        <v>45047</v>
      </c>
      <c r="AI515" s="1">
        <v>45108</v>
      </c>
      <c r="AJ515" s="1">
        <v>44943</v>
      </c>
      <c r="AK515" t="s">
        <v>3584</v>
      </c>
      <c r="AL515" t="s">
        <v>1907</v>
      </c>
    </row>
    <row r="516" spans="1:38" x14ac:dyDescent="0.35">
      <c r="A516" t="s">
        <v>1909</v>
      </c>
      <c r="B516" t="s">
        <v>430</v>
      </c>
      <c r="C516" t="s">
        <v>43</v>
      </c>
      <c r="D516" t="s">
        <v>230</v>
      </c>
      <c r="E516" t="s">
        <v>231</v>
      </c>
      <c r="F516" t="s">
        <v>46</v>
      </c>
      <c r="G516" t="s">
        <v>63</v>
      </c>
      <c r="H516">
        <v>118850</v>
      </c>
      <c r="I516">
        <f>Sales_Transactions_Raw[[#This Row],[Unit_Price]]*Sales_Transactions_Raw[[#This Row],[Quantity]]</f>
        <v>118850</v>
      </c>
      <c r="J516">
        <v>1</v>
      </c>
      <c r="K516">
        <v>5</v>
      </c>
      <c r="L516">
        <v>5942.5</v>
      </c>
      <c r="M516">
        <v>112907.5</v>
      </c>
      <c r="N516">
        <v>18</v>
      </c>
      <c r="O516">
        <v>20323.349999999999</v>
      </c>
      <c r="P516">
        <v>0</v>
      </c>
      <c r="Q516">
        <v>133230.85</v>
      </c>
      <c r="R516" t="s">
        <v>79</v>
      </c>
      <c r="S516" t="s">
        <v>125</v>
      </c>
      <c r="T516" t="s">
        <v>115</v>
      </c>
      <c r="U516" t="s">
        <v>161</v>
      </c>
      <c r="V516" t="s">
        <v>287</v>
      </c>
      <c r="W516" t="s">
        <v>95</v>
      </c>
      <c r="X516" t="s">
        <v>298</v>
      </c>
      <c r="Y516" t="s">
        <v>151</v>
      </c>
      <c r="Z516" t="s">
        <v>81</v>
      </c>
      <c r="AA516" t="s">
        <v>1911</v>
      </c>
      <c r="AB516" t="s">
        <v>3339</v>
      </c>
      <c r="AC516">
        <v>5</v>
      </c>
      <c r="AD516" t="s">
        <v>56</v>
      </c>
      <c r="AE516" t="s">
        <v>3336</v>
      </c>
      <c r="AF516" t="s">
        <v>164</v>
      </c>
      <c r="AG516" t="s">
        <v>111</v>
      </c>
      <c r="AH516" s="1">
        <v>45463</v>
      </c>
      <c r="AI516" s="1">
        <v>45466</v>
      </c>
      <c r="AJ516" s="1">
        <v>45475</v>
      </c>
      <c r="AK516" t="s">
        <v>3584</v>
      </c>
      <c r="AL516" t="s">
        <v>1910</v>
      </c>
    </row>
    <row r="517" spans="1:38" x14ac:dyDescent="0.35">
      <c r="A517" t="s">
        <v>1912</v>
      </c>
      <c r="B517" t="s">
        <v>113</v>
      </c>
      <c r="C517" t="s">
        <v>157</v>
      </c>
      <c r="D517" t="s">
        <v>956</v>
      </c>
      <c r="E517" t="s">
        <v>957</v>
      </c>
      <c r="F517" t="s">
        <v>46</v>
      </c>
      <c r="G517" t="s">
        <v>147</v>
      </c>
      <c r="H517">
        <v>9170</v>
      </c>
      <c r="I517">
        <f>Sales_Transactions_Raw[[#This Row],[Unit_Price]]*Sales_Transactions_Raw[[#This Row],[Quantity]]</f>
        <v>9170</v>
      </c>
      <c r="J517">
        <v>1</v>
      </c>
      <c r="K517">
        <v>0</v>
      </c>
      <c r="L517">
        <v>0</v>
      </c>
      <c r="M517">
        <v>9170</v>
      </c>
      <c r="N517">
        <v>18</v>
      </c>
      <c r="O517">
        <v>1650.6</v>
      </c>
      <c r="P517">
        <v>0</v>
      </c>
      <c r="Q517">
        <v>10820.6</v>
      </c>
      <c r="R517" t="s">
        <v>79</v>
      </c>
      <c r="S517" t="s">
        <v>107</v>
      </c>
      <c r="T517" t="s">
        <v>66</v>
      </c>
      <c r="U517" t="s">
        <v>161</v>
      </c>
      <c r="V517" t="s">
        <v>116</v>
      </c>
      <c r="W517" t="s">
        <v>70</v>
      </c>
      <c r="X517" t="s">
        <v>381</v>
      </c>
      <c r="Y517" t="s">
        <v>199</v>
      </c>
      <c r="Z517" t="s">
        <v>52</v>
      </c>
      <c r="AA517" t="s">
        <v>1914</v>
      </c>
      <c r="AB517" t="s">
        <v>3341</v>
      </c>
      <c r="AC517">
        <v>4</v>
      </c>
      <c r="AD517" t="s">
        <v>56</v>
      </c>
      <c r="AE517" t="s">
        <v>3336</v>
      </c>
      <c r="AF517" t="s">
        <v>153</v>
      </c>
      <c r="AG517" t="s">
        <v>85</v>
      </c>
      <c r="AH517" s="1">
        <v>45450</v>
      </c>
      <c r="AI517" s="1">
        <v>45457</v>
      </c>
      <c r="AJ517" s="1">
        <v>45466</v>
      </c>
      <c r="AK517" t="s">
        <v>3467</v>
      </c>
      <c r="AL517" t="s">
        <v>1913</v>
      </c>
    </row>
    <row r="518" spans="1:38" x14ac:dyDescent="0.35">
      <c r="A518" t="s">
        <v>1915</v>
      </c>
      <c r="B518" t="s">
        <v>731</v>
      </c>
      <c r="C518" t="s">
        <v>157</v>
      </c>
      <c r="D518" t="s">
        <v>303</v>
      </c>
      <c r="E518" t="s">
        <v>304</v>
      </c>
      <c r="F518" t="s">
        <v>134</v>
      </c>
      <c r="G518" t="s">
        <v>305</v>
      </c>
      <c r="H518">
        <v>35840</v>
      </c>
      <c r="I518">
        <f>Sales_Transactions_Raw[[#This Row],[Unit_Price]]*Sales_Transactions_Raw[[#This Row],[Quantity]]</f>
        <v>215040</v>
      </c>
      <c r="J518">
        <v>6</v>
      </c>
      <c r="K518">
        <v>0</v>
      </c>
      <c r="L518">
        <v>0</v>
      </c>
      <c r="M518">
        <v>215040</v>
      </c>
      <c r="N518">
        <v>5</v>
      </c>
      <c r="O518">
        <v>10752</v>
      </c>
      <c r="P518">
        <v>0</v>
      </c>
      <c r="Q518">
        <v>225792</v>
      </c>
      <c r="R518" t="s">
        <v>79</v>
      </c>
      <c r="S518" t="s">
        <v>49</v>
      </c>
      <c r="T518" t="s">
        <v>66</v>
      </c>
      <c r="U518" t="s">
        <v>196</v>
      </c>
      <c r="V518" t="s">
        <v>67</v>
      </c>
      <c r="W518" t="s">
        <v>68</v>
      </c>
      <c r="X518" t="s">
        <v>626</v>
      </c>
      <c r="Y518" t="s">
        <v>289</v>
      </c>
      <c r="Z518" t="s">
        <v>52</v>
      </c>
      <c r="AA518" t="s">
        <v>1917</v>
      </c>
      <c r="AB518" t="s">
        <v>3343</v>
      </c>
      <c r="AC518">
        <v>4</v>
      </c>
      <c r="AD518" t="s">
        <v>56</v>
      </c>
      <c r="AE518" t="s">
        <v>3336</v>
      </c>
      <c r="AF518" t="s">
        <v>153</v>
      </c>
      <c r="AG518" t="s">
        <v>111</v>
      </c>
      <c r="AH518" s="1">
        <v>45175</v>
      </c>
      <c r="AI518" s="1">
        <v>45179</v>
      </c>
      <c r="AJ518" s="1">
        <v>45185</v>
      </c>
      <c r="AK518" t="s">
        <v>3509</v>
      </c>
      <c r="AL518" t="s">
        <v>1916</v>
      </c>
    </row>
    <row r="519" spans="1:38" x14ac:dyDescent="0.35">
      <c r="A519" t="s">
        <v>1918</v>
      </c>
      <c r="B519" t="s">
        <v>605</v>
      </c>
      <c r="C519" t="s">
        <v>43</v>
      </c>
      <c r="D519" t="s">
        <v>426</v>
      </c>
      <c r="E519" t="s">
        <v>427</v>
      </c>
      <c r="F519" t="s">
        <v>134</v>
      </c>
      <c r="G519" t="s">
        <v>305</v>
      </c>
      <c r="H519">
        <v>48520</v>
      </c>
      <c r="I519">
        <f>Sales_Transactions_Raw[[#This Row],[Unit_Price]]*Sales_Transactions_Raw[[#This Row],[Quantity]]</f>
        <v>145560</v>
      </c>
      <c r="J519">
        <v>3</v>
      </c>
      <c r="K519">
        <v>0</v>
      </c>
      <c r="L519">
        <v>0</v>
      </c>
      <c r="M519">
        <v>145560</v>
      </c>
      <c r="N519">
        <v>5</v>
      </c>
      <c r="O519">
        <v>7278</v>
      </c>
      <c r="P519">
        <v>0</v>
      </c>
      <c r="Q519">
        <v>152838</v>
      </c>
      <c r="R519" t="s">
        <v>64</v>
      </c>
      <c r="S519" t="s">
        <v>65</v>
      </c>
      <c r="T519" t="s">
        <v>66</v>
      </c>
      <c r="U519" t="s">
        <v>50</v>
      </c>
      <c r="V519" t="s">
        <v>197</v>
      </c>
      <c r="W519" t="s">
        <v>68</v>
      </c>
      <c r="X519" t="s">
        <v>422</v>
      </c>
      <c r="Y519" t="s">
        <v>319</v>
      </c>
      <c r="Z519" t="s">
        <v>95</v>
      </c>
      <c r="AB519" t="s">
        <v>3335</v>
      </c>
      <c r="AC519">
        <v>4</v>
      </c>
      <c r="AD519" t="s">
        <v>56</v>
      </c>
      <c r="AE519" t="s">
        <v>3336</v>
      </c>
      <c r="AF519" t="s">
        <v>99</v>
      </c>
      <c r="AG519" t="s">
        <v>3342</v>
      </c>
      <c r="AH519" s="1">
        <v>45110</v>
      </c>
      <c r="AI519" s="1">
        <v>45233</v>
      </c>
      <c r="AJ519" s="1">
        <v>45001</v>
      </c>
      <c r="AK519" t="s">
        <v>3435</v>
      </c>
      <c r="AL519" t="s">
        <v>1919</v>
      </c>
    </row>
    <row r="520" spans="1:38" x14ac:dyDescent="0.35">
      <c r="A520" t="s">
        <v>1920</v>
      </c>
      <c r="B520" t="s">
        <v>940</v>
      </c>
      <c r="C520" t="s">
        <v>157</v>
      </c>
      <c r="D520" t="s">
        <v>375</v>
      </c>
      <c r="E520" t="s">
        <v>376</v>
      </c>
      <c r="F520" t="s">
        <v>146</v>
      </c>
      <c r="G520" t="s">
        <v>147</v>
      </c>
      <c r="H520">
        <v>8520</v>
      </c>
      <c r="I520">
        <f>Sales_Transactions_Raw[[#This Row],[Unit_Price]]*Sales_Transactions_Raw[[#This Row],[Quantity]]</f>
        <v>59640</v>
      </c>
      <c r="J520">
        <v>7</v>
      </c>
      <c r="K520">
        <v>5</v>
      </c>
      <c r="L520">
        <v>2982</v>
      </c>
      <c r="M520">
        <v>56658</v>
      </c>
      <c r="N520">
        <v>12</v>
      </c>
      <c r="O520">
        <v>6798.96</v>
      </c>
      <c r="P520">
        <v>0</v>
      </c>
      <c r="Q520">
        <v>63456.959999999999</v>
      </c>
      <c r="R520" t="s">
        <v>106</v>
      </c>
      <c r="S520" t="s">
        <v>93</v>
      </c>
      <c r="T520" t="s">
        <v>115</v>
      </c>
      <c r="U520" t="s">
        <v>108</v>
      </c>
      <c r="V520" t="s">
        <v>287</v>
      </c>
      <c r="W520" t="s">
        <v>95</v>
      </c>
      <c r="X520" t="s">
        <v>288</v>
      </c>
      <c r="Y520" t="s">
        <v>289</v>
      </c>
      <c r="Z520" t="s">
        <v>52</v>
      </c>
      <c r="AA520" t="s">
        <v>1922</v>
      </c>
      <c r="AB520" t="s">
        <v>3341</v>
      </c>
      <c r="AC520">
        <v>4</v>
      </c>
      <c r="AD520" t="s">
        <v>56</v>
      </c>
      <c r="AE520" t="s">
        <v>3336</v>
      </c>
      <c r="AF520" t="s">
        <v>153</v>
      </c>
      <c r="AG520" t="s">
        <v>58</v>
      </c>
      <c r="AH520" s="1">
        <v>45110</v>
      </c>
      <c r="AI520" s="1">
        <v>45151</v>
      </c>
      <c r="AJ520" s="1">
        <v>45157</v>
      </c>
      <c r="AK520" t="s">
        <v>3582</v>
      </c>
      <c r="AL520" t="s">
        <v>1921</v>
      </c>
    </row>
    <row r="521" spans="1:38" x14ac:dyDescent="0.35">
      <c r="A521" t="s">
        <v>1923</v>
      </c>
      <c r="B521" t="s">
        <v>87</v>
      </c>
      <c r="C521" t="s">
        <v>43</v>
      </c>
      <c r="D521" t="s">
        <v>704</v>
      </c>
      <c r="E521" t="s">
        <v>705</v>
      </c>
      <c r="F521" t="s">
        <v>285</v>
      </c>
      <c r="G521" t="s">
        <v>706</v>
      </c>
      <c r="H521">
        <v>290</v>
      </c>
      <c r="I521">
        <f>Sales_Transactions_Raw[[#This Row],[Unit_Price]]*Sales_Transactions_Raw[[#This Row],[Quantity]]</f>
        <v>1160</v>
      </c>
      <c r="J521">
        <v>4</v>
      </c>
      <c r="K521">
        <v>0</v>
      </c>
      <c r="L521">
        <v>0</v>
      </c>
      <c r="M521">
        <v>1160</v>
      </c>
      <c r="N521">
        <v>5</v>
      </c>
      <c r="O521">
        <v>58</v>
      </c>
      <c r="P521">
        <v>49</v>
      </c>
      <c r="Q521">
        <v>1218</v>
      </c>
      <c r="R521" t="s">
        <v>160</v>
      </c>
      <c r="S521" t="s">
        <v>65</v>
      </c>
      <c r="T521" t="s">
        <v>115</v>
      </c>
      <c r="U521" t="s">
        <v>161</v>
      </c>
      <c r="V521" t="s">
        <v>224</v>
      </c>
      <c r="W521" t="s">
        <v>95</v>
      </c>
      <c r="X521" t="s">
        <v>162</v>
      </c>
      <c r="Y521" t="s">
        <v>109</v>
      </c>
      <c r="Z521" t="s">
        <v>70</v>
      </c>
      <c r="AA521" t="s">
        <v>1925</v>
      </c>
      <c r="AB521" t="s">
        <v>3341</v>
      </c>
      <c r="AC521">
        <v>4</v>
      </c>
      <c r="AD521" t="s">
        <v>56</v>
      </c>
      <c r="AE521" t="s">
        <v>3336</v>
      </c>
      <c r="AF521" t="s">
        <v>153</v>
      </c>
      <c r="AG521" t="s">
        <v>111</v>
      </c>
      <c r="AH521" s="1">
        <v>45005</v>
      </c>
      <c r="AI521" s="1">
        <v>45012</v>
      </c>
      <c r="AJ521" s="1">
        <v>45020</v>
      </c>
      <c r="AK521" t="s">
        <v>3348</v>
      </c>
      <c r="AL521" t="s">
        <v>1924</v>
      </c>
    </row>
    <row r="522" spans="1:38" x14ac:dyDescent="0.35">
      <c r="A522" t="s">
        <v>1926</v>
      </c>
      <c r="B522" t="s">
        <v>609</v>
      </c>
      <c r="C522" t="s">
        <v>157</v>
      </c>
      <c r="D522" t="s">
        <v>310</v>
      </c>
      <c r="E522" t="s">
        <v>311</v>
      </c>
      <c r="F522" t="s">
        <v>211</v>
      </c>
      <c r="G522" t="s">
        <v>312</v>
      </c>
      <c r="H522">
        <v>11800</v>
      </c>
      <c r="I522">
        <f>Sales_Transactions_Raw[[#This Row],[Unit_Price]]*Sales_Transactions_Raw[[#This Row],[Quantity]]</f>
        <v>11800</v>
      </c>
      <c r="J522">
        <v>1</v>
      </c>
      <c r="K522">
        <v>5</v>
      </c>
      <c r="L522">
        <v>590</v>
      </c>
      <c r="M522">
        <v>11210</v>
      </c>
      <c r="N522">
        <v>5</v>
      </c>
      <c r="O522">
        <v>560.5</v>
      </c>
      <c r="P522">
        <v>0</v>
      </c>
      <c r="Q522">
        <v>11770.5</v>
      </c>
      <c r="R522" t="s">
        <v>160</v>
      </c>
      <c r="S522" t="s">
        <v>49</v>
      </c>
      <c r="T522" t="s">
        <v>136</v>
      </c>
      <c r="U522" t="s">
        <v>161</v>
      </c>
      <c r="V522" t="s">
        <v>297</v>
      </c>
      <c r="W522" t="s">
        <v>52</v>
      </c>
      <c r="X522" t="s">
        <v>611</v>
      </c>
      <c r="Y522" t="s">
        <v>97</v>
      </c>
      <c r="Z522" t="s">
        <v>95</v>
      </c>
      <c r="AA522" t="s">
        <v>1928</v>
      </c>
      <c r="AB522" t="s">
        <v>3335</v>
      </c>
      <c r="AC522">
        <v>4</v>
      </c>
      <c r="AD522" t="s">
        <v>56</v>
      </c>
      <c r="AE522" t="s">
        <v>3336</v>
      </c>
      <c r="AF522" t="s">
        <v>99</v>
      </c>
      <c r="AG522" t="s">
        <v>111</v>
      </c>
      <c r="AH522" s="1">
        <v>45192</v>
      </c>
      <c r="AI522" s="1">
        <v>45195</v>
      </c>
      <c r="AJ522" s="1">
        <v>45203</v>
      </c>
      <c r="AK522" t="s">
        <v>3422</v>
      </c>
      <c r="AL522" t="s">
        <v>1927</v>
      </c>
    </row>
    <row r="523" spans="1:38" x14ac:dyDescent="0.35">
      <c r="A523" t="s">
        <v>1929</v>
      </c>
      <c r="B523" t="s">
        <v>1078</v>
      </c>
      <c r="C523" t="s">
        <v>43</v>
      </c>
      <c r="D523" t="s">
        <v>345</v>
      </c>
      <c r="E523" t="s">
        <v>346</v>
      </c>
      <c r="F523" t="s">
        <v>46</v>
      </c>
      <c r="G523" t="s">
        <v>63</v>
      </c>
      <c r="H523">
        <v>119370</v>
      </c>
      <c r="I523">
        <f>Sales_Transactions_Raw[[#This Row],[Unit_Price]]*Sales_Transactions_Raw[[#This Row],[Quantity]]</f>
        <v>119370</v>
      </c>
      <c r="J523">
        <v>1</v>
      </c>
      <c r="K523">
        <v>0</v>
      </c>
      <c r="L523">
        <v>0</v>
      </c>
      <c r="M523">
        <v>119370</v>
      </c>
      <c r="N523">
        <v>18</v>
      </c>
      <c r="O523">
        <v>21486.6</v>
      </c>
      <c r="P523">
        <v>0</v>
      </c>
      <c r="Q523">
        <v>140856.6</v>
      </c>
      <c r="R523" t="s">
        <v>79</v>
      </c>
      <c r="S523" t="s">
        <v>93</v>
      </c>
      <c r="T523" t="s">
        <v>66</v>
      </c>
      <c r="U523" t="s">
        <v>161</v>
      </c>
      <c r="V523" t="s">
        <v>177</v>
      </c>
      <c r="W523" t="s">
        <v>81</v>
      </c>
      <c r="X523" t="s">
        <v>611</v>
      </c>
      <c r="Y523" t="s">
        <v>97</v>
      </c>
      <c r="Z523" t="s">
        <v>95</v>
      </c>
      <c r="AA523" t="s">
        <v>1931</v>
      </c>
      <c r="AB523" t="s">
        <v>3340</v>
      </c>
      <c r="AC523">
        <v>4</v>
      </c>
      <c r="AD523" t="s">
        <v>56</v>
      </c>
      <c r="AE523" t="s">
        <v>3336</v>
      </c>
      <c r="AF523" t="s">
        <v>99</v>
      </c>
      <c r="AG523" t="s">
        <v>58</v>
      </c>
      <c r="AH523" s="1">
        <v>45327</v>
      </c>
      <c r="AI523" s="1">
        <v>45331</v>
      </c>
      <c r="AJ523" s="1">
        <v>45335</v>
      </c>
      <c r="AK523" t="s">
        <v>3512</v>
      </c>
      <c r="AL523" t="s">
        <v>1930</v>
      </c>
    </row>
    <row r="524" spans="1:38" x14ac:dyDescent="0.35">
      <c r="A524" t="s">
        <v>1932</v>
      </c>
      <c r="B524" t="s">
        <v>430</v>
      </c>
      <c r="C524" t="s">
        <v>43</v>
      </c>
      <c r="D524" t="s">
        <v>402</v>
      </c>
      <c r="E524" t="s">
        <v>403</v>
      </c>
      <c r="F524" t="s">
        <v>146</v>
      </c>
      <c r="G524" t="s">
        <v>223</v>
      </c>
      <c r="H524">
        <v>2140</v>
      </c>
      <c r="I524">
        <f>Sales_Transactions_Raw[[#This Row],[Unit_Price]]*Sales_Transactions_Raw[[#This Row],[Quantity]]</f>
        <v>2140</v>
      </c>
      <c r="J524">
        <v>1</v>
      </c>
      <c r="K524">
        <v>5</v>
      </c>
      <c r="L524">
        <v>107</v>
      </c>
      <c r="M524">
        <v>2033</v>
      </c>
      <c r="N524">
        <v>12</v>
      </c>
      <c r="O524">
        <v>243.96</v>
      </c>
      <c r="P524">
        <v>79</v>
      </c>
      <c r="Q524">
        <v>2276.96</v>
      </c>
      <c r="R524" t="s">
        <v>79</v>
      </c>
      <c r="S524" t="s">
        <v>125</v>
      </c>
      <c r="T524" t="s">
        <v>115</v>
      </c>
      <c r="U524" t="s">
        <v>108</v>
      </c>
      <c r="V524" t="s">
        <v>149</v>
      </c>
      <c r="W524" t="s">
        <v>81</v>
      </c>
      <c r="X524" t="s">
        <v>117</v>
      </c>
      <c r="Y524" t="s">
        <v>118</v>
      </c>
      <c r="Z524" t="s">
        <v>70</v>
      </c>
      <c r="AA524" t="s">
        <v>1934</v>
      </c>
      <c r="AB524" t="s">
        <v>3335</v>
      </c>
      <c r="AC524">
        <v>4</v>
      </c>
      <c r="AD524" t="s">
        <v>56</v>
      </c>
      <c r="AE524" t="s">
        <v>3336</v>
      </c>
      <c r="AF524" t="s">
        <v>262</v>
      </c>
      <c r="AG524" t="s">
        <v>3342</v>
      </c>
      <c r="AH524" s="1">
        <v>45075</v>
      </c>
      <c r="AI524" s="1">
        <v>45082</v>
      </c>
      <c r="AJ524" s="1">
        <v>45085</v>
      </c>
      <c r="AK524" t="s">
        <v>3390</v>
      </c>
      <c r="AL524" t="s">
        <v>1933</v>
      </c>
    </row>
    <row r="525" spans="1:38" x14ac:dyDescent="0.35">
      <c r="A525" t="s">
        <v>1935</v>
      </c>
      <c r="B525" t="s">
        <v>484</v>
      </c>
      <c r="C525" t="s">
        <v>43</v>
      </c>
      <c r="D525" t="s">
        <v>230</v>
      </c>
      <c r="E525" t="s">
        <v>231</v>
      </c>
      <c r="F525" t="s">
        <v>46</v>
      </c>
      <c r="G525" t="s">
        <v>63</v>
      </c>
      <c r="H525">
        <v>119270</v>
      </c>
      <c r="I525">
        <f>Sales_Transactions_Raw[[#This Row],[Unit_Price]]*Sales_Transactions_Raw[[#This Row],[Quantity]]</f>
        <v>238540</v>
      </c>
      <c r="J525">
        <v>2</v>
      </c>
      <c r="K525">
        <v>10</v>
      </c>
      <c r="L525">
        <v>23854</v>
      </c>
      <c r="M525">
        <v>214686</v>
      </c>
      <c r="N525">
        <v>18</v>
      </c>
      <c r="O525">
        <v>38643.480000000003</v>
      </c>
      <c r="P525">
        <v>0</v>
      </c>
      <c r="Q525">
        <v>253329.48</v>
      </c>
      <c r="R525" t="s">
        <v>79</v>
      </c>
      <c r="S525" t="s">
        <v>65</v>
      </c>
      <c r="T525" t="s">
        <v>115</v>
      </c>
      <c r="U525" t="s">
        <v>161</v>
      </c>
      <c r="V525" t="s">
        <v>94</v>
      </c>
      <c r="W525" t="s">
        <v>95</v>
      </c>
      <c r="X525" t="s">
        <v>443</v>
      </c>
      <c r="Y525" t="s">
        <v>97</v>
      </c>
      <c r="Z525" t="s">
        <v>95</v>
      </c>
      <c r="AA525" t="s">
        <v>1936</v>
      </c>
      <c r="AB525" t="s">
        <v>3340</v>
      </c>
      <c r="AC525">
        <v>4</v>
      </c>
      <c r="AD525" t="s">
        <v>56</v>
      </c>
      <c r="AE525" t="s">
        <v>3336</v>
      </c>
      <c r="AF525" t="s">
        <v>279</v>
      </c>
      <c r="AG525" t="s">
        <v>58</v>
      </c>
      <c r="AH525" s="1">
        <v>45346</v>
      </c>
      <c r="AI525" s="1">
        <v>45353</v>
      </c>
      <c r="AJ525" s="1">
        <v>45360</v>
      </c>
      <c r="AK525" t="s">
        <v>3556</v>
      </c>
      <c r="AL525" t="s">
        <v>3743</v>
      </c>
    </row>
    <row r="526" spans="1:38" x14ac:dyDescent="0.35">
      <c r="A526" t="s">
        <v>1937</v>
      </c>
      <c r="B526" t="s">
        <v>948</v>
      </c>
      <c r="C526" t="s">
        <v>43</v>
      </c>
      <c r="D526" t="s">
        <v>230</v>
      </c>
      <c r="E526" t="s">
        <v>231</v>
      </c>
      <c r="F526" t="s">
        <v>46</v>
      </c>
      <c r="G526" t="s">
        <v>63</v>
      </c>
      <c r="H526">
        <v>109170</v>
      </c>
      <c r="I526">
        <f>Sales_Transactions_Raw[[#This Row],[Unit_Price]]*Sales_Transactions_Raw[[#This Row],[Quantity]]</f>
        <v>218340</v>
      </c>
      <c r="J526">
        <v>2</v>
      </c>
      <c r="K526">
        <v>10</v>
      </c>
      <c r="L526">
        <v>21834</v>
      </c>
      <c r="M526">
        <v>196506</v>
      </c>
      <c r="N526">
        <v>18</v>
      </c>
      <c r="O526">
        <v>35371.08</v>
      </c>
      <c r="P526">
        <v>0</v>
      </c>
      <c r="Q526">
        <v>231877.08000000002</v>
      </c>
      <c r="R526" t="s">
        <v>124</v>
      </c>
      <c r="S526" t="s">
        <v>49</v>
      </c>
      <c r="T526" t="s">
        <v>115</v>
      </c>
      <c r="U526" t="s">
        <v>214</v>
      </c>
      <c r="V526" t="s">
        <v>51</v>
      </c>
      <c r="W526" t="s">
        <v>52</v>
      </c>
      <c r="X526" t="s">
        <v>277</v>
      </c>
      <c r="Y526" t="s">
        <v>127</v>
      </c>
      <c r="Z526" t="s">
        <v>68</v>
      </c>
      <c r="AA526" t="s">
        <v>1939</v>
      </c>
      <c r="AB526" t="s">
        <v>3335</v>
      </c>
      <c r="AC526">
        <v>5</v>
      </c>
      <c r="AD526" t="s">
        <v>56</v>
      </c>
      <c r="AE526" t="s">
        <v>3336</v>
      </c>
      <c r="AF526" t="s">
        <v>57</v>
      </c>
      <c r="AG526" t="s">
        <v>58</v>
      </c>
      <c r="AH526" s="1">
        <v>44940</v>
      </c>
      <c r="AI526" s="1">
        <v>44944</v>
      </c>
      <c r="AJ526" s="1">
        <v>44947</v>
      </c>
      <c r="AK526" t="s">
        <v>3629</v>
      </c>
      <c r="AL526" t="s">
        <v>1938</v>
      </c>
    </row>
    <row r="527" spans="1:38" x14ac:dyDescent="0.35">
      <c r="A527" t="s">
        <v>1940</v>
      </c>
      <c r="B527" t="s">
        <v>1225</v>
      </c>
      <c r="C527" t="s">
        <v>43</v>
      </c>
      <c r="D527" t="s">
        <v>122</v>
      </c>
      <c r="E527" t="s">
        <v>123</v>
      </c>
      <c r="F527" t="s">
        <v>46</v>
      </c>
      <c r="G527" t="s">
        <v>63</v>
      </c>
      <c r="H527">
        <v>53980</v>
      </c>
      <c r="I527">
        <f>Sales_Transactions_Raw[[#This Row],[Unit_Price]]*Sales_Transactions_Raw[[#This Row],[Quantity]]</f>
        <v>377860</v>
      </c>
      <c r="J527">
        <v>7</v>
      </c>
      <c r="K527">
        <v>15</v>
      </c>
      <c r="L527">
        <v>56679</v>
      </c>
      <c r="M527">
        <v>321181</v>
      </c>
      <c r="N527">
        <v>18</v>
      </c>
      <c r="O527">
        <v>57812.58</v>
      </c>
      <c r="P527">
        <v>0</v>
      </c>
      <c r="Q527">
        <v>378993.58</v>
      </c>
      <c r="R527" t="s">
        <v>106</v>
      </c>
      <c r="S527" t="s">
        <v>125</v>
      </c>
      <c r="T527" t="s">
        <v>719</v>
      </c>
      <c r="U527" t="s">
        <v>161</v>
      </c>
      <c r="V527" t="s">
        <v>197</v>
      </c>
      <c r="W527" t="s">
        <v>68</v>
      </c>
      <c r="X527" t="s">
        <v>168</v>
      </c>
      <c r="Y527" t="s">
        <v>169</v>
      </c>
      <c r="Z527" t="s">
        <v>95</v>
      </c>
      <c r="AA527" t="s">
        <v>1942</v>
      </c>
      <c r="AB527" t="s">
        <v>3335</v>
      </c>
      <c r="AC527">
        <v>5</v>
      </c>
      <c r="AD527" t="s">
        <v>56</v>
      </c>
      <c r="AE527" t="s">
        <v>3336</v>
      </c>
      <c r="AF527" t="s">
        <v>279</v>
      </c>
      <c r="AG527" t="s">
        <v>3342</v>
      </c>
      <c r="AH527" s="1">
        <v>45205</v>
      </c>
      <c r="AI527" s="1">
        <v>45206</v>
      </c>
      <c r="AJ527" s="1">
        <v>45210</v>
      </c>
      <c r="AK527" t="s">
        <v>3586</v>
      </c>
      <c r="AL527" t="s">
        <v>1941</v>
      </c>
    </row>
    <row r="528" spans="1:38" x14ac:dyDescent="0.35">
      <c r="A528" t="s">
        <v>1943</v>
      </c>
      <c r="B528" t="s">
        <v>1944</v>
      </c>
      <c r="C528" t="s">
        <v>89</v>
      </c>
      <c r="D528" t="s">
        <v>144</v>
      </c>
      <c r="E528" t="s">
        <v>145</v>
      </c>
      <c r="F528" t="s">
        <v>146</v>
      </c>
      <c r="G528" t="s">
        <v>147</v>
      </c>
      <c r="H528">
        <v>2540</v>
      </c>
      <c r="I528">
        <f>Sales_Transactions_Raw[[#This Row],[Unit_Price]]*Sales_Transactions_Raw[[#This Row],[Quantity]]</f>
        <v>10160</v>
      </c>
      <c r="J528">
        <v>4</v>
      </c>
      <c r="K528">
        <v>0</v>
      </c>
      <c r="L528">
        <v>0</v>
      </c>
      <c r="M528">
        <v>10160</v>
      </c>
      <c r="N528">
        <v>12</v>
      </c>
      <c r="O528">
        <v>1219.2</v>
      </c>
      <c r="P528">
        <v>0</v>
      </c>
      <c r="Q528">
        <v>11379.2</v>
      </c>
      <c r="R528" t="s">
        <v>124</v>
      </c>
      <c r="S528" t="s">
        <v>49</v>
      </c>
      <c r="T528" t="s">
        <v>115</v>
      </c>
      <c r="U528" t="s">
        <v>196</v>
      </c>
      <c r="V528" t="s">
        <v>80</v>
      </c>
      <c r="W528" t="s">
        <v>81</v>
      </c>
      <c r="X528" t="s">
        <v>474</v>
      </c>
      <c r="Y528" t="s">
        <v>169</v>
      </c>
      <c r="Z528" t="s">
        <v>95</v>
      </c>
      <c r="AA528" t="s">
        <v>1946</v>
      </c>
      <c r="AB528" t="s">
        <v>3335</v>
      </c>
      <c r="AC528">
        <v>5</v>
      </c>
      <c r="AD528" t="s">
        <v>56</v>
      </c>
      <c r="AE528" t="s">
        <v>3336</v>
      </c>
      <c r="AF528" t="s">
        <v>140</v>
      </c>
      <c r="AG528" t="s">
        <v>58</v>
      </c>
      <c r="AH528" s="1">
        <v>45211</v>
      </c>
      <c r="AI528" s="1">
        <v>45217</v>
      </c>
      <c r="AJ528" s="1">
        <v>45219</v>
      </c>
      <c r="AK528" t="s">
        <v>3630</v>
      </c>
      <c r="AL528" t="s">
        <v>1945</v>
      </c>
    </row>
    <row r="529" spans="1:38" x14ac:dyDescent="0.35">
      <c r="A529" t="s">
        <v>1947</v>
      </c>
      <c r="B529" t="s">
        <v>409</v>
      </c>
      <c r="C529" t="s">
        <v>43</v>
      </c>
      <c r="D529" t="s">
        <v>122</v>
      </c>
      <c r="E529" t="s">
        <v>123</v>
      </c>
      <c r="F529" t="s">
        <v>46</v>
      </c>
      <c r="G529" t="s">
        <v>63</v>
      </c>
      <c r="H529">
        <v>58490</v>
      </c>
      <c r="I529">
        <f>Sales_Transactions_Raw[[#This Row],[Unit_Price]]*Sales_Transactions_Raw[[#This Row],[Quantity]]</f>
        <v>292450</v>
      </c>
      <c r="J529">
        <v>5</v>
      </c>
      <c r="K529">
        <v>20</v>
      </c>
      <c r="L529">
        <v>58490</v>
      </c>
      <c r="M529">
        <v>233960</v>
      </c>
      <c r="N529">
        <v>18</v>
      </c>
      <c r="O529">
        <v>42112.800000000003</v>
      </c>
      <c r="P529">
        <v>0</v>
      </c>
      <c r="Q529">
        <v>276072.8</v>
      </c>
      <c r="R529" t="s">
        <v>64</v>
      </c>
      <c r="S529" t="s">
        <v>65</v>
      </c>
      <c r="T529" t="s">
        <v>115</v>
      </c>
      <c r="U529" t="s">
        <v>214</v>
      </c>
      <c r="V529" t="s">
        <v>197</v>
      </c>
      <c r="W529" t="s">
        <v>68</v>
      </c>
      <c r="X529" t="s">
        <v>232</v>
      </c>
      <c r="Y529" t="s">
        <v>82</v>
      </c>
      <c r="Z529" t="s">
        <v>52</v>
      </c>
      <c r="AA529" t="s">
        <v>1949</v>
      </c>
      <c r="AB529" t="s">
        <v>3338</v>
      </c>
      <c r="AC529">
        <v>4</v>
      </c>
      <c r="AD529" t="s">
        <v>56</v>
      </c>
      <c r="AE529" t="s">
        <v>3336</v>
      </c>
      <c r="AF529" t="s">
        <v>279</v>
      </c>
      <c r="AG529" t="s">
        <v>58</v>
      </c>
      <c r="AH529" s="1">
        <v>45244</v>
      </c>
      <c r="AI529" s="1">
        <v>45247</v>
      </c>
      <c r="AJ529" s="1">
        <v>45253</v>
      </c>
      <c r="AK529" t="s">
        <v>3425</v>
      </c>
      <c r="AL529" t="s">
        <v>1948</v>
      </c>
    </row>
    <row r="530" spans="1:38" x14ac:dyDescent="0.35">
      <c r="A530" t="s">
        <v>1950</v>
      </c>
      <c r="B530" t="s">
        <v>478</v>
      </c>
      <c r="C530" t="s">
        <v>157</v>
      </c>
      <c r="D530" t="s">
        <v>490</v>
      </c>
      <c r="E530" t="s">
        <v>91</v>
      </c>
      <c r="F530" t="s">
        <v>46</v>
      </c>
      <c r="G530" t="s">
        <v>369</v>
      </c>
      <c r="H530">
        <v>75930</v>
      </c>
      <c r="I530">
        <f>Sales_Transactions_Raw[[#This Row],[Unit_Price]]*Sales_Transactions_Raw[[#This Row],[Quantity]]</f>
        <v>75930</v>
      </c>
      <c r="J530">
        <v>1</v>
      </c>
      <c r="K530">
        <v>25</v>
      </c>
      <c r="L530">
        <v>18982.5</v>
      </c>
      <c r="M530">
        <v>56947.5</v>
      </c>
      <c r="N530">
        <v>18</v>
      </c>
      <c r="O530">
        <v>10250.549999999999</v>
      </c>
      <c r="P530">
        <v>0</v>
      </c>
      <c r="Q530">
        <v>67198.05</v>
      </c>
      <c r="R530" t="s">
        <v>48</v>
      </c>
      <c r="S530" t="s">
        <v>49</v>
      </c>
      <c r="T530" t="s">
        <v>115</v>
      </c>
      <c r="U530" t="s">
        <v>161</v>
      </c>
      <c r="V530" t="s">
        <v>51</v>
      </c>
      <c r="W530" t="s">
        <v>52</v>
      </c>
      <c r="X530" t="s">
        <v>232</v>
      </c>
      <c r="Y530" t="s">
        <v>82</v>
      </c>
      <c r="Z530" t="s">
        <v>52</v>
      </c>
      <c r="AA530" t="s">
        <v>1952</v>
      </c>
      <c r="AB530" t="s">
        <v>3335</v>
      </c>
      <c r="AC530">
        <v>4</v>
      </c>
      <c r="AD530" t="s">
        <v>56</v>
      </c>
      <c r="AE530" t="s">
        <v>3336</v>
      </c>
      <c r="AF530" t="s">
        <v>140</v>
      </c>
      <c r="AG530" t="s">
        <v>85</v>
      </c>
      <c r="AH530" s="1">
        <v>45252</v>
      </c>
      <c r="AI530" s="1">
        <v>45256</v>
      </c>
      <c r="AJ530" s="1">
        <v>45263</v>
      </c>
      <c r="AK530" t="s">
        <v>3402</v>
      </c>
      <c r="AL530" t="s">
        <v>1951</v>
      </c>
    </row>
    <row r="531" spans="1:38" x14ac:dyDescent="0.35">
      <c r="A531" t="s">
        <v>1953</v>
      </c>
      <c r="B531" t="s">
        <v>656</v>
      </c>
      <c r="C531" t="s">
        <v>157</v>
      </c>
      <c r="D531" t="s">
        <v>158</v>
      </c>
      <c r="E531" t="s">
        <v>159</v>
      </c>
      <c r="F531" t="s">
        <v>46</v>
      </c>
      <c r="G531" t="s">
        <v>105</v>
      </c>
      <c r="H531">
        <v>52220</v>
      </c>
      <c r="I531">
        <f>Sales_Transactions_Raw[[#This Row],[Unit_Price]]*Sales_Transactions_Raw[[#This Row],[Quantity]]</f>
        <v>469980</v>
      </c>
      <c r="J531">
        <v>9</v>
      </c>
      <c r="K531">
        <v>5</v>
      </c>
      <c r="L531">
        <v>23499</v>
      </c>
      <c r="M531">
        <v>446481</v>
      </c>
      <c r="N531">
        <v>18</v>
      </c>
      <c r="O531">
        <v>80366.58</v>
      </c>
      <c r="P531">
        <v>0</v>
      </c>
      <c r="Q531">
        <v>526847.57999999996</v>
      </c>
      <c r="R531" t="s">
        <v>64</v>
      </c>
      <c r="S531" t="s">
        <v>65</v>
      </c>
      <c r="T531" t="s">
        <v>66</v>
      </c>
      <c r="U531" t="s">
        <v>50</v>
      </c>
      <c r="V531" t="s">
        <v>177</v>
      </c>
      <c r="W531" t="s">
        <v>81</v>
      </c>
      <c r="X531" t="s">
        <v>53</v>
      </c>
      <c r="Y531" t="s">
        <v>54</v>
      </c>
      <c r="Z531" t="s">
        <v>70</v>
      </c>
      <c r="AA531" t="s">
        <v>1955</v>
      </c>
      <c r="AB531" t="s">
        <v>3335</v>
      </c>
      <c r="AC531">
        <v>5</v>
      </c>
      <c r="AD531" t="s">
        <v>56</v>
      </c>
      <c r="AE531" t="s">
        <v>3336</v>
      </c>
      <c r="AF531" t="s">
        <v>227</v>
      </c>
      <c r="AG531" t="s">
        <v>85</v>
      </c>
      <c r="AH531" s="1">
        <v>45140</v>
      </c>
      <c r="AI531" s="1">
        <v>45144</v>
      </c>
      <c r="AJ531" s="1">
        <v>45151</v>
      </c>
      <c r="AK531" t="s">
        <v>3560</v>
      </c>
      <c r="AL531" t="s">
        <v>1954</v>
      </c>
    </row>
    <row r="532" spans="1:38" x14ac:dyDescent="0.35">
      <c r="A532" t="s">
        <v>1956</v>
      </c>
      <c r="B532" t="s">
        <v>254</v>
      </c>
      <c r="C532" t="s">
        <v>89</v>
      </c>
      <c r="D532" t="s">
        <v>391</v>
      </c>
      <c r="E532" t="s">
        <v>392</v>
      </c>
      <c r="F532" t="s">
        <v>46</v>
      </c>
      <c r="G532" t="s">
        <v>176</v>
      </c>
      <c r="H532">
        <v>9930</v>
      </c>
      <c r="I532">
        <f>Sales_Transactions_Raw[[#This Row],[Unit_Price]]*Sales_Transactions_Raw[[#This Row],[Quantity]]</f>
        <v>9930</v>
      </c>
      <c r="J532">
        <v>1</v>
      </c>
      <c r="K532">
        <v>15</v>
      </c>
      <c r="L532">
        <v>1489.5</v>
      </c>
      <c r="M532">
        <v>8440.5</v>
      </c>
      <c r="N532">
        <v>18</v>
      </c>
      <c r="O532">
        <v>1519.29</v>
      </c>
      <c r="P532">
        <v>0</v>
      </c>
      <c r="Q532">
        <v>9959.7900000000009</v>
      </c>
      <c r="R532" t="s">
        <v>79</v>
      </c>
      <c r="S532" t="s">
        <v>65</v>
      </c>
      <c r="T532" t="s">
        <v>115</v>
      </c>
      <c r="U532" t="s">
        <v>50</v>
      </c>
      <c r="V532" t="s">
        <v>242</v>
      </c>
      <c r="W532" t="s">
        <v>70</v>
      </c>
      <c r="X532" t="s">
        <v>599</v>
      </c>
      <c r="Y532" t="s">
        <v>319</v>
      </c>
      <c r="Z532" t="s">
        <v>95</v>
      </c>
      <c r="AA532" t="s">
        <v>1958</v>
      </c>
      <c r="AB532" t="s">
        <v>3335</v>
      </c>
      <c r="AC532">
        <v>3</v>
      </c>
      <c r="AD532" t="s">
        <v>56</v>
      </c>
      <c r="AE532" t="s">
        <v>3336</v>
      </c>
      <c r="AF532" t="s">
        <v>140</v>
      </c>
      <c r="AG532" t="s">
        <v>85</v>
      </c>
      <c r="AH532" s="1">
        <v>45025</v>
      </c>
      <c r="AI532" s="1">
        <v>45032</v>
      </c>
      <c r="AJ532" s="1">
        <v>45041</v>
      </c>
      <c r="AK532" t="s">
        <v>3365</v>
      </c>
      <c r="AL532" t="s">
        <v>1957</v>
      </c>
    </row>
    <row r="533" spans="1:38" x14ac:dyDescent="0.35">
      <c r="A533" t="s">
        <v>1959</v>
      </c>
      <c r="B533" t="s">
        <v>1335</v>
      </c>
      <c r="C533" t="s">
        <v>43</v>
      </c>
      <c r="D533" t="s">
        <v>122</v>
      </c>
      <c r="E533" t="s">
        <v>123</v>
      </c>
      <c r="F533" t="s">
        <v>46</v>
      </c>
      <c r="G533" t="s">
        <v>63</v>
      </c>
      <c r="H533">
        <v>53360</v>
      </c>
      <c r="I533">
        <f>Sales_Transactions_Raw[[#This Row],[Unit_Price]]*Sales_Transactions_Raw[[#This Row],[Quantity]]</f>
        <v>213440</v>
      </c>
      <c r="J533">
        <v>4</v>
      </c>
      <c r="K533">
        <v>5</v>
      </c>
      <c r="L533">
        <v>10672</v>
      </c>
      <c r="M533">
        <v>202768</v>
      </c>
      <c r="N533">
        <v>18</v>
      </c>
      <c r="O533">
        <v>36498.239999999998</v>
      </c>
      <c r="P533">
        <v>0</v>
      </c>
      <c r="Q533">
        <v>239266.24</v>
      </c>
      <c r="R533" t="s">
        <v>160</v>
      </c>
      <c r="S533" t="s">
        <v>93</v>
      </c>
      <c r="T533" t="s">
        <v>115</v>
      </c>
      <c r="U533" t="s">
        <v>108</v>
      </c>
      <c r="V533" t="s">
        <v>276</v>
      </c>
      <c r="W533" t="s">
        <v>95</v>
      </c>
      <c r="X533" t="s">
        <v>422</v>
      </c>
      <c r="Y533" t="s">
        <v>319</v>
      </c>
      <c r="Z533" t="s">
        <v>95</v>
      </c>
      <c r="AA533" t="s">
        <v>1961</v>
      </c>
      <c r="AB533" t="s">
        <v>3335</v>
      </c>
      <c r="AC533">
        <v>4</v>
      </c>
      <c r="AD533" t="s">
        <v>56</v>
      </c>
      <c r="AE533" t="s">
        <v>3336</v>
      </c>
      <c r="AF533" t="s">
        <v>217</v>
      </c>
      <c r="AG533" t="s">
        <v>85</v>
      </c>
      <c r="AH533" s="1">
        <v>45418</v>
      </c>
      <c r="AI533" s="1">
        <v>45425</v>
      </c>
      <c r="AJ533" s="1">
        <v>45432</v>
      </c>
      <c r="AK533" t="s">
        <v>3557</v>
      </c>
      <c r="AL533" t="s">
        <v>1960</v>
      </c>
    </row>
    <row r="534" spans="1:38" x14ac:dyDescent="0.35">
      <c r="A534" t="s">
        <v>1962</v>
      </c>
      <c r="B534" t="s">
        <v>687</v>
      </c>
      <c r="C534" t="s">
        <v>43</v>
      </c>
      <c r="D534" t="s">
        <v>449</v>
      </c>
      <c r="E534" t="s">
        <v>450</v>
      </c>
      <c r="F534" t="s">
        <v>46</v>
      </c>
      <c r="G534" t="s">
        <v>78</v>
      </c>
      <c r="H534">
        <v>41520</v>
      </c>
      <c r="I534">
        <f>Sales_Transactions_Raw[[#This Row],[Unit_Price]]*Sales_Transactions_Raw[[#This Row],[Quantity]]</f>
        <v>830400</v>
      </c>
      <c r="J534">
        <v>20</v>
      </c>
      <c r="K534">
        <v>0</v>
      </c>
      <c r="L534">
        <v>0</v>
      </c>
      <c r="M534">
        <v>830400</v>
      </c>
      <c r="N534">
        <v>18</v>
      </c>
      <c r="O534">
        <v>149472</v>
      </c>
      <c r="P534">
        <v>0</v>
      </c>
      <c r="Q534">
        <v>979872</v>
      </c>
      <c r="R534" t="s">
        <v>106</v>
      </c>
      <c r="S534" t="s">
        <v>125</v>
      </c>
      <c r="T534" t="s">
        <v>115</v>
      </c>
      <c r="U534" t="s">
        <v>50</v>
      </c>
      <c r="V534" t="s">
        <v>287</v>
      </c>
      <c r="W534" t="s">
        <v>95</v>
      </c>
      <c r="X534" t="s">
        <v>422</v>
      </c>
      <c r="Y534" t="s">
        <v>319</v>
      </c>
      <c r="Z534" t="s">
        <v>95</v>
      </c>
      <c r="AA534" t="s">
        <v>1964</v>
      </c>
      <c r="AB534" t="s">
        <v>3340</v>
      </c>
      <c r="AC534">
        <v>4</v>
      </c>
      <c r="AD534" t="s">
        <v>56</v>
      </c>
      <c r="AE534" t="s">
        <v>3336</v>
      </c>
      <c r="AF534" t="s">
        <v>57</v>
      </c>
      <c r="AG534" t="s">
        <v>3342</v>
      </c>
      <c r="AH534" s="1">
        <v>45025</v>
      </c>
      <c r="AI534" s="1">
        <v>45178</v>
      </c>
      <c r="AJ534" s="1">
        <v>45185</v>
      </c>
      <c r="AK534" t="s">
        <v>3439</v>
      </c>
      <c r="AL534" t="s">
        <v>1963</v>
      </c>
    </row>
    <row r="535" spans="1:38" x14ac:dyDescent="0.35">
      <c r="A535" t="s">
        <v>1965</v>
      </c>
      <c r="B535" t="s">
        <v>254</v>
      </c>
      <c r="C535" t="s">
        <v>43</v>
      </c>
      <c r="D535" t="s">
        <v>132</v>
      </c>
      <c r="E535" t="s">
        <v>133</v>
      </c>
      <c r="F535" t="s">
        <v>134</v>
      </c>
      <c r="G535" t="s">
        <v>135</v>
      </c>
      <c r="H535">
        <v>2700</v>
      </c>
      <c r="I535">
        <f>Sales_Transactions_Raw[[#This Row],[Unit_Price]]*Sales_Transactions_Raw[[#This Row],[Quantity]]</f>
        <v>5400</v>
      </c>
      <c r="J535">
        <v>2</v>
      </c>
      <c r="K535">
        <v>10</v>
      </c>
      <c r="L535">
        <v>540</v>
      </c>
      <c r="M535">
        <v>4860</v>
      </c>
      <c r="N535">
        <v>5</v>
      </c>
      <c r="O535">
        <v>243</v>
      </c>
      <c r="P535">
        <v>0</v>
      </c>
      <c r="Q535">
        <v>5103</v>
      </c>
      <c r="R535" t="s">
        <v>160</v>
      </c>
      <c r="S535" t="s">
        <v>107</v>
      </c>
      <c r="T535" t="s">
        <v>115</v>
      </c>
      <c r="U535" t="s">
        <v>161</v>
      </c>
      <c r="V535" t="s">
        <v>287</v>
      </c>
      <c r="W535" t="s">
        <v>95</v>
      </c>
      <c r="X535" t="s">
        <v>362</v>
      </c>
      <c r="Y535" t="s">
        <v>118</v>
      </c>
      <c r="Z535" t="s">
        <v>70</v>
      </c>
      <c r="AA535" t="s">
        <v>1967</v>
      </c>
      <c r="AB535" t="s">
        <v>3341</v>
      </c>
      <c r="AC535">
        <v>4</v>
      </c>
      <c r="AD535" t="s">
        <v>56</v>
      </c>
      <c r="AE535" t="s">
        <v>3336</v>
      </c>
      <c r="AF535" t="s">
        <v>164</v>
      </c>
      <c r="AG535" t="s">
        <v>85</v>
      </c>
      <c r="AH535" s="1">
        <v>45125</v>
      </c>
      <c r="AI535" s="1">
        <v>45131</v>
      </c>
      <c r="AJ535" s="1">
        <v>45139</v>
      </c>
      <c r="AK535" t="s">
        <v>3631</v>
      </c>
      <c r="AL535" t="s">
        <v>1966</v>
      </c>
    </row>
    <row r="536" spans="1:38" x14ac:dyDescent="0.35">
      <c r="A536" t="s">
        <v>1968</v>
      </c>
      <c r="B536" t="s">
        <v>373</v>
      </c>
      <c r="C536" t="s">
        <v>157</v>
      </c>
      <c r="D536" t="s">
        <v>266</v>
      </c>
      <c r="E536" t="s">
        <v>267</v>
      </c>
      <c r="F536" t="s">
        <v>211</v>
      </c>
      <c r="G536" t="s">
        <v>268</v>
      </c>
      <c r="H536">
        <v>53720</v>
      </c>
      <c r="I536">
        <f>Sales_Transactions_Raw[[#This Row],[Unit_Price]]*Sales_Transactions_Raw[[#This Row],[Quantity]]</f>
        <v>53720</v>
      </c>
      <c r="J536">
        <v>1</v>
      </c>
      <c r="K536">
        <v>0</v>
      </c>
      <c r="L536">
        <v>0</v>
      </c>
      <c r="M536">
        <v>53720</v>
      </c>
      <c r="N536">
        <v>5</v>
      </c>
      <c r="O536">
        <v>2686</v>
      </c>
      <c r="P536">
        <v>0</v>
      </c>
      <c r="Q536">
        <v>56406</v>
      </c>
      <c r="R536" t="s">
        <v>106</v>
      </c>
      <c r="S536" t="s">
        <v>125</v>
      </c>
      <c r="T536" t="s">
        <v>66</v>
      </c>
      <c r="U536" t="s">
        <v>108</v>
      </c>
      <c r="V536" t="s">
        <v>224</v>
      </c>
      <c r="W536" t="s">
        <v>95</v>
      </c>
      <c r="X536" t="s">
        <v>306</v>
      </c>
      <c r="Y536" t="s">
        <v>97</v>
      </c>
      <c r="Z536" t="s">
        <v>95</v>
      </c>
      <c r="AA536" t="s">
        <v>1970</v>
      </c>
      <c r="AB536" t="s">
        <v>3341</v>
      </c>
      <c r="AC536">
        <v>4</v>
      </c>
      <c r="AD536" t="s">
        <v>56</v>
      </c>
      <c r="AE536" t="s">
        <v>3336</v>
      </c>
      <c r="AF536" t="s">
        <v>326</v>
      </c>
      <c r="AG536" t="s">
        <v>85</v>
      </c>
      <c r="AH536" s="1">
        <v>45172</v>
      </c>
      <c r="AI536" s="1">
        <v>45175</v>
      </c>
      <c r="AJ536" s="1">
        <v>45185</v>
      </c>
      <c r="AK536" t="s">
        <v>3381</v>
      </c>
      <c r="AL536" t="s">
        <v>1969</v>
      </c>
    </row>
    <row r="537" spans="1:38" x14ac:dyDescent="0.35">
      <c r="A537" t="s">
        <v>1971</v>
      </c>
      <c r="B537" t="s">
        <v>60</v>
      </c>
      <c r="C537" t="s">
        <v>157</v>
      </c>
      <c r="D537" t="s">
        <v>466</v>
      </c>
      <c r="E537" t="s">
        <v>467</v>
      </c>
      <c r="F537" t="s">
        <v>185</v>
      </c>
      <c r="G537" t="s">
        <v>468</v>
      </c>
      <c r="H537">
        <v>570</v>
      </c>
      <c r="I537">
        <f>Sales_Transactions_Raw[[#This Row],[Unit_Price]]*Sales_Transactions_Raw[[#This Row],[Quantity]]</f>
        <v>1140</v>
      </c>
      <c r="J537">
        <v>2</v>
      </c>
      <c r="K537">
        <v>25</v>
      </c>
      <c r="L537">
        <v>285</v>
      </c>
      <c r="M537">
        <v>855</v>
      </c>
      <c r="N537">
        <v>5</v>
      </c>
      <c r="O537">
        <v>42.75</v>
      </c>
      <c r="P537">
        <v>79</v>
      </c>
      <c r="Q537">
        <v>897.75</v>
      </c>
      <c r="R537" t="s">
        <v>48</v>
      </c>
      <c r="S537" t="s">
        <v>93</v>
      </c>
      <c r="T537" t="s">
        <v>148</v>
      </c>
      <c r="U537" t="s">
        <v>161</v>
      </c>
      <c r="V537" t="s">
        <v>297</v>
      </c>
      <c r="W537" t="s">
        <v>52</v>
      </c>
      <c r="X537" t="s">
        <v>96</v>
      </c>
      <c r="Y537" t="s">
        <v>97</v>
      </c>
      <c r="Z537" t="s">
        <v>95</v>
      </c>
      <c r="AA537" t="s">
        <v>1973</v>
      </c>
      <c r="AB537" t="s">
        <v>3339</v>
      </c>
      <c r="AC537">
        <v>4</v>
      </c>
      <c r="AD537" t="s">
        <v>56</v>
      </c>
      <c r="AE537" t="s">
        <v>3336</v>
      </c>
      <c r="AF537" t="s">
        <v>164</v>
      </c>
      <c r="AG537" t="s">
        <v>3342</v>
      </c>
      <c r="AH537" s="1">
        <v>45177</v>
      </c>
      <c r="AI537" s="1">
        <v>45175</v>
      </c>
      <c r="AJ537" s="1">
        <v>45189</v>
      </c>
      <c r="AK537" t="s">
        <v>3410</v>
      </c>
      <c r="AL537" t="s">
        <v>1972</v>
      </c>
    </row>
    <row r="538" spans="1:38" x14ac:dyDescent="0.35">
      <c r="A538" t="s">
        <v>1974</v>
      </c>
      <c r="B538" t="s">
        <v>155</v>
      </c>
      <c r="C538" t="s">
        <v>157</v>
      </c>
      <c r="D538" t="s">
        <v>432</v>
      </c>
      <c r="E538" t="s">
        <v>433</v>
      </c>
      <c r="F538" t="s">
        <v>146</v>
      </c>
      <c r="G538" t="s">
        <v>296</v>
      </c>
      <c r="H538">
        <v>4820</v>
      </c>
      <c r="I538">
        <f>Sales_Transactions_Raw[[#This Row],[Unit_Price]]*Sales_Transactions_Raw[[#This Row],[Quantity]]</f>
        <v>19280</v>
      </c>
      <c r="J538">
        <v>4</v>
      </c>
      <c r="K538">
        <v>5</v>
      </c>
      <c r="L538">
        <v>964</v>
      </c>
      <c r="M538">
        <v>18316</v>
      </c>
      <c r="N538">
        <v>12</v>
      </c>
      <c r="O538">
        <v>2197.92</v>
      </c>
      <c r="P538">
        <v>0</v>
      </c>
      <c r="Q538">
        <v>20513.919999999998</v>
      </c>
      <c r="R538" t="s">
        <v>124</v>
      </c>
      <c r="S538" t="s">
        <v>93</v>
      </c>
      <c r="T538" t="s">
        <v>66</v>
      </c>
      <c r="U538" t="s">
        <v>50</v>
      </c>
      <c r="V538" t="s">
        <v>276</v>
      </c>
      <c r="W538" t="s">
        <v>95</v>
      </c>
      <c r="X538" t="s">
        <v>168</v>
      </c>
      <c r="Y538" t="s">
        <v>169</v>
      </c>
      <c r="Z538" t="s">
        <v>95</v>
      </c>
      <c r="AA538" t="s">
        <v>1976</v>
      </c>
      <c r="AB538" t="s">
        <v>3343</v>
      </c>
      <c r="AC538">
        <v>4</v>
      </c>
      <c r="AD538" t="s">
        <v>56</v>
      </c>
      <c r="AE538" t="s">
        <v>3336</v>
      </c>
      <c r="AF538" t="s">
        <v>153</v>
      </c>
      <c r="AG538" t="s">
        <v>3337</v>
      </c>
      <c r="AH538" s="1">
        <v>45022</v>
      </c>
      <c r="AI538" s="1">
        <v>45027</v>
      </c>
      <c r="AJ538" s="1">
        <v>45035</v>
      </c>
      <c r="AK538" t="s">
        <v>3608</v>
      </c>
      <c r="AL538" t="s">
        <v>1975</v>
      </c>
    </row>
    <row r="539" spans="1:38" x14ac:dyDescent="0.35">
      <c r="A539" t="s">
        <v>1977</v>
      </c>
      <c r="B539" t="s">
        <v>1036</v>
      </c>
      <c r="C539" t="s">
        <v>43</v>
      </c>
      <c r="D539" t="s">
        <v>391</v>
      </c>
      <c r="E539" t="s">
        <v>392</v>
      </c>
      <c r="F539" t="s">
        <v>46</v>
      </c>
      <c r="G539" t="s">
        <v>176</v>
      </c>
      <c r="H539">
        <v>9470</v>
      </c>
      <c r="I539">
        <f>Sales_Transactions_Raw[[#This Row],[Unit_Price]]*Sales_Transactions_Raw[[#This Row],[Quantity]]</f>
        <v>28410</v>
      </c>
      <c r="J539">
        <v>3</v>
      </c>
      <c r="K539">
        <v>5</v>
      </c>
      <c r="L539">
        <v>1420.5</v>
      </c>
      <c r="M539">
        <v>26989.5</v>
      </c>
      <c r="N539">
        <v>18</v>
      </c>
      <c r="O539">
        <v>4858.1099999999997</v>
      </c>
      <c r="P539">
        <v>0</v>
      </c>
      <c r="Q539">
        <v>31847.61</v>
      </c>
      <c r="R539" t="s">
        <v>106</v>
      </c>
      <c r="S539" t="s">
        <v>49</v>
      </c>
      <c r="T539" t="s">
        <v>148</v>
      </c>
      <c r="U539" t="s">
        <v>108</v>
      </c>
      <c r="V539" t="s">
        <v>242</v>
      </c>
      <c r="W539" t="s">
        <v>70</v>
      </c>
      <c r="X539" t="s">
        <v>198</v>
      </c>
      <c r="Y539" t="s">
        <v>199</v>
      </c>
      <c r="Z539" t="s">
        <v>52</v>
      </c>
      <c r="AA539" t="s">
        <v>1979</v>
      </c>
      <c r="AB539" t="s">
        <v>3341</v>
      </c>
      <c r="AC539">
        <v>3</v>
      </c>
      <c r="AD539" t="s">
        <v>56</v>
      </c>
      <c r="AE539" t="s">
        <v>3336</v>
      </c>
      <c r="AF539" t="s">
        <v>153</v>
      </c>
      <c r="AG539" t="s">
        <v>3342</v>
      </c>
      <c r="AH539" s="1">
        <v>45019</v>
      </c>
      <c r="AI539" s="1">
        <v>45022</v>
      </c>
      <c r="AJ539" s="1">
        <v>45031</v>
      </c>
      <c r="AK539" t="s">
        <v>3632</v>
      </c>
      <c r="AL539" t="s">
        <v>1978</v>
      </c>
    </row>
    <row r="540" spans="1:38" x14ac:dyDescent="0.35">
      <c r="A540" t="s">
        <v>1980</v>
      </c>
      <c r="B540" t="s">
        <v>748</v>
      </c>
      <c r="C540" t="s">
        <v>89</v>
      </c>
      <c r="D540" t="s">
        <v>303</v>
      </c>
      <c r="E540" t="s">
        <v>304</v>
      </c>
      <c r="F540" t="s">
        <v>134</v>
      </c>
      <c r="G540" t="s">
        <v>305</v>
      </c>
      <c r="H540">
        <v>38750</v>
      </c>
      <c r="I540">
        <f>Sales_Transactions_Raw[[#This Row],[Unit_Price]]*Sales_Transactions_Raw[[#This Row],[Quantity]]</f>
        <v>77500</v>
      </c>
      <c r="J540">
        <v>2</v>
      </c>
      <c r="K540">
        <v>10</v>
      </c>
      <c r="L540">
        <v>7750</v>
      </c>
      <c r="M540">
        <v>69750</v>
      </c>
      <c r="N540">
        <v>5</v>
      </c>
      <c r="O540">
        <v>3487.5</v>
      </c>
      <c r="P540">
        <v>0</v>
      </c>
      <c r="Q540">
        <v>73237.5</v>
      </c>
      <c r="R540" t="s">
        <v>160</v>
      </c>
      <c r="S540" t="s">
        <v>125</v>
      </c>
      <c r="T540" t="s">
        <v>136</v>
      </c>
      <c r="U540" t="s">
        <v>108</v>
      </c>
      <c r="V540" t="s">
        <v>80</v>
      </c>
      <c r="W540" t="s">
        <v>81</v>
      </c>
      <c r="X540" t="s">
        <v>515</v>
      </c>
      <c r="Y540" t="s">
        <v>82</v>
      </c>
      <c r="Z540" t="s">
        <v>52</v>
      </c>
      <c r="AA540" t="s">
        <v>1982</v>
      </c>
      <c r="AB540" t="s">
        <v>3343</v>
      </c>
      <c r="AC540">
        <v>5</v>
      </c>
      <c r="AD540" t="s">
        <v>56</v>
      </c>
      <c r="AE540" t="s">
        <v>3336</v>
      </c>
      <c r="AF540" t="s">
        <v>72</v>
      </c>
      <c r="AG540" t="s">
        <v>58</v>
      </c>
      <c r="AH540" s="1">
        <v>45048</v>
      </c>
      <c r="AI540" s="1">
        <v>45052</v>
      </c>
      <c r="AJ540" s="1">
        <v>45062</v>
      </c>
      <c r="AK540" t="s">
        <v>3453</v>
      </c>
      <c r="AL540" t="s">
        <v>1981</v>
      </c>
    </row>
    <row r="541" spans="1:38" x14ac:dyDescent="0.35">
      <c r="A541" t="s">
        <v>1983</v>
      </c>
      <c r="B541" t="s">
        <v>166</v>
      </c>
      <c r="C541" t="s">
        <v>43</v>
      </c>
      <c r="D541" t="s">
        <v>283</v>
      </c>
      <c r="E541" t="s">
        <v>284</v>
      </c>
      <c r="F541" t="s">
        <v>285</v>
      </c>
      <c r="G541" t="s">
        <v>286</v>
      </c>
      <c r="H541">
        <v>480</v>
      </c>
      <c r="I541">
        <f>Sales_Transactions_Raw[[#This Row],[Unit_Price]]*Sales_Transactions_Raw[[#This Row],[Quantity]]</f>
        <v>480</v>
      </c>
      <c r="J541">
        <v>1</v>
      </c>
      <c r="K541">
        <v>0</v>
      </c>
      <c r="L541">
        <v>0</v>
      </c>
      <c r="M541">
        <v>480</v>
      </c>
      <c r="N541">
        <v>5</v>
      </c>
      <c r="O541">
        <v>24</v>
      </c>
      <c r="P541">
        <v>49</v>
      </c>
      <c r="Q541">
        <v>504</v>
      </c>
      <c r="R541" t="s">
        <v>124</v>
      </c>
      <c r="S541" t="s">
        <v>65</v>
      </c>
      <c r="T541" t="s">
        <v>115</v>
      </c>
      <c r="U541" t="s">
        <v>214</v>
      </c>
      <c r="V541" t="s">
        <v>67</v>
      </c>
      <c r="W541" t="s">
        <v>68</v>
      </c>
      <c r="X541" t="s">
        <v>486</v>
      </c>
      <c r="Y541" t="s">
        <v>138</v>
      </c>
      <c r="Z541" t="s">
        <v>81</v>
      </c>
      <c r="AA541" t="s">
        <v>1985</v>
      </c>
      <c r="AB541" t="s">
        <v>3341</v>
      </c>
      <c r="AC541">
        <v>4</v>
      </c>
      <c r="AD541" t="s">
        <v>56</v>
      </c>
      <c r="AE541" t="s">
        <v>3336</v>
      </c>
      <c r="AF541" t="s">
        <v>57</v>
      </c>
      <c r="AG541" t="s">
        <v>445</v>
      </c>
      <c r="AH541" s="1">
        <v>45031</v>
      </c>
      <c r="AI541" s="1">
        <v>45033</v>
      </c>
      <c r="AJ541" s="1">
        <v>45036</v>
      </c>
      <c r="AK541" t="s">
        <v>3633</v>
      </c>
      <c r="AL541" t="s">
        <v>1984</v>
      </c>
    </row>
    <row r="542" spans="1:38" x14ac:dyDescent="0.35">
      <c r="A542" t="s">
        <v>1986</v>
      </c>
      <c r="B542" t="s">
        <v>191</v>
      </c>
      <c r="C542" t="s">
        <v>89</v>
      </c>
      <c r="D542" t="s">
        <v>249</v>
      </c>
      <c r="E542" t="s">
        <v>250</v>
      </c>
      <c r="F542" t="s">
        <v>211</v>
      </c>
      <c r="G542" t="s">
        <v>251</v>
      </c>
      <c r="H542">
        <v>19250</v>
      </c>
      <c r="I542">
        <f>Sales_Transactions_Raw[[#This Row],[Unit_Price]]*Sales_Transactions_Raw[[#This Row],[Quantity]]</f>
        <v>77000</v>
      </c>
      <c r="J542">
        <v>4</v>
      </c>
      <c r="K542">
        <v>20</v>
      </c>
      <c r="L542">
        <v>15400</v>
      </c>
      <c r="M542">
        <v>61600</v>
      </c>
      <c r="N542">
        <v>5</v>
      </c>
      <c r="O542">
        <v>3080</v>
      </c>
      <c r="P542">
        <v>0</v>
      </c>
      <c r="Q542">
        <v>64680</v>
      </c>
      <c r="R542" t="s">
        <v>79</v>
      </c>
      <c r="S542" t="s">
        <v>93</v>
      </c>
      <c r="T542" t="s">
        <v>136</v>
      </c>
      <c r="U542" t="s">
        <v>108</v>
      </c>
      <c r="V542" t="s">
        <v>177</v>
      </c>
      <c r="W542" t="s">
        <v>81</v>
      </c>
      <c r="X542" t="s">
        <v>626</v>
      </c>
      <c r="Y542" t="s">
        <v>289</v>
      </c>
      <c r="Z542" t="s">
        <v>52</v>
      </c>
      <c r="AA542" t="s">
        <v>1988</v>
      </c>
      <c r="AB542" t="s">
        <v>3335</v>
      </c>
      <c r="AC542">
        <v>5</v>
      </c>
      <c r="AD542" t="s">
        <v>56</v>
      </c>
      <c r="AE542" t="s">
        <v>3336</v>
      </c>
      <c r="AF542" t="s">
        <v>217</v>
      </c>
      <c r="AG542" t="s">
        <v>3337</v>
      </c>
      <c r="AH542" s="1">
        <v>45276</v>
      </c>
      <c r="AI542" s="1">
        <v>45033</v>
      </c>
      <c r="AJ542" s="1">
        <v>45280</v>
      </c>
      <c r="AK542" t="s">
        <v>3626</v>
      </c>
      <c r="AL542" t="s">
        <v>1987</v>
      </c>
    </row>
    <row r="543" spans="1:38" x14ac:dyDescent="0.35">
      <c r="A543" t="s">
        <v>1989</v>
      </c>
      <c r="B543" t="s">
        <v>418</v>
      </c>
      <c r="C543" t="s">
        <v>157</v>
      </c>
      <c r="D543" t="s">
        <v>406</v>
      </c>
      <c r="E543" t="s">
        <v>231</v>
      </c>
      <c r="F543" t="s">
        <v>46</v>
      </c>
      <c r="G543" t="s">
        <v>369</v>
      </c>
      <c r="H543">
        <v>90740</v>
      </c>
      <c r="I543">
        <f>Sales_Transactions_Raw[[#This Row],[Unit_Price]]*Sales_Transactions_Raw[[#This Row],[Quantity]]</f>
        <v>453700</v>
      </c>
      <c r="J543">
        <v>5</v>
      </c>
      <c r="K543">
        <v>5</v>
      </c>
      <c r="L543">
        <v>22685</v>
      </c>
      <c r="M543">
        <v>431015</v>
      </c>
      <c r="N543">
        <v>18</v>
      </c>
      <c r="O543">
        <v>77582.7</v>
      </c>
      <c r="P543">
        <v>0</v>
      </c>
      <c r="Q543">
        <v>508597.7</v>
      </c>
      <c r="R543" t="s">
        <v>48</v>
      </c>
      <c r="S543" t="s">
        <v>49</v>
      </c>
      <c r="T543" t="s">
        <v>66</v>
      </c>
      <c r="U543" t="s">
        <v>108</v>
      </c>
      <c r="V543" t="s">
        <v>242</v>
      </c>
      <c r="W543" t="s">
        <v>70</v>
      </c>
      <c r="X543" t="s">
        <v>437</v>
      </c>
      <c r="Y543" t="s">
        <v>319</v>
      </c>
      <c r="Z543" t="s">
        <v>95</v>
      </c>
      <c r="AA543" t="s">
        <v>1991</v>
      </c>
      <c r="AB543" t="s">
        <v>3339</v>
      </c>
      <c r="AC543">
        <v>5</v>
      </c>
      <c r="AD543" t="s">
        <v>56</v>
      </c>
      <c r="AE543" t="s">
        <v>3336</v>
      </c>
      <c r="AF543" t="s">
        <v>84</v>
      </c>
      <c r="AG543" t="s">
        <v>58</v>
      </c>
      <c r="AH543" s="1">
        <v>45162</v>
      </c>
      <c r="AI543" s="1">
        <v>45164</v>
      </c>
      <c r="AJ543" s="1">
        <v>45171</v>
      </c>
      <c r="AK543" t="s">
        <v>3634</v>
      </c>
      <c r="AL543" t="s">
        <v>1990</v>
      </c>
    </row>
    <row r="544" spans="1:38" x14ac:dyDescent="0.35">
      <c r="A544" t="s">
        <v>1992</v>
      </c>
      <c r="B544" t="s">
        <v>944</v>
      </c>
      <c r="C544" t="s">
        <v>43</v>
      </c>
      <c r="D544" t="s">
        <v>132</v>
      </c>
      <c r="E544" t="s">
        <v>133</v>
      </c>
      <c r="F544" t="s">
        <v>134</v>
      </c>
      <c r="G544" t="s">
        <v>135</v>
      </c>
      <c r="H544">
        <v>2890</v>
      </c>
      <c r="I544">
        <f>Sales_Transactions_Raw[[#This Row],[Unit_Price]]*Sales_Transactions_Raw[[#This Row],[Quantity]]</f>
        <v>14450</v>
      </c>
      <c r="J544">
        <v>5</v>
      </c>
      <c r="K544">
        <v>10</v>
      </c>
      <c r="L544">
        <v>1445</v>
      </c>
      <c r="M544">
        <v>13005</v>
      </c>
      <c r="N544">
        <v>5</v>
      </c>
      <c r="O544">
        <v>650.25</v>
      </c>
      <c r="P544">
        <v>0</v>
      </c>
      <c r="Q544">
        <v>13655.25</v>
      </c>
      <c r="R544" t="s">
        <v>64</v>
      </c>
      <c r="S544" t="s">
        <v>107</v>
      </c>
      <c r="T544" t="s">
        <v>115</v>
      </c>
      <c r="U544" t="s">
        <v>108</v>
      </c>
      <c r="V544" t="s">
        <v>67</v>
      </c>
      <c r="W544" t="s">
        <v>68</v>
      </c>
      <c r="X544" t="s">
        <v>437</v>
      </c>
      <c r="Y544" t="s">
        <v>319</v>
      </c>
      <c r="Z544" t="s">
        <v>95</v>
      </c>
      <c r="AA544" t="s">
        <v>1994</v>
      </c>
      <c r="AB544" t="s">
        <v>3338</v>
      </c>
      <c r="AC544">
        <v>5</v>
      </c>
      <c r="AD544" t="s">
        <v>56</v>
      </c>
      <c r="AE544" t="s">
        <v>3336</v>
      </c>
      <c r="AF544" t="s">
        <v>262</v>
      </c>
      <c r="AG544" t="s">
        <v>111</v>
      </c>
      <c r="AH544" s="1">
        <v>45234</v>
      </c>
      <c r="AI544" s="1">
        <v>45238</v>
      </c>
      <c r="AJ544" s="1">
        <v>45244</v>
      </c>
      <c r="AK544" t="s">
        <v>3635</v>
      </c>
      <c r="AL544" t="s">
        <v>1993</v>
      </c>
    </row>
    <row r="545" spans="1:38" x14ac:dyDescent="0.35">
      <c r="A545" t="s">
        <v>1995</v>
      </c>
      <c r="B545" t="s">
        <v>1078</v>
      </c>
      <c r="C545" t="s">
        <v>43</v>
      </c>
      <c r="D545" t="s">
        <v>406</v>
      </c>
      <c r="E545" t="s">
        <v>231</v>
      </c>
      <c r="F545" t="s">
        <v>46</v>
      </c>
      <c r="G545" t="s">
        <v>369</v>
      </c>
      <c r="H545">
        <v>91110</v>
      </c>
      <c r="I545">
        <f>Sales_Transactions_Raw[[#This Row],[Unit_Price]]*Sales_Transactions_Raw[[#This Row],[Quantity]]</f>
        <v>91110</v>
      </c>
      <c r="J545">
        <v>1</v>
      </c>
      <c r="K545">
        <v>0</v>
      </c>
      <c r="L545">
        <v>0</v>
      </c>
      <c r="M545">
        <v>91110</v>
      </c>
      <c r="N545">
        <v>18</v>
      </c>
      <c r="O545">
        <v>16399.8</v>
      </c>
      <c r="P545">
        <v>0</v>
      </c>
      <c r="Q545">
        <v>107509.8</v>
      </c>
      <c r="R545" t="s">
        <v>48</v>
      </c>
      <c r="S545" t="s">
        <v>125</v>
      </c>
      <c r="T545" t="s">
        <v>115</v>
      </c>
      <c r="U545" t="s">
        <v>108</v>
      </c>
      <c r="V545" t="s">
        <v>269</v>
      </c>
      <c r="W545" t="s">
        <v>70</v>
      </c>
      <c r="X545" t="s">
        <v>443</v>
      </c>
      <c r="Y545" t="s">
        <v>97</v>
      </c>
      <c r="Z545" t="s">
        <v>95</v>
      </c>
      <c r="AA545" t="s">
        <v>1997</v>
      </c>
      <c r="AB545" t="s">
        <v>3338</v>
      </c>
      <c r="AC545">
        <v>5</v>
      </c>
      <c r="AD545" t="s">
        <v>56</v>
      </c>
      <c r="AE545" t="s">
        <v>3336</v>
      </c>
      <c r="AF545" t="s">
        <v>84</v>
      </c>
      <c r="AG545" t="s">
        <v>58</v>
      </c>
      <c r="AH545" s="1">
        <v>45240</v>
      </c>
      <c r="AI545" s="1">
        <v>45216</v>
      </c>
      <c r="AJ545" s="1">
        <v>45225</v>
      </c>
      <c r="AK545" t="s">
        <v>3512</v>
      </c>
      <c r="AL545" t="s">
        <v>1996</v>
      </c>
    </row>
    <row r="546" spans="1:38" x14ac:dyDescent="0.35">
      <c r="A546" t="s">
        <v>1998</v>
      </c>
      <c r="B546" t="s">
        <v>741</v>
      </c>
      <c r="C546" t="s">
        <v>89</v>
      </c>
      <c r="D546" t="s">
        <v>667</v>
      </c>
      <c r="E546" t="s">
        <v>668</v>
      </c>
      <c r="F546" t="s">
        <v>146</v>
      </c>
      <c r="G546" t="s">
        <v>195</v>
      </c>
      <c r="H546">
        <v>9130</v>
      </c>
      <c r="I546">
        <f>Sales_Transactions_Raw[[#This Row],[Unit_Price]]*Sales_Transactions_Raw[[#This Row],[Quantity]]</f>
        <v>36520</v>
      </c>
      <c r="J546">
        <v>4</v>
      </c>
      <c r="K546">
        <v>0</v>
      </c>
      <c r="L546">
        <v>0</v>
      </c>
      <c r="M546">
        <v>36520</v>
      </c>
      <c r="N546">
        <v>12</v>
      </c>
      <c r="O546">
        <v>4382.3999999999996</v>
      </c>
      <c r="P546">
        <v>0</v>
      </c>
      <c r="Q546">
        <v>40902.400000000001</v>
      </c>
      <c r="R546" t="s">
        <v>64</v>
      </c>
      <c r="S546" t="s">
        <v>107</v>
      </c>
      <c r="T546" t="s">
        <v>136</v>
      </c>
      <c r="U546" t="s">
        <v>214</v>
      </c>
      <c r="V546" t="s">
        <v>197</v>
      </c>
      <c r="W546" t="s">
        <v>68</v>
      </c>
      <c r="X546" t="s">
        <v>126</v>
      </c>
      <c r="Y546" t="s">
        <v>127</v>
      </c>
      <c r="Z546" t="s">
        <v>68</v>
      </c>
      <c r="AA546" t="s">
        <v>2000</v>
      </c>
      <c r="AB546" t="s">
        <v>3343</v>
      </c>
      <c r="AC546">
        <v>4</v>
      </c>
      <c r="AD546" t="s">
        <v>56</v>
      </c>
      <c r="AE546" t="s">
        <v>3336</v>
      </c>
      <c r="AF546" t="s">
        <v>72</v>
      </c>
      <c r="AG546" t="s">
        <v>58</v>
      </c>
      <c r="AH546" s="1">
        <v>45350</v>
      </c>
      <c r="AI546" s="1">
        <v>45216</v>
      </c>
      <c r="AJ546" s="1">
        <v>45364</v>
      </c>
      <c r="AK546" t="s">
        <v>3636</v>
      </c>
      <c r="AL546" t="s">
        <v>1999</v>
      </c>
    </row>
    <row r="547" spans="1:38" x14ac:dyDescent="0.35">
      <c r="A547" t="s">
        <v>2001</v>
      </c>
      <c r="B547" t="s">
        <v>559</v>
      </c>
      <c r="C547" t="s">
        <v>43</v>
      </c>
      <c r="D547" t="s">
        <v>504</v>
      </c>
      <c r="E547" t="s">
        <v>91</v>
      </c>
      <c r="F547" t="s">
        <v>134</v>
      </c>
      <c r="G547" t="s">
        <v>330</v>
      </c>
      <c r="H547">
        <v>29010</v>
      </c>
      <c r="I547">
        <f>Sales_Transactions_Raw[[#This Row],[Unit_Price]]*Sales_Transactions_Raw[[#This Row],[Quantity]]</f>
        <v>116040</v>
      </c>
      <c r="J547">
        <v>4</v>
      </c>
      <c r="K547">
        <v>0</v>
      </c>
      <c r="L547">
        <v>0</v>
      </c>
      <c r="M547">
        <v>116040</v>
      </c>
      <c r="N547">
        <v>5</v>
      </c>
      <c r="O547">
        <v>5802</v>
      </c>
      <c r="P547">
        <v>0</v>
      </c>
      <c r="Q547">
        <v>121842</v>
      </c>
      <c r="R547" t="s">
        <v>64</v>
      </c>
      <c r="S547" t="s">
        <v>125</v>
      </c>
      <c r="T547" t="s">
        <v>66</v>
      </c>
      <c r="U547" t="s">
        <v>50</v>
      </c>
      <c r="V547" t="s">
        <v>224</v>
      </c>
      <c r="W547" t="s">
        <v>95</v>
      </c>
      <c r="X547" t="s">
        <v>626</v>
      </c>
      <c r="Y547" t="s">
        <v>289</v>
      </c>
      <c r="Z547" t="s">
        <v>52</v>
      </c>
      <c r="AA547" t="s">
        <v>2003</v>
      </c>
      <c r="AB547" t="s">
        <v>3335</v>
      </c>
      <c r="AC547">
        <v>4</v>
      </c>
      <c r="AD547" t="s">
        <v>179</v>
      </c>
      <c r="AE547" t="s">
        <v>3336</v>
      </c>
      <c r="AF547" t="s">
        <v>57</v>
      </c>
      <c r="AG547" t="s">
        <v>3337</v>
      </c>
      <c r="AH547" s="1">
        <v>45089</v>
      </c>
      <c r="AI547" s="1">
        <v>45094</v>
      </c>
      <c r="AJ547" s="1">
        <v>45103</v>
      </c>
      <c r="AK547" t="s">
        <v>3487</v>
      </c>
      <c r="AL547" t="s">
        <v>2002</v>
      </c>
    </row>
    <row r="548" spans="1:38" x14ac:dyDescent="0.35">
      <c r="A548" t="s">
        <v>2004</v>
      </c>
      <c r="B548" t="s">
        <v>247</v>
      </c>
      <c r="C548" t="s">
        <v>157</v>
      </c>
      <c r="D548" t="s">
        <v>441</v>
      </c>
      <c r="E548" t="s">
        <v>442</v>
      </c>
      <c r="F548" t="s">
        <v>46</v>
      </c>
      <c r="G548" t="s">
        <v>369</v>
      </c>
      <c r="H548">
        <v>69390</v>
      </c>
      <c r="I548">
        <f>Sales_Transactions_Raw[[#This Row],[Unit_Price]]*Sales_Transactions_Raw[[#This Row],[Quantity]]</f>
        <v>69390</v>
      </c>
      <c r="J548">
        <v>1</v>
      </c>
      <c r="K548">
        <v>0</v>
      </c>
      <c r="L548">
        <v>0</v>
      </c>
      <c r="M548">
        <v>69390</v>
      </c>
      <c r="N548">
        <v>18</v>
      </c>
      <c r="O548">
        <v>12490.2</v>
      </c>
      <c r="P548">
        <v>0</v>
      </c>
      <c r="Q548">
        <v>81880.2</v>
      </c>
      <c r="R548" t="s">
        <v>106</v>
      </c>
      <c r="S548" t="s">
        <v>107</v>
      </c>
      <c r="T548" t="s">
        <v>115</v>
      </c>
      <c r="U548" t="s">
        <v>214</v>
      </c>
      <c r="V548" t="s">
        <v>197</v>
      </c>
      <c r="W548" t="s">
        <v>68</v>
      </c>
      <c r="X548" t="s">
        <v>243</v>
      </c>
      <c r="Y548" t="s">
        <v>244</v>
      </c>
      <c r="Z548" t="s">
        <v>70</v>
      </c>
      <c r="AA548" t="s">
        <v>2006</v>
      </c>
      <c r="AB548" t="s">
        <v>3338</v>
      </c>
      <c r="AC548">
        <v>5</v>
      </c>
      <c r="AD548" t="s">
        <v>56</v>
      </c>
      <c r="AE548" t="s">
        <v>3336</v>
      </c>
      <c r="AF548" t="s">
        <v>262</v>
      </c>
      <c r="AG548" t="s">
        <v>3342</v>
      </c>
      <c r="AH548" s="1">
        <v>45262</v>
      </c>
      <c r="AI548" s="1">
        <v>45267</v>
      </c>
      <c r="AJ548" s="1">
        <v>45103</v>
      </c>
      <c r="AK548" t="s">
        <v>3559</v>
      </c>
      <c r="AL548" t="s">
        <v>2005</v>
      </c>
    </row>
    <row r="549" spans="1:38" x14ac:dyDescent="0.35">
      <c r="A549" t="s">
        <v>2007</v>
      </c>
      <c r="B549" t="s">
        <v>513</v>
      </c>
      <c r="C549" t="s">
        <v>43</v>
      </c>
      <c r="D549" t="s">
        <v>193</v>
      </c>
      <c r="E549" t="s">
        <v>194</v>
      </c>
      <c r="F549" t="s">
        <v>146</v>
      </c>
      <c r="G549" t="s">
        <v>195</v>
      </c>
      <c r="H549">
        <v>3110</v>
      </c>
      <c r="I549">
        <f>Sales_Transactions_Raw[[#This Row],[Unit_Price]]*Sales_Transactions_Raw[[#This Row],[Quantity]]</f>
        <v>3110</v>
      </c>
      <c r="J549">
        <v>1</v>
      </c>
      <c r="K549">
        <v>0</v>
      </c>
      <c r="L549">
        <v>0</v>
      </c>
      <c r="M549">
        <v>3110</v>
      </c>
      <c r="N549">
        <v>12</v>
      </c>
      <c r="O549">
        <v>373.2</v>
      </c>
      <c r="P549">
        <v>99</v>
      </c>
      <c r="Q549">
        <v>3483.2</v>
      </c>
      <c r="R549" t="s">
        <v>79</v>
      </c>
      <c r="S549" t="s">
        <v>65</v>
      </c>
      <c r="T549" t="s">
        <v>66</v>
      </c>
      <c r="U549" t="s">
        <v>50</v>
      </c>
      <c r="V549" t="s">
        <v>149</v>
      </c>
      <c r="W549" t="s">
        <v>81</v>
      </c>
      <c r="X549" t="s">
        <v>443</v>
      </c>
      <c r="Y549" t="s">
        <v>97</v>
      </c>
      <c r="Z549" t="s">
        <v>95</v>
      </c>
      <c r="AB549" t="s">
        <v>3343</v>
      </c>
      <c r="AC549">
        <v>4</v>
      </c>
      <c r="AD549" t="s">
        <v>56</v>
      </c>
      <c r="AE549" t="s">
        <v>3336</v>
      </c>
      <c r="AF549" t="s">
        <v>84</v>
      </c>
      <c r="AG549" t="s">
        <v>3337</v>
      </c>
      <c r="AH549" s="1">
        <v>45339</v>
      </c>
      <c r="AI549" s="1">
        <v>45345</v>
      </c>
      <c r="AJ549" s="1">
        <v>45349</v>
      </c>
      <c r="AK549" t="s">
        <v>3578</v>
      </c>
      <c r="AL549" t="s">
        <v>2008</v>
      </c>
    </row>
    <row r="550" spans="1:38" x14ac:dyDescent="0.35">
      <c r="A550" t="s">
        <v>2009</v>
      </c>
      <c r="B550" t="s">
        <v>457</v>
      </c>
      <c r="C550" t="s">
        <v>43</v>
      </c>
      <c r="D550" t="s">
        <v>183</v>
      </c>
      <c r="E550" t="s">
        <v>184</v>
      </c>
      <c r="F550" t="s">
        <v>185</v>
      </c>
      <c r="G550" t="s">
        <v>186</v>
      </c>
      <c r="H550">
        <v>110</v>
      </c>
      <c r="I550">
        <f>Sales_Transactions_Raw[[#This Row],[Unit_Price]]*Sales_Transactions_Raw[[#This Row],[Quantity]]</f>
        <v>220</v>
      </c>
      <c r="J550">
        <v>2</v>
      </c>
      <c r="K550">
        <v>10</v>
      </c>
      <c r="L550">
        <v>22</v>
      </c>
      <c r="M550">
        <v>198</v>
      </c>
      <c r="N550">
        <v>5</v>
      </c>
      <c r="O550">
        <v>9.9</v>
      </c>
      <c r="P550">
        <v>99</v>
      </c>
      <c r="Q550">
        <v>207.9</v>
      </c>
      <c r="R550" t="s">
        <v>106</v>
      </c>
      <c r="S550" t="s">
        <v>125</v>
      </c>
      <c r="T550" t="s">
        <v>115</v>
      </c>
      <c r="U550" t="s">
        <v>50</v>
      </c>
      <c r="V550" t="s">
        <v>116</v>
      </c>
      <c r="W550" t="s">
        <v>70</v>
      </c>
      <c r="X550" t="s">
        <v>480</v>
      </c>
      <c r="Y550" t="s">
        <v>481</v>
      </c>
      <c r="Z550" t="s">
        <v>52</v>
      </c>
      <c r="AA550" t="s">
        <v>2011</v>
      </c>
      <c r="AB550" t="s">
        <v>3343</v>
      </c>
      <c r="AC550">
        <v>3</v>
      </c>
      <c r="AD550" t="s">
        <v>56</v>
      </c>
      <c r="AE550" t="s">
        <v>3336</v>
      </c>
      <c r="AF550" t="s">
        <v>227</v>
      </c>
      <c r="AG550" t="s">
        <v>85</v>
      </c>
      <c r="AH550" s="1">
        <v>45443</v>
      </c>
      <c r="AI550" s="1">
        <v>45444</v>
      </c>
      <c r="AJ550" s="1">
        <v>45453</v>
      </c>
      <c r="AK550" t="s">
        <v>3395</v>
      </c>
      <c r="AL550" t="s">
        <v>2010</v>
      </c>
    </row>
    <row r="551" spans="1:38" x14ac:dyDescent="0.35">
      <c r="A551" t="s">
        <v>2012</v>
      </c>
      <c r="B551" t="s">
        <v>581</v>
      </c>
      <c r="C551" t="s">
        <v>43</v>
      </c>
      <c r="D551" t="s">
        <v>406</v>
      </c>
      <c r="E551" t="s">
        <v>231</v>
      </c>
      <c r="F551" t="s">
        <v>46</v>
      </c>
      <c r="G551" t="s">
        <v>369</v>
      </c>
      <c r="H551">
        <v>87100</v>
      </c>
      <c r="I551">
        <f>Sales_Transactions_Raw[[#This Row],[Unit_Price]]*Sales_Transactions_Raw[[#This Row],[Quantity]]</f>
        <v>348400</v>
      </c>
      <c r="J551">
        <v>4</v>
      </c>
      <c r="K551">
        <v>0</v>
      </c>
      <c r="L551">
        <v>0</v>
      </c>
      <c r="M551">
        <v>348400</v>
      </c>
      <c r="N551">
        <v>18</v>
      </c>
      <c r="O551">
        <v>62712</v>
      </c>
      <c r="P551">
        <v>0</v>
      </c>
      <c r="Q551">
        <v>411112</v>
      </c>
      <c r="R551" t="s">
        <v>160</v>
      </c>
      <c r="S551" t="s">
        <v>93</v>
      </c>
      <c r="T551" t="s">
        <v>115</v>
      </c>
      <c r="U551" t="s">
        <v>161</v>
      </c>
      <c r="V551" t="s">
        <v>177</v>
      </c>
      <c r="W551" t="s">
        <v>81</v>
      </c>
      <c r="X551" t="s">
        <v>556</v>
      </c>
      <c r="Y551" t="s">
        <v>481</v>
      </c>
      <c r="Z551" t="s">
        <v>52</v>
      </c>
      <c r="AA551" t="s">
        <v>2014</v>
      </c>
      <c r="AB551" t="s">
        <v>3340</v>
      </c>
      <c r="AC551">
        <v>5</v>
      </c>
      <c r="AD551" t="s">
        <v>56</v>
      </c>
      <c r="AE551" t="s">
        <v>3336</v>
      </c>
      <c r="AF551" t="s">
        <v>279</v>
      </c>
      <c r="AG551" t="s">
        <v>85</v>
      </c>
      <c r="AH551" s="1">
        <v>44982</v>
      </c>
      <c r="AI551" s="1">
        <v>44929</v>
      </c>
      <c r="AJ551" s="1">
        <v>45172</v>
      </c>
      <c r="AK551" t="s">
        <v>3637</v>
      </c>
      <c r="AL551" t="s">
        <v>2013</v>
      </c>
    </row>
    <row r="552" spans="1:38" x14ac:dyDescent="0.35">
      <c r="A552" t="s">
        <v>2015</v>
      </c>
      <c r="B552" t="s">
        <v>624</v>
      </c>
      <c r="C552" t="s">
        <v>131</v>
      </c>
      <c r="D552" t="s">
        <v>303</v>
      </c>
      <c r="E552" t="s">
        <v>304</v>
      </c>
      <c r="F552" t="s">
        <v>134</v>
      </c>
      <c r="G552" t="s">
        <v>305</v>
      </c>
      <c r="H552">
        <v>40020</v>
      </c>
      <c r="I552">
        <f>Sales_Transactions_Raw[[#This Row],[Unit_Price]]*Sales_Transactions_Raw[[#This Row],[Quantity]]</f>
        <v>120060</v>
      </c>
      <c r="J552">
        <v>3</v>
      </c>
      <c r="K552">
        <v>5</v>
      </c>
      <c r="L552">
        <v>6003</v>
      </c>
      <c r="M552">
        <v>114057</v>
      </c>
      <c r="N552">
        <v>5</v>
      </c>
      <c r="O552">
        <v>5702.85</v>
      </c>
      <c r="P552">
        <v>0</v>
      </c>
      <c r="Q552">
        <v>119759.85</v>
      </c>
      <c r="R552" t="s">
        <v>64</v>
      </c>
      <c r="S552" t="s">
        <v>93</v>
      </c>
      <c r="T552" t="s">
        <v>115</v>
      </c>
      <c r="U552" t="s">
        <v>161</v>
      </c>
      <c r="V552" t="s">
        <v>94</v>
      </c>
      <c r="W552" t="s">
        <v>95</v>
      </c>
      <c r="X552" t="s">
        <v>437</v>
      </c>
      <c r="Y552" t="s">
        <v>319</v>
      </c>
      <c r="Z552" t="s">
        <v>95</v>
      </c>
      <c r="AA552" t="s">
        <v>2017</v>
      </c>
      <c r="AB552" t="s">
        <v>3339</v>
      </c>
      <c r="AC552">
        <v>4</v>
      </c>
      <c r="AD552" t="s">
        <v>56</v>
      </c>
      <c r="AE552" t="s">
        <v>3336</v>
      </c>
      <c r="AF552" t="s">
        <v>326</v>
      </c>
      <c r="AG552" t="s">
        <v>85</v>
      </c>
      <c r="AH552" s="1">
        <v>44945</v>
      </c>
      <c r="AI552" s="1">
        <v>44952</v>
      </c>
      <c r="AJ552" s="1">
        <v>44959</v>
      </c>
      <c r="AK552" t="s">
        <v>3612</v>
      </c>
      <c r="AL552" t="s">
        <v>2016</v>
      </c>
    </row>
    <row r="553" spans="1:38" x14ac:dyDescent="0.35">
      <c r="A553" t="s">
        <v>2018</v>
      </c>
      <c r="B553" t="s">
        <v>414</v>
      </c>
      <c r="C553" t="s">
        <v>43</v>
      </c>
      <c r="D553" t="s">
        <v>391</v>
      </c>
      <c r="E553" t="s">
        <v>392</v>
      </c>
      <c r="F553" t="s">
        <v>46</v>
      </c>
      <c r="G553" t="s">
        <v>176</v>
      </c>
      <c r="H553">
        <v>9500</v>
      </c>
      <c r="I553">
        <f>Sales_Transactions_Raw[[#This Row],[Unit_Price]]*Sales_Transactions_Raw[[#This Row],[Quantity]]</f>
        <v>19000</v>
      </c>
      <c r="J553">
        <v>2</v>
      </c>
      <c r="K553">
        <v>15</v>
      </c>
      <c r="L553">
        <v>2850</v>
      </c>
      <c r="M553">
        <v>16150</v>
      </c>
      <c r="N553">
        <v>18</v>
      </c>
      <c r="O553">
        <v>2907</v>
      </c>
      <c r="P553">
        <v>0</v>
      </c>
      <c r="Q553">
        <v>19057</v>
      </c>
      <c r="R553" t="s">
        <v>79</v>
      </c>
      <c r="S553" t="s">
        <v>93</v>
      </c>
      <c r="T553" t="s">
        <v>115</v>
      </c>
      <c r="U553" t="s">
        <v>196</v>
      </c>
      <c r="V553" t="s">
        <v>177</v>
      </c>
      <c r="W553" t="s">
        <v>81</v>
      </c>
      <c r="X553" t="s">
        <v>340</v>
      </c>
      <c r="Y553" t="s">
        <v>169</v>
      </c>
      <c r="Z553" t="s">
        <v>95</v>
      </c>
      <c r="AA553" t="s">
        <v>2020</v>
      </c>
      <c r="AB553" t="s">
        <v>3335</v>
      </c>
      <c r="AC553">
        <v>4</v>
      </c>
      <c r="AD553" t="s">
        <v>56</v>
      </c>
      <c r="AE553" t="s">
        <v>3336</v>
      </c>
      <c r="AF553" t="s">
        <v>326</v>
      </c>
      <c r="AG553" t="s">
        <v>445</v>
      </c>
      <c r="AH553" s="1">
        <v>45308</v>
      </c>
      <c r="AI553" s="1">
        <v>45314</v>
      </c>
      <c r="AJ553" s="1">
        <v>45322</v>
      </c>
      <c r="AK553" t="s">
        <v>3583</v>
      </c>
      <c r="AL553" t="s">
        <v>2019</v>
      </c>
    </row>
    <row r="554" spans="1:38" x14ac:dyDescent="0.35">
      <c r="A554" t="s">
        <v>2021</v>
      </c>
      <c r="B554" t="s">
        <v>272</v>
      </c>
      <c r="C554" t="s">
        <v>43</v>
      </c>
      <c r="D554" t="s">
        <v>526</v>
      </c>
      <c r="E554" t="s">
        <v>527</v>
      </c>
      <c r="F554" t="s">
        <v>185</v>
      </c>
      <c r="G554" t="s">
        <v>528</v>
      </c>
      <c r="H554">
        <v>850</v>
      </c>
      <c r="I554">
        <f>Sales_Transactions_Raw[[#This Row],[Unit_Price]]*Sales_Transactions_Raw[[#This Row],[Quantity]]</f>
        <v>850</v>
      </c>
      <c r="J554">
        <v>1</v>
      </c>
      <c r="K554">
        <v>0</v>
      </c>
      <c r="L554">
        <v>0</v>
      </c>
      <c r="M554">
        <v>850</v>
      </c>
      <c r="N554">
        <v>5</v>
      </c>
      <c r="O554">
        <v>42.5</v>
      </c>
      <c r="P554">
        <v>49</v>
      </c>
      <c r="Q554">
        <v>892.5</v>
      </c>
      <c r="R554" t="s">
        <v>48</v>
      </c>
      <c r="S554" t="s">
        <v>125</v>
      </c>
      <c r="T554" t="s">
        <v>719</v>
      </c>
      <c r="U554" t="s">
        <v>108</v>
      </c>
      <c r="V554" t="s">
        <v>242</v>
      </c>
      <c r="W554" t="s">
        <v>70</v>
      </c>
      <c r="X554" t="s">
        <v>381</v>
      </c>
      <c r="Y554" t="s">
        <v>199</v>
      </c>
      <c r="Z554" t="s">
        <v>52</v>
      </c>
      <c r="AA554" t="s">
        <v>2023</v>
      </c>
      <c r="AB554" t="s">
        <v>3341</v>
      </c>
      <c r="AC554">
        <v>4</v>
      </c>
      <c r="AD554" t="s">
        <v>56</v>
      </c>
      <c r="AE554" t="s">
        <v>3336</v>
      </c>
      <c r="AF554" t="s">
        <v>227</v>
      </c>
      <c r="AG554" t="s">
        <v>85</v>
      </c>
      <c r="AH554" s="1">
        <v>45344</v>
      </c>
      <c r="AI554" s="1">
        <v>45345</v>
      </c>
      <c r="AJ554" s="1">
        <v>45354</v>
      </c>
      <c r="AK554" t="s">
        <v>3446</v>
      </c>
      <c r="AL554" t="s">
        <v>2022</v>
      </c>
    </row>
    <row r="555" spans="1:38" x14ac:dyDescent="0.35">
      <c r="A555" t="s">
        <v>2024</v>
      </c>
      <c r="B555" t="s">
        <v>1225</v>
      </c>
      <c r="C555" t="s">
        <v>157</v>
      </c>
      <c r="D555" t="s">
        <v>174</v>
      </c>
      <c r="E555" t="s">
        <v>175</v>
      </c>
      <c r="F555" t="s">
        <v>46</v>
      </c>
      <c r="G555" t="s">
        <v>176</v>
      </c>
      <c r="H555">
        <v>1550</v>
      </c>
      <c r="I555">
        <f>Sales_Transactions_Raw[[#This Row],[Unit_Price]]*Sales_Transactions_Raw[[#This Row],[Quantity]]</f>
        <v>13950</v>
      </c>
      <c r="J555">
        <v>9</v>
      </c>
      <c r="K555">
        <v>15</v>
      </c>
      <c r="L555">
        <v>2092.5</v>
      </c>
      <c r="M555">
        <v>11857.5</v>
      </c>
      <c r="N555">
        <v>18</v>
      </c>
      <c r="O555">
        <v>2134.35</v>
      </c>
      <c r="P555">
        <v>0</v>
      </c>
      <c r="Q555">
        <v>13991.85</v>
      </c>
      <c r="R555" t="s">
        <v>160</v>
      </c>
      <c r="S555" t="s">
        <v>107</v>
      </c>
      <c r="T555" t="s">
        <v>115</v>
      </c>
      <c r="U555" t="s">
        <v>161</v>
      </c>
      <c r="V555" t="s">
        <v>276</v>
      </c>
      <c r="W555" t="s">
        <v>95</v>
      </c>
      <c r="X555" t="s">
        <v>411</v>
      </c>
      <c r="Y555" t="s">
        <v>151</v>
      </c>
      <c r="Z555" t="s">
        <v>81</v>
      </c>
      <c r="AA555" t="s">
        <v>2026</v>
      </c>
      <c r="AB555" t="s">
        <v>3335</v>
      </c>
      <c r="AC555">
        <v>5</v>
      </c>
      <c r="AD555" t="s">
        <v>56</v>
      </c>
      <c r="AE555" t="s">
        <v>3336</v>
      </c>
      <c r="AF555" t="s">
        <v>326</v>
      </c>
      <c r="AG555" t="s">
        <v>58</v>
      </c>
      <c r="AH555" s="1">
        <v>45169</v>
      </c>
      <c r="AI555" s="1">
        <v>45175</v>
      </c>
      <c r="AJ555" s="1">
        <v>45184</v>
      </c>
      <c r="AK555" t="s">
        <v>3591</v>
      </c>
      <c r="AL555" t="s">
        <v>2025</v>
      </c>
    </row>
    <row r="556" spans="1:38" x14ac:dyDescent="0.35">
      <c r="A556" t="s">
        <v>2027</v>
      </c>
      <c r="B556" t="s">
        <v>207</v>
      </c>
      <c r="C556" t="s">
        <v>43</v>
      </c>
      <c r="D556" t="s">
        <v>144</v>
      </c>
      <c r="E556" t="s">
        <v>145</v>
      </c>
      <c r="F556" t="s">
        <v>146</v>
      </c>
      <c r="G556" t="s">
        <v>147</v>
      </c>
      <c r="H556">
        <v>2500</v>
      </c>
      <c r="I556">
        <f>Sales_Transactions_Raw[[#This Row],[Unit_Price]]*Sales_Transactions_Raw[[#This Row],[Quantity]]</f>
        <v>5000</v>
      </c>
      <c r="J556">
        <v>2</v>
      </c>
      <c r="K556">
        <v>0</v>
      </c>
      <c r="L556">
        <v>0</v>
      </c>
      <c r="M556">
        <v>5000</v>
      </c>
      <c r="N556">
        <v>12</v>
      </c>
      <c r="O556">
        <v>600</v>
      </c>
      <c r="P556">
        <v>0</v>
      </c>
      <c r="Q556">
        <v>5600</v>
      </c>
      <c r="R556" t="s">
        <v>79</v>
      </c>
      <c r="S556" t="s">
        <v>49</v>
      </c>
      <c r="T556" t="s">
        <v>115</v>
      </c>
      <c r="U556" t="s">
        <v>50</v>
      </c>
      <c r="V556" t="s">
        <v>67</v>
      </c>
      <c r="W556" t="s">
        <v>68</v>
      </c>
      <c r="X556" t="s">
        <v>411</v>
      </c>
      <c r="Y556" t="s">
        <v>151</v>
      </c>
      <c r="Z556" t="s">
        <v>81</v>
      </c>
      <c r="AA556" t="s">
        <v>2029</v>
      </c>
      <c r="AB556" t="s">
        <v>3335</v>
      </c>
      <c r="AC556">
        <v>4</v>
      </c>
      <c r="AD556" t="s">
        <v>56</v>
      </c>
      <c r="AE556" t="s">
        <v>3336</v>
      </c>
      <c r="AF556" t="s">
        <v>227</v>
      </c>
      <c r="AG556" t="s">
        <v>111</v>
      </c>
      <c r="AH556" s="1">
        <v>45277</v>
      </c>
      <c r="AI556" s="1">
        <v>45278</v>
      </c>
      <c r="AJ556" s="1">
        <v>45283</v>
      </c>
      <c r="AK556" t="s">
        <v>3505</v>
      </c>
      <c r="AL556" t="s">
        <v>2028</v>
      </c>
    </row>
    <row r="557" spans="1:38" x14ac:dyDescent="0.35">
      <c r="A557" t="s">
        <v>2030</v>
      </c>
      <c r="B557" t="s">
        <v>343</v>
      </c>
      <c r="C557" t="s">
        <v>157</v>
      </c>
      <c r="D557" t="s">
        <v>406</v>
      </c>
      <c r="E557" t="s">
        <v>231</v>
      </c>
      <c r="F557" t="s">
        <v>46</v>
      </c>
      <c r="G557" t="s">
        <v>369</v>
      </c>
      <c r="H557">
        <v>89500</v>
      </c>
      <c r="I557">
        <f>Sales_Transactions_Raw[[#This Row],[Unit_Price]]*Sales_Transactions_Raw[[#This Row],[Quantity]]</f>
        <v>89500</v>
      </c>
      <c r="J557">
        <v>1</v>
      </c>
      <c r="K557">
        <v>0</v>
      </c>
      <c r="L557">
        <v>0</v>
      </c>
      <c r="M557">
        <v>89500</v>
      </c>
      <c r="N557">
        <v>18</v>
      </c>
      <c r="O557">
        <v>16110</v>
      </c>
      <c r="P557">
        <v>0</v>
      </c>
      <c r="Q557">
        <v>105610</v>
      </c>
      <c r="R557" t="s">
        <v>79</v>
      </c>
      <c r="S557" t="s">
        <v>93</v>
      </c>
      <c r="T557" t="s">
        <v>66</v>
      </c>
      <c r="U557" t="s">
        <v>161</v>
      </c>
      <c r="V557" t="s">
        <v>224</v>
      </c>
      <c r="W557" t="s">
        <v>95</v>
      </c>
      <c r="X557" t="s">
        <v>397</v>
      </c>
      <c r="Y557" t="s">
        <v>226</v>
      </c>
      <c r="Z557" t="s">
        <v>95</v>
      </c>
      <c r="AA557" t="s">
        <v>2032</v>
      </c>
      <c r="AB557" t="s">
        <v>3335</v>
      </c>
      <c r="AC557">
        <v>4</v>
      </c>
      <c r="AD557" t="s">
        <v>56</v>
      </c>
      <c r="AE557" t="s">
        <v>3336</v>
      </c>
      <c r="AF557" t="s">
        <v>99</v>
      </c>
      <c r="AG557" t="s">
        <v>85</v>
      </c>
      <c r="AH557" s="1">
        <v>45421</v>
      </c>
      <c r="AI557" s="1">
        <v>45425</v>
      </c>
      <c r="AJ557" s="1">
        <v>45428</v>
      </c>
      <c r="AK557" t="s">
        <v>3428</v>
      </c>
      <c r="AL557" t="s">
        <v>2031</v>
      </c>
    </row>
    <row r="558" spans="1:38" x14ac:dyDescent="0.35">
      <c r="A558" t="s">
        <v>2033</v>
      </c>
      <c r="B558" t="s">
        <v>832</v>
      </c>
      <c r="C558" t="s">
        <v>43</v>
      </c>
      <c r="D558" t="s">
        <v>402</v>
      </c>
      <c r="E558" t="s">
        <v>403</v>
      </c>
      <c r="F558" t="s">
        <v>146</v>
      </c>
      <c r="G558" t="s">
        <v>223</v>
      </c>
      <c r="H558">
        <v>2100</v>
      </c>
      <c r="I558">
        <f>Sales_Transactions_Raw[[#This Row],[Unit_Price]]*Sales_Transactions_Raw[[#This Row],[Quantity]]</f>
        <v>2100</v>
      </c>
      <c r="J558">
        <v>1</v>
      </c>
      <c r="K558">
        <v>25</v>
      </c>
      <c r="L558">
        <v>525</v>
      </c>
      <c r="M558">
        <v>1575</v>
      </c>
      <c r="N558">
        <v>12</v>
      </c>
      <c r="O558">
        <v>189</v>
      </c>
      <c r="P558">
        <v>149</v>
      </c>
      <c r="Q558">
        <v>1764</v>
      </c>
      <c r="R558" t="s">
        <v>79</v>
      </c>
      <c r="S558" t="s">
        <v>107</v>
      </c>
      <c r="T558" t="s">
        <v>66</v>
      </c>
      <c r="U558" t="s">
        <v>108</v>
      </c>
      <c r="V558" t="s">
        <v>242</v>
      </c>
      <c r="W558" t="s">
        <v>70</v>
      </c>
      <c r="X558" t="s">
        <v>237</v>
      </c>
      <c r="Y558" t="s">
        <v>138</v>
      </c>
      <c r="Z558" t="s">
        <v>81</v>
      </c>
      <c r="AA558" t="s">
        <v>2035</v>
      </c>
      <c r="AB558" t="s">
        <v>3344</v>
      </c>
      <c r="AC558">
        <v>4</v>
      </c>
      <c r="AD558" t="s">
        <v>56</v>
      </c>
      <c r="AE558" t="s">
        <v>3336</v>
      </c>
      <c r="AF558" t="s">
        <v>326</v>
      </c>
      <c r="AG558" t="s">
        <v>3337</v>
      </c>
      <c r="AH558" s="1">
        <v>45425</v>
      </c>
      <c r="AI558" s="1">
        <v>45431</v>
      </c>
      <c r="AJ558" s="1">
        <v>45433</v>
      </c>
      <c r="AK558" t="s">
        <v>3533</v>
      </c>
      <c r="AL558" t="s">
        <v>2034</v>
      </c>
    </row>
    <row r="559" spans="1:38" x14ac:dyDescent="0.35">
      <c r="A559" t="s">
        <v>2036</v>
      </c>
      <c r="B559" t="s">
        <v>1335</v>
      </c>
      <c r="C559" t="s">
        <v>43</v>
      </c>
      <c r="D559" t="s">
        <v>103</v>
      </c>
      <c r="E559" t="s">
        <v>104</v>
      </c>
      <c r="F559" t="s">
        <v>46</v>
      </c>
      <c r="G559" t="s">
        <v>105</v>
      </c>
      <c r="H559">
        <v>35410</v>
      </c>
      <c r="I559">
        <f>Sales_Transactions_Raw[[#This Row],[Unit_Price]]*Sales_Transactions_Raw[[#This Row],[Quantity]]</f>
        <v>35410</v>
      </c>
      <c r="J559">
        <v>1</v>
      </c>
      <c r="K559">
        <v>15</v>
      </c>
      <c r="L559">
        <v>5311.5</v>
      </c>
      <c r="M559">
        <v>30098.5</v>
      </c>
      <c r="N559">
        <v>18</v>
      </c>
      <c r="O559">
        <v>5417.73</v>
      </c>
      <c r="P559">
        <v>0</v>
      </c>
      <c r="Q559">
        <v>35516.229999999996</v>
      </c>
      <c r="R559" t="s">
        <v>79</v>
      </c>
      <c r="S559" t="s">
        <v>65</v>
      </c>
      <c r="T559" t="s">
        <v>66</v>
      </c>
      <c r="U559" t="s">
        <v>214</v>
      </c>
      <c r="V559" t="s">
        <v>67</v>
      </c>
      <c r="W559" t="s">
        <v>68</v>
      </c>
      <c r="X559" t="s">
        <v>599</v>
      </c>
      <c r="Y559" t="s">
        <v>319</v>
      </c>
      <c r="Z559" t="s">
        <v>95</v>
      </c>
      <c r="AB559" t="s">
        <v>3340</v>
      </c>
      <c r="AC559">
        <v>2</v>
      </c>
      <c r="AD559" t="s">
        <v>56</v>
      </c>
      <c r="AE559" t="s">
        <v>3336</v>
      </c>
      <c r="AF559" t="s">
        <v>153</v>
      </c>
      <c r="AG559" t="s">
        <v>445</v>
      </c>
      <c r="AH559" s="1">
        <v>45013</v>
      </c>
      <c r="AI559" s="1">
        <v>45017</v>
      </c>
      <c r="AJ559" s="1">
        <v>45023</v>
      </c>
      <c r="AK559" t="s">
        <v>3638</v>
      </c>
      <c r="AL559" t="s">
        <v>2037</v>
      </c>
    </row>
    <row r="560" spans="1:38" x14ac:dyDescent="0.35">
      <c r="A560" t="s">
        <v>2038</v>
      </c>
      <c r="B560" t="s">
        <v>588</v>
      </c>
      <c r="C560" t="s">
        <v>89</v>
      </c>
      <c r="D560" t="s">
        <v>350</v>
      </c>
      <c r="E560" t="s">
        <v>351</v>
      </c>
      <c r="F560" t="s">
        <v>211</v>
      </c>
      <c r="G560" t="s">
        <v>352</v>
      </c>
      <c r="H560">
        <v>42230</v>
      </c>
      <c r="I560">
        <f>Sales_Transactions_Raw[[#This Row],[Unit_Price]]*Sales_Transactions_Raw[[#This Row],[Quantity]]</f>
        <v>126690</v>
      </c>
      <c r="J560">
        <v>3</v>
      </c>
      <c r="K560">
        <v>10</v>
      </c>
      <c r="L560">
        <v>12669</v>
      </c>
      <c r="M560">
        <v>114021</v>
      </c>
      <c r="N560">
        <v>5</v>
      </c>
      <c r="O560">
        <v>5701.05</v>
      </c>
      <c r="P560">
        <v>0</v>
      </c>
      <c r="Q560">
        <v>119722.05</v>
      </c>
      <c r="R560" t="s">
        <v>124</v>
      </c>
      <c r="S560" t="s">
        <v>93</v>
      </c>
      <c r="T560" t="s">
        <v>136</v>
      </c>
      <c r="U560" t="s">
        <v>161</v>
      </c>
      <c r="V560" t="s">
        <v>242</v>
      </c>
      <c r="W560" t="s">
        <v>70</v>
      </c>
      <c r="X560" t="s">
        <v>198</v>
      </c>
      <c r="Y560" t="s">
        <v>199</v>
      </c>
      <c r="Z560" t="s">
        <v>52</v>
      </c>
      <c r="AA560" t="s">
        <v>2040</v>
      </c>
      <c r="AB560" t="s">
        <v>3335</v>
      </c>
      <c r="AC560">
        <v>3</v>
      </c>
      <c r="AD560" t="s">
        <v>56</v>
      </c>
      <c r="AE560" t="s">
        <v>3336</v>
      </c>
      <c r="AF560" t="s">
        <v>279</v>
      </c>
      <c r="AG560" t="s">
        <v>3342</v>
      </c>
      <c r="AH560" s="1">
        <v>45255</v>
      </c>
      <c r="AI560" s="1">
        <v>45257</v>
      </c>
      <c r="AJ560" s="1">
        <v>45262</v>
      </c>
      <c r="AK560" t="s">
        <v>3639</v>
      </c>
      <c r="AL560" t="s">
        <v>2039</v>
      </c>
    </row>
    <row r="561" spans="1:38" x14ac:dyDescent="0.35">
      <c r="A561" t="s">
        <v>2041</v>
      </c>
      <c r="B561" t="s">
        <v>862</v>
      </c>
      <c r="C561" t="s">
        <v>43</v>
      </c>
      <c r="D561" t="s">
        <v>230</v>
      </c>
      <c r="E561" t="s">
        <v>231</v>
      </c>
      <c r="F561" t="s">
        <v>46</v>
      </c>
      <c r="G561" t="s">
        <v>63</v>
      </c>
      <c r="H561">
        <v>108690</v>
      </c>
      <c r="I561">
        <f>Sales_Transactions_Raw[[#This Row],[Unit_Price]]*Sales_Transactions_Raw[[#This Row],[Quantity]]</f>
        <v>652140</v>
      </c>
      <c r="J561">
        <v>6</v>
      </c>
      <c r="K561">
        <v>0</v>
      </c>
      <c r="L561">
        <v>0</v>
      </c>
      <c r="M561">
        <v>652140</v>
      </c>
      <c r="N561">
        <v>18</v>
      </c>
      <c r="O561">
        <v>117385.2</v>
      </c>
      <c r="P561">
        <v>0</v>
      </c>
      <c r="Q561">
        <v>769525.2</v>
      </c>
      <c r="R561" t="s">
        <v>106</v>
      </c>
      <c r="S561" t="s">
        <v>107</v>
      </c>
      <c r="T561" t="s">
        <v>66</v>
      </c>
      <c r="U561" t="s">
        <v>196</v>
      </c>
      <c r="V561" t="s">
        <v>116</v>
      </c>
      <c r="W561" t="s">
        <v>70</v>
      </c>
      <c r="X561" t="s">
        <v>510</v>
      </c>
      <c r="Y561" t="s">
        <v>199</v>
      </c>
      <c r="Z561" t="s">
        <v>52</v>
      </c>
      <c r="AA561" t="s">
        <v>2043</v>
      </c>
      <c r="AB561" t="s">
        <v>3335</v>
      </c>
      <c r="AC561">
        <v>4</v>
      </c>
      <c r="AD561" t="s">
        <v>56</v>
      </c>
      <c r="AE561" t="s">
        <v>3336</v>
      </c>
      <c r="AF561" t="s">
        <v>326</v>
      </c>
      <c r="AG561" t="s">
        <v>85</v>
      </c>
      <c r="AH561" s="1">
        <v>45279</v>
      </c>
      <c r="AI561" s="1">
        <v>45283</v>
      </c>
      <c r="AJ561" s="1">
        <v>45285</v>
      </c>
      <c r="AK561" t="s">
        <v>3640</v>
      </c>
      <c r="AL561" t="s">
        <v>2042</v>
      </c>
    </row>
    <row r="562" spans="1:38" x14ac:dyDescent="0.35">
      <c r="A562" t="s">
        <v>1702</v>
      </c>
      <c r="B562" t="s">
        <v>1078</v>
      </c>
      <c r="C562" t="s">
        <v>43</v>
      </c>
      <c r="D562" t="s">
        <v>466</v>
      </c>
      <c r="E562" t="s">
        <v>467</v>
      </c>
      <c r="F562" t="s">
        <v>185</v>
      </c>
      <c r="G562" t="s">
        <v>468</v>
      </c>
      <c r="H562">
        <v>640</v>
      </c>
      <c r="I562">
        <f>Sales_Transactions_Raw[[#This Row],[Unit_Price]]*Sales_Transactions_Raw[[#This Row],[Quantity]]</f>
        <v>1920</v>
      </c>
      <c r="J562">
        <v>3</v>
      </c>
      <c r="K562">
        <v>15</v>
      </c>
      <c r="L562">
        <v>288</v>
      </c>
      <c r="M562">
        <v>1632</v>
      </c>
      <c r="N562">
        <v>5</v>
      </c>
      <c r="O562">
        <v>81.599999999999994</v>
      </c>
      <c r="P562">
        <v>149</v>
      </c>
      <c r="Q562">
        <v>1713.6</v>
      </c>
      <c r="R562" t="s">
        <v>106</v>
      </c>
      <c r="S562" t="s">
        <v>93</v>
      </c>
      <c r="T562" t="s">
        <v>115</v>
      </c>
      <c r="U562" t="s">
        <v>161</v>
      </c>
      <c r="V562" t="s">
        <v>149</v>
      </c>
      <c r="W562" t="s">
        <v>81</v>
      </c>
      <c r="X562" t="s">
        <v>556</v>
      </c>
      <c r="Y562" t="s">
        <v>481</v>
      </c>
      <c r="Z562" t="s">
        <v>52</v>
      </c>
      <c r="AA562" t="s">
        <v>2045</v>
      </c>
      <c r="AB562" t="s">
        <v>3335</v>
      </c>
      <c r="AC562">
        <v>3</v>
      </c>
      <c r="AD562" t="s">
        <v>56</v>
      </c>
      <c r="AE562" t="s">
        <v>3336</v>
      </c>
      <c r="AF562" t="s">
        <v>140</v>
      </c>
      <c r="AG562" t="s">
        <v>58</v>
      </c>
      <c r="AH562" s="1">
        <v>45113</v>
      </c>
      <c r="AI562" s="1">
        <v>45120</v>
      </c>
      <c r="AJ562" s="1">
        <v>45128</v>
      </c>
      <c r="AK562" t="s">
        <v>3570</v>
      </c>
      <c r="AL562" t="s">
        <v>2044</v>
      </c>
    </row>
    <row r="563" spans="1:38" x14ac:dyDescent="0.35">
      <c r="A563" t="s">
        <v>2046</v>
      </c>
      <c r="B563" t="s">
        <v>832</v>
      </c>
      <c r="C563" t="s">
        <v>43</v>
      </c>
      <c r="D563" t="s">
        <v>44</v>
      </c>
      <c r="E563" t="s">
        <v>45</v>
      </c>
      <c r="F563" t="s">
        <v>46</v>
      </c>
      <c r="G563" t="s">
        <v>47</v>
      </c>
      <c r="H563">
        <v>12260</v>
      </c>
      <c r="I563">
        <f>Sales_Transactions_Raw[[#This Row],[Unit_Price]]*Sales_Transactions_Raw[[#This Row],[Quantity]]</f>
        <v>110340</v>
      </c>
      <c r="J563">
        <v>9</v>
      </c>
      <c r="K563">
        <v>25</v>
      </c>
      <c r="L563">
        <v>27585</v>
      </c>
      <c r="M563">
        <v>82755</v>
      </c>
      <c r="N563">
        <v>18</v>
      </c>
      <c r="O563">
        <v>14895.9</v>
      </c>
      <c r="P563">
        <v>0</v>
      </c>
      <c r="Q563">
        <v>97650.9</v>
      </c>
      <c r="R563" t="s">
        <v>48</v>
      </c>
      <c r="S563" t="s">
        <v>65</v>
      </c>
      <c r="T563" t="s">
        <v>115</v>
      </c>
      <c r="U563" t="s">
        <v>161</v>
      </c>
      <c r="V563" t="s">
        <v>287</v>
      </c>
      <c r="W563" t="s">
        <v>95</v>
      </c>
      <c r="X563" t="s">
        <v>491</v>
      </c>
      <c r="Y563" t="s">
        <v>358</v>
      </c>
      <c r="Z563" t="s">
        <v>95</v>
      </c>
      <c r="AA563" t="s">
        <v>2048</v>
      </c>
      <c r="AB563" t="s">
        <v>3335</v>
      </c>
      <c r="AC563">
        <v>3</v>
      </c>
      <c r="AD563" t="s">
        <v>56</v>
      </c>
      <c r="AE563" t="s">
        <v>3336</v>
      </c>
      <c r="AF563" t="s">
        <v>84</v>
      </c>
      <c r="AG563" t="s">
        <v>85</v>
      </c>
      <c r="AH563" s="1">
        <v>45337</v>
      </c>
      <c r="AI563" s="1">
        <v>45344</v>
      </c>
      <c r="AJ563" s="1">
        <v>45346</v>
      </c>
      <c r="AK563" t="s">
        <v>3588</v>
      </c>
      <c r="AL563" t="s">
        <v>2047</v>
      </c>
    </row>
    <row r="564" spans="1:38" x14ac:dyDescent="0.35">
      <c r="A564" t="s">
        <v>2049</v>
      </c>
      <c r="B564" t="s">
        <v>699</v>
      </c>
      <c r="C564" t="s">
        <v>157</v>
      </c>
      <c r="D564" t="s">
        <v>449</v>
      </c>
      <c r="E564" t="s">
        <v>450</v>
      </c>
      <c r="F564" t="s">
        <v>46</v>
      </c>
      <c r="G564" t="s">
        <v>78</v>
      </c>
      <c r="H564">
        <v>42340</v>
      </c>
      <c r="I564">
        <f>Sales_Transactions_Raw[[#This Row],[Unit_Price]]*Sales_Transactions_Raw[[#This Row],[Quantity]]</f>
        <v>381060</v>
      </c>
      <c r="J564">
        <v>9</v>
      </c>
      <c r="K564">
        <v>10</v>
      </c>
      <c r="L564">
        <v>38106</v>
      </c>
      <c r="M564">
        <v>342954</v>
      </c>
      <c r="N564">
        <v>18</v>
      </c>
      <c r="O564">
        <v>61731.72</v>
      </c>
      <c r="P564">
        <v>0</v>
      </c>
      <c r="Q564">
        <v>404685.72</v>
      </c>
      <c r="R564" t="s">
        <v>124</v>
      </c>
      <c r="S564" t="s">
        <v>65</v>
      </c>
      <c r="T564" t="s">
        <v>115</v>
      </c>
      <c r="U564" t="s">
        <v>214</v>
      </c>
      <c r="V564" t="s">
        <v>297</v>
      </c>
      <c r="W564" t="s">
        <v>52</v>
      </c>
      <c r="X564" t="s">
        <v>318</v>
      </c>
      <c r="Y564" t="s">
        <v>319</v>
      </c>
      <c r="Z564" t="s">
        <v>95</v>
      </c>
      <c r="AA564" t="s">
        <v>2051</v>
      </c>
      <c r="AB564" t="s">
        <v>3339</v>
      </c>
      <c r="AC564">
        <v>4</v>
      </c>
      <c r="AD564" t="s">
        <v>56</v>
      </c>
      <c r="AE564" t="s">
        <v>3336</v>
      </c>
      <c r="AF564" t="s">
        <v>153</v>
      </c>
      <c r="AG564" t="s">
        <v>3342</v>
      </c>
      <c r="AH564" s="1">
        <v>44957</v>
      </c>
      <c r="AI564" s="1">
        <v>45018</v>
      </c>
      <c r="AJ564" s="1">
        <v>44971</v>
      </c>
      <c r="AK564" t="s">
        <v>3442</v>
      </c>
      <c r="AL564" t="s">
        <v>2050</v>
      </c>
    </row>
    <row r="565" spans="1:38" x14ac:dyDescent="0.35">
      <c r="A565" t="s">
        <v>2052</v>
      </c>
      <c r="B565" t="s">
        <v>155</v>
      </c>
      <c r="C565" t="s">
        <v>89</v>
      </c>
      <c r="D565" t="s">
        <v>495</v>
      </c>
      <c r="E565" t="s">
        <v>496</v>
      </c>
      <c r="F565" t="s">
        <v>134</v>
      </c>
      <c r="G565" t="s">
        <v>497</v>
      </c>
      <c r="H565">
        <v>32030</v>
      </c>
      <c r="I565">
        <f>Sales_Transactions_Raw[[#This Row],[Unit_Price]]*Sales_Transactions_Raw[[#This Row],[Quantity]]</f>
        <v>96090</v>
      </c>
      <c r="J565">
        <v>3</v>
      </c>
      <c r="K565">
        <v>5</v>
      </c>
      <c r="L565">
        <v>4804.5</v>
      </c>
      <c r="M565">
        <v>91285.5</v>
      </c>
      <c r="N565">
        <v>5</v>
      </c>
      <c r="O565">
        <v>4564.2700000000004</v>
      </c>
      <c r="P565">
        <v>0</v>
      </c>
      <c r="Q565">
        <v>95849.77</v>
      </c>
      <c r="R565" t="s">
        <v>79</v>
      </c>
      <c r="S565" t="s">
        <v>65</v>
      </c>
      <c r="T565" t="s">
        <v>115</v>
      </c>
      <c r="U565" t="s">
        <v>214</v>
      </c>
      <c r="V565" t="s">
        <v>276</v>
      </c>
      <c r="W565" t="s">
        <v>696</v>
      </c>
      <c r="X565" t="s">
        <v>469</v>
      </c>
      <c r="Y565" t="s">
        <v>244</v>
      </c>
      <c r="Z565" t="s">
        <v>70</v>
      </c>
      <c r="AA565" t="s">
        <v>2054</v>
      </c>
      <c r="AB565" t="s">
        <v>3335</v>
      </c>
      <c r="AC565">
        <v>4</v>
      </c>
      <c r="AD565" t="s">
        <v>56</v>
      </c>
      <c r="AE565" t="s">
        <v>3336</v>
      </c>
      <c r="AF565" t="s">
        <v>164</v>
      </c>
      <c r="AG565" t="s">
        <v>58</v>
      </c>
      <c r="AH565" s="1">
        <v>44935</v>
      </c>
      <c r="AI565" s="1">
        <v>44937</v>
      </c>
      <c r="AJ565" s="1">
        <v>44942</v>
      </c>
      <c r="AK565" t="s">
        <v>3354</v>
      </c>
      <c r="AL565" t="s">
        <v>2053</v>
      </c>
    </row>
    <row r="566" spans="1:38" x14ac:dyDescent="0.35">
      <c r="A566" t="s">
        <v>2055</v>
      </c>
      <c r="B566" t="s">
        <v>691</v>
      </c>
      <c r="C566" t="s">
        <v>43</v>
      </c>
      <c r="D566" t="s">
        <v>367</v>
      </c>
      <c r="E566" t="s">
        <v>368</v>
      </c>
      <c r="F566" t="s">
        <v>46</v>
      </c>
      <c r="G566" t="s">
        <v>369</v>
      </c>
      <c r="H566">
        <v>26660</v>
      </c>
      <c r="I566">
        <f>Sales_Transactions_Raw[[#This Row],[Unit_Price]]*Sales_Transactions_Raw[[#This Row],[Quantity]]</f>
        <v>133300</v>
      </c>
      <c r="J566">
        <v>5</v>
      </c>
      <c r="K566">
        <v>10</v>
      </c>
      <c r="L566">
        <v>13330</v>
      </c>
      <c r="M566">
        <v>119970</v>
      </c>
      <c r="N566">
        <v>18</v>
      </c>
      <c r="O566">
        <v>21594.6</v>
      </c>
      <c r="P566">
        <v>0</v>
      </c>
      <c r="Q566">
        <v>141564.6</v>
      </c>
      <c r="R566" t="s">
        <v>124</v>
      </c>
      <c r="S566" t="s">
        <v>49</v>
      </c>
      <c r="T566" t="s">
        <v>115</v>
      </c>
      <c r="U566" t="s">
        <v>214</v>
      </c>
      <c r="V566" t="s">
        <v>94</v>
      </c>
      <c r="W566" t="s">
        <v>95</v>
      </c>
      <c r="X566" t="s">
        <v>215</v>
      </c>
      <c r="Y566" t="s">
        <v>169</v>
      </c>
      <c r="Z566" t="s">
        <v>95</v>
      </c>
      <c r="AA566" t="s">
        <v>2057</v>
      </c>
      <c r="AB566" t="s">
        <v>3335</v>
      </c>
      <c r="AC566">
        <v>4</v>
      </c>
      <c r="AD566" t="s">
        <v>56</v>
      </c>
      <c r="AE566" t="s">
        <v>3336</v>
      </c>
      <c r="AF566" t="s">
        <v>72</v>
      </c>
      <c r="AG566" t="s">
        <v>58</v>
      </c>
      <c r="AH566" s="1">
        <v>45276</v>
      </c>
      <c r="AI566" s="1">
        <v>45279</v>
      </c>
      <c r="AJ566" s="1">
        <v>45289</v>
      </c>
      <c r="AK566" t="s">
        <v>3641</v>
      </c>
      <c r="AL566" t="s">
        <v>2056</v>
      </c>
    </row>
    <row r="567" spans="1:38" x14ac:dyDescent="0.35">
      <c r="A567" t="s">
        <v>2058</v>
      </c>
      <c r="B567" t="s">
        <v>87</v>
      </c>
      <c r="C567" t="s">
        <v>43</v>
      </c>
      <c r="D567" t="s">
        <v>466</v>
      </c>
      <c r="E567" t="s">
        <v>467</v>
      </c>
      <c r="F567" t="s">
        <v>185</v>
      </c>
      <c r="G567" t="s">
        <v>468</v>
      </c>
      <c r="H567">
        <v>590</v>
      </c>
      <c r="I567">
        <f>Sales_Transactions_Raw[[#This Row],[Unit_Price]]*Sales_Transactions_Raw[[#This Row],[Quantity]]</f>
        <v>5900</v>
      </c>
      <c r="J567">
        <v>10</v>
      </c>
      <c r="K567">
        <v>0</v>
      </c>
      <c r="L567">
        <v>0</v>
      </c>
      <c r="M567">
        <v>5900</v>
      </c>
      <c r="N567">
        <v>5</v>
      </c>
      <c r="O567">
        <v>295</v>
      </c>
      <c r="P567">
        <v>0</v>
      </c>
      <c r="Q567">
        <v>6195</v>
      </c>
      <c r="R567" t="s">
        <v>64</v>
      </c>
      <c r="S567" t="s">
        <v>49</v>
      </c>
      <c r="T567" t="s">
        <v>115</v>
      </c>
      <c r="U567" t="s">
        <v>161</v>
      </c>
      <c r="V567" t="s">
        <v>297</v>
      </c>
      <c r="W567" t="s">
        <v>52</v>
      </c>
      <c r="X567" t="s">
        <v>750</v>
      </c>
      <c r="Y567" t="s">
        <v>127</v>
      </c>
      <c r="Z567" t="s">
        <v>68</v>
      </c>
      <c r="AA567" t="s">
        <v>2060</v>
      </c>
      <c r="AB567" t="s">
        <v>3335</v>
      </c>
      <c r="AC567">
        <v>3</v>
      </c>
      <c r="AD567" t="s">
        <v>56</v>
      </c>
      <c r="AE567" t="s">
        <v>3336</v>
      </c>
      <c r="AF567" t="s">
        <v>72</v>
      </c>
      <c r="AG567" t="s">
        <v>3342</v>
      </c>
      <c r="AH567" s="1">
        <v>45056</v>
      </c>
      <c r="AI567" s="1">
        <v>45058</v>
      </c>
      <c r="AJ567" s="1">
        <v>45063</v>
      </c>
      <c r="AK567" t="s">
        <v>3501</v>
      </c>
      <c r="AL567" t="s">
        <v>2059</v>
      </c>
    </row>
    <row r="568" spans="1:38" x14ac:dyDescent="0.35">
      <c r="A568" t="s">
        <v>2061</v>
      </c>
      <c r="B568" t="s">
        <v>166</v>
      </c>
      <c r="C568" t="s">
        <v>43</v>
      </c>
      <c r="D568" t="s">
        <v>183</v>
      </c>
      <c r="E568" t="s">
        <v>184</v>
      </c>
      <c r="F568" t="s">
        <v>185</v>
      </c>
      <c r="G568" t="s">
        <v>186</v>
      </c>
      <c r="H568">
        <v>130</v>
      </c>
      <c r="I568">
        <f>Sales_Transactions_Raw[[#This Row],[Unit_Price]]*Sales_Transactions_Raw[[#This Row],[Quantity]]</f>
        <v>130</v>
      </c>
      <c r="J568">
        <v>1</v>
      </c>
      <c r="K568">
        <v>5</v>
      </c>
      <c r="L568">
        <v>6.5</v>
      </c>
      <c r="M568">
        <v>123.5</v>
      </c>
      <c r="N568">
        <v>5</v>
      </c>
      <c r="O568">
        <v>6.17</v>
      </c>
      <c r="P568">
        <v>149</v>
      </c>
      <c r="Q568">
        <v>129.66999999999999</v>
      </c>
      <c r="R568" t="s">
        <v>106</v>
      </c>
      <c r="S568" t="s">
        <v>125</v>
      </c>
      <c r="T568" t="s">
        <v>115</v>
      </c>
      <c r="U568" t="s">
        <v>196</v>
      </c>
      <c r="V568" t="s">
        <v>80</v>
      </c>
      <c r="W568" t="s">
        <v>81</v>
      </c>
      <c r="X568" t="s">
        <v>393</v>
      </c>
      <c r="Y568" t="s">
        <v>393</v>
      </c>
      <c r="Z568" t="s">
        <v>70</v>
      </c>
      <c r="AA568" t="s">
        <v>2063</v>
      </c>
      <c r="AB568" t="s">
        <v>3341</v>
      </c>
      <c r="AC568">
        <v>4</v>
      </c>
      <c r="AD568" t="s">
        <v>56</v>
      </c>
      <c r="AE568" t="s">
        <v>3336</v>
      </c>
      <c r="AF568" t="s">
        <v>262</v>
      </c>
      <c r="AG568" t="s">
        <v>3337</v>
      </c>
      <c r="AH568" s="1">
        <v>45234</v>
      </c>
      <c r="AI568" s="1">
        <v>45240</v>
      </c>
      <c r="AJ568" s="1">
        <v>45249</v>
      </c>
      <c r="AK568" t="s">
        <v>3568</v>
      </c>
      <c r="AL568" t="s">
        <v>2062</v>
      </c>
    </row>
    <row r="569" spans="1:38" x14ac:dyDescent="0.35">
      <c r="A569" t="s">
        <v>512</v>
      </c>
      <c r="B569" t="s">
        <v>717</v>
      </c>
      <c r="C569" t="s">
        <v>43</v>
      </c>
      <c r="D569" t="s">
        <v>183</v>
      </c>
      <c r="E569" t="s">
        <v>184</v>
      </c>
      <c r="F569" t="s">
        <v>185</v>
      </c>
      <c r="G569" t="s">
        <v>186</v>
      </c>
      <c r="H569">
        <v>120</v>
      </c>
      <c r="I569">
        <f>Sales_Transactions_Raw[[#This Row],[Unit_Price]]*Sales_Transactions_Raw[[#This Row],[Quantity]]</f>
        <v>720</v>
      </c>
      <c r="J569">
        <v>6</v>
      </c>
      <c r="K569">
        <v>10</v>
      </c>
      <c r="L569">
        <v>72</v>
      </c>
      <c r="M569">
        <v>648</v>
      </c>
      <c r="N569">
        <v>5</v>
      </c>
      <c r="O569">
        <v>32.4</v>
      </c>
      <c r="P569">
        <v>79</v>
      </c>
      <c r="Q569">
        <v>680.4</v>
      </c>
      <c r="R569" t="s">
        <v>92</v>
      </c>
      <c r="S569" t="s">
        <v>107</v>
      </c>
      <c r="T569" t="s">
        <v>115</v>
      </c>
      <c r="U569" t="s">
        <v>214</v>
      </c>
      <c r="V569" t="s">
        <v>269</v>
      </c>
      <c r="W569" t="s">
        <v>70</v>
      </c>
      <c r="X569" t="s">
        <v>437</v>
      </c>
      <c r="Y569" t="s">
        <v>319</v>
      </c>
      <c r="Z569" t="s">
        <v>95</v>
      </c>
      <c r="AA569" t="s">
        <v>2065</v>
      </c>
      <c r="AB569" t="s">
        <v>3339</v>
      </c>
      <c r="AC569">
        <v>4</v>
      </c>
      <c r="AD569" t="s">
        <v>56</v>
      </c>
      <c r="AE569" t="s">
        <v>3336</v>
      </c>
      <c r="AF569" t="s">
        <v>326</v>
      </c>
      <c r="AG569" t="s">
        <v>3337</v>
      </c>
      <c r="AH569" s="1">
        <v>45160</v>
      </c>
      <c r="AI569" s="1">
        <v>45164</v>
      </c>
      <c r="AJ569" s="1">
        <v>45172</v>
      </c>
      <c r="AK569" t="s">
        <v>3445</v>
      </c>
      <c r="AL569" t="s">
        <v>2064</v>
      </c>
    </row>
    <row r="570" spans="1:38" x14ac:dyDescent="0.35">
      <c r="A570" t="s">
        <v>2066</v>
      </c>
      <c r="B570" t="s">
        <v>155</v>
      </c>
      <c r="C570" t="s">
        <v>43</v>
      </c>
      <c r="D570" t="s">
        <v>90</v>
      </c>
      <c r="E570" t="s">
        <v>91</v>
      </c>
      <c r="F570" t="s">
        <v>46</v>
      </c>
      <c r="G570" t="s">
        <v>78</v>
      </c>
      <c r="H570">
        <v>101260</v>
      </c>
      <c r="I570">
        <f>Sales_Transactions_Raw[[#This Row],[Unit_Price]]*Sales_Transactions_Raw[[#This Row],[Quantity]]</f>
        <v>405040</v>
      </c>
      <c r="J570">
        <v>4</v>
      </c>
      <c r="K570">
        <v>5</v>
      </c>
      <c r="L570">
        <v>20252</v>
      </c>
      <c r="M570">
        <v>384788</v>
      </c>
      <c r="N570">
        <v>18</v>
      </c>
      <c r="O570">
        <v>69261.84</v>
      </c>
      <c r="P570">
        <v>0</v>
      </c>
      <c r="Q570">
        <v>454049.83999999997</v>
      </c>
      <c r="R570" t="s">
        <v>79</v>
      </c>
      <c r="S570" t="s">
        <v>125</v>
      </c>
      <c r="T570" t="s">
        <v>115</v>
      </c>
      <c r="U570" t="s">
        <v>214</v>
      </c>
      <c r="V570" t="s">
        <v>242</v>
      </c>
      <c r="W570" t="s">
        <v>70</v>
      </c>
      <c r="X570" t="s">
        <v>505</v>
      </c>
      <c r="Y570" t="s">
        <v>118</v>
      </c>
      <c r="Z570" t="s">
        <v>70</v>
      </c>
      <c r="AA570" t="s">
        <v>2068</v>
      </c>
      <c r="AB570" t="s">
        <v>3335</v>
      </c>
      <c r="AC570">
        <v>4</v>
      </c>
      <c r="AD570" t="s">
        <v>56</v>
      </c>
      <c r="AE570" t="s">
        <v>3336</v>
      </c>
      <c r="AF570" t="s">
        <v>164</v>
      </c>
      <c r="AG570" t="s">
        <v>58</v>
      </c>
      <c r="AH570" s="1">
        <v>45175</v>
      </c>
      <c r="AI570" s="1">
        <v>45182</v>
      </c>
      <c r="AJ570" s="1">
        <v>45189</v>
      </c>
      <c r="AK570" t="s">
        <v>3481</v>
      </c>
      <c r="AL570" t="s">
        <v>2067</v>
      </c>
    </row>
    <row r="571" spans="1:38" x14ac:dyDescent="0.35">
      <c r="A571" t="s">
        <v>2069</v>
      </c>
      <c r="B571" t="s">
        <v>765</v>
      </c>
      <c r="C571" t="s">
        <v>43</v>
      </c>
      <c r="D571" t="s">
        <v>76</v>
      </c>
      <c r="E571" t="s">
        <v>77</v>
      </c>
      <c r="F571" t="s">
        <v>46</v>
      </c>
      <c r="G571" t="s">
        <v>78</v>
      </c>
      <c r="H571">
        <v>83590</v>
      </c>
      <c r="I571">
        <f>Sales_Transactions_Raw[[#This Row],[Unit_Price]]*Sales_Transactions_Raw[[#This Row],[Quantity]]</f>
        <v>167180</v>
      </c>
      <c r="J571">
        <v>2</v>
      </c>
      <c r="K571">
        <v>20</v>
      </c>
      <c r="L571">
        <v>33436</v>
      </c>
      <c r="M571">
        <v>133744</v>
      </c>
      <c r="N571">
        <v>18</v>
      </c>
      <c r="O571">
        <v>24073.919999999998</v>
      </c>
      <c r="P571">
        <v>0</v>
      </c>
      <c r="Q571">
        <v>157817.91999999998</v>
      </c>
      <c r="R571" t="s">
        <v>48</v>
      </c>
      <c r="S571" t="s">
        <v>125</v>
      </c>
      <c r="T571" t="s">
        <v>115</v>
      </c>
      <c r="U571" t="s">
        <v>214</v>
      </c>
      <c r="V571" t="s">
        <v>149</v>
      </c>
      <c r="W571" t="s">
        <v>81</v>
      </c>
      <c r="X571" t="s">
        <v>750</v>
      </c>
      <c r="Y571" t="s">
        <v>127</v>
      </c>
      <c r="Z571" t="s">
        <v>68</v>
      </c>
      <c r="AA571" t="s">
        <v>2071</v>
      </c>
      <c r="AB571" t="s">
        <v>3335</v>
      </c>
      <c r="AC571">
        <v>4</v>
      </c>
      <c r="AD571" t="s">
        <v>56</v>
      </c>
      <c r="AE571" t="s">
        <v>3336</v>
      </c>
      <c r="AF571" t="s">
        <v>217</v>
      </c>
      <c r="AG571" t="s">
        <v>111</v>
      </c>
      <c r="AH571" s="1">
        <v>44989</v>
      </c>
      <c r="AI571" s="1">
        <v>44995</v>
      </c>
      <c r="AJ571" s="1">
        <v>45003</v>
      </c>
      <c r="AK571" t="s">
        <v>3541</v>
      </c>
      <c r="AL571" t="s">
        <v>2070</v>
      </c>
    </row>
    <row r="572" spans="1:38" x14ac:dyDescent="0.35">
      <c r="A572" t="s">
        <v>2018</v>
      </c>
      <c r="B572" t="s">
        <v>1286</v>
      </c>
      <c r="C572" t="s">
        <v>43</v>
      </c>
      <c r="D572" t="s">
        <v>317</v>
      </c>
      <c r="E572" t="s">
        <v>77</v>
      </c>
      <c r="F572" t="s">
        <v>46</v>
      </c>
      <c r="G572" t="s">
        <v>176</v>
      </c>
      <c r="H572">
        <v>29150</v>
      </c>
      <c r="I572">
        <f>Sales_Transactions_Raw[[#This Row],[Unit_Price]]*Sales_Transactions_Raw[[#This Row],[Quantity]]</f>
        <v>58300</v>
      </c>
      <c r="J572">
        <v>2</v>
      </c>
      <c r="K572">
        <v>0</v>
      </c>
      <c r="L572">
        <v>0</v>
      </c>
      <c r="M572">
        <v>58300</v>
      </c>
      <c r="N572">
        <v>18</v>
      </c>
      <c r="O572">
        <v>10494</v>
      </c>
      <c r="P572">
        <v>0</v>
      </c>
      <c r="Q572">
        <v>68794</v>
      </c>
      <c r="R572" t="s">
        <v>48</v>
      </c>
      <c r="S572" t="s">
        <v>49</v>
      </c>
      <c r="T572" t="s">
        <v>115</v>
      </c>
      <c r="U572" t="s">
        <v>196</v>
      </c>
      <c r="V572" t="s">
        <v>67</v>
      </c>
      <c r="W572" t="s">
        <v>68</v>
      </c>
      <c r="X572" t="s">
        <v>370</v>
      </c>
      <c r="Y572" t="s">
        <v>151</v>
      </c>
      <c r="Z572" t="s">
        <v>81</v>
      </c>
      <c r="AA572" t="s">
        <v>2073</v>
      </c>
      <c r="AB572" t="s">
        <v>3340</v>
      </c>
      <c r="AC572">
        <v>5</v>
      </c>
      <c r="AD572" t="s">
        <v>56</v>
      </c>
      <c r="AE572" t="s">
        <v>3336</v>
      </c>
      <c r="AF572" t="s">
        <v>57</v>
      </c>
      <c r="AG572" t="s">
        <v>445</v>
      </c>
      <c r="AH572" s="1">
        <v>45396</v>
      </c>
      <c r="AI572" s="1">
        <v>45398</v>
      </c>
      <c r="AJ572" s="1">
        <v>45400</v>
      </c>
      <c r="AK572" t="s">
        <v>3642</v>
      </c>
      <c r="AL572" t="s">
        <v>2072</v>
      </c>
    </row>
    <row r="573" spans="1:38" x14ac:dyDescent="0.35">
      <c r="A573" t="s">
        <v>2074</v>
      </c>
      <c r="B573" t="s">
        <v>520</v>
      </c>
      <c r="C573" t="s">
        <v>43</v>
      </c>
      <c r="D573" t="s">
        <v>158</v>
      </c>
      <c r="E573" t="s">
        <v>159</v>
      </c>
      <c r="F573" t="s">
        <v>46</v>
      </c>
      <c r="G573" t="s">
        <v>105</v>
      </c>
      <c r="H573">
        <v>29347.846790890268</v>
      </c>
      <c r="I573">
        <f>Sales_Transactions_Raw[[#This Row],[Unit_Price]]*Sales_Transactions_Raw[[#This Row],[Quantity]]</f>
        <v>293478.46790890268</v>
      </c>
      <c r="J573">
        <v>10</v>
      </c>
      <c r="K573">
        <v>20</v>
      </c>
      <c r="L573">
        <v>105940</v>
      </c>
      <c r="M573">
        <v>423760</v>
      </c>
      <c r="N573">
        <v>18</v>
      </c>
      <c r="O573">
        <v>76276.800000000003</v>
      </c>
      <c r="P573">
        <v>0</v>
      </c>
      <c r="Q573">
        <v>500036.8</v>
      </c>
      <c r="R573" t="s">
        <v>64</v>
      </c>
      <c r="S573" t="s">
        <v>93</v>
      </c>
      <c r="T573" t="s">
        <v>115</v>
      </c>
      <c r="U573" t="s">
        <v>196</v>
      </c>
      <c r="V573" t="s">
        <v>149</v>
      </c>
      <c r="W573" t="s">
        <v>81</v>
      </c>
      <c r="X573" t="s">
        <v>750</v>
      </c>
      <c r="Y573" t="s">
        <v>127</v>
      </c>
      <c r="Z573" t="s">
        <v>68</v>
      </c>
      <c r="AA573" t="s">
        <v>2076</v>
      </c>
      <c r="AB573" t="s">
        <v>3344</v>
      </c>
      <c r="AC573">
        <v>4</v>
      </c>
      <c r="AD573" t="s">
        <v>56</v>
      </c>
      <c r="AE573" t="s">
        <v>3336</v>
      </c>
      <c r="AF573" t="s">
        <v>227</v>
      </c>
      <c r="AG573" t="s">
        <v>3337</v>
      </c>
      <c r="AH573" s="1">
        <v>45244</v>
      </c>
      <c r="AI573" s="1">
        <v>45249</v>
      </c>
      <c r="AJ573" s="1">
        <v>45255</v>
      </c>
      <c r="AK573" t="s">
        <v>3643</v>
      </c>
      <c r="AL573" t="s">
        <v>2075</v>
      </c>
    </row>
    <row r="574" spans="1:38" x14ac:dyDescent="0.35">
      <c r="A574" t="s">
        <v>2077</v>
      </c>
      <c r="B574" t="s">
        <v>862</v>
      </c>
      <c r="C574" t="s">
        <v>89</v>
      </c>
      <c r="D574" t="s">
        <v>183</v>
      </c>
      <c r="E574" t="s">
        <v>184</v>
      </c>
      <c r="F574" t="s">
        <v>185</v>
      </c>
      <c r="G574" t="s">
        <v>186</v>
      </c>
      <c r="H574">
        <v>120</v>
      </c>
      <c r="I574">
        <f>Sales_Transactions_Raw[[#This Row],[Unit_Price]]*Sales_Transactions_Raw[[#This Row],[Quantity]]</f>
        <v>120</v>
      </c>
      <c r="J574">
        <v>1</v>
      </c>
      <c r="K574">
        <v>15</v>
      </c>
      <c r="L574">
        <v>18</v>
      </c>
      <c r="M574">
        <v>102</v>
      </c>
      <c r="N574">
        <v>5</v>
      </c>
      <c r="O574">
        <v>5.0999999999999996</v>
      </c>
      <c r="P574">
        <v>49</v>
      </c>
      <c r="Q574">
        <v>107.1</v>
      </c>
      <c r="R574" t="s">
        <v>64</v>
      </c>
      <c r="S574" t="s">
        <v>49</v>
      </c>
      <c r="T574" t="s">
        <v>148</v>
      </c>
      <c r="U574" t="s">
        <v>50</v>
      </c>
      <c r="V574" t="s">
        <v>287</v>
      </c>
      <c r="W574" t="s">
        <v>95</v>
      </c>
      <c r="X574" t="s">
        <v>225</v>
      </c>
      <c r="Y574" t="s">
        <v>226</v>
      </c>
      <c r="Z574" t="s">
        <v>95</v>
      </c>
      <c r="AA574" t="s">
        <v>2079</v>
      </c>
      <c r="AB574" t="s">
        <v>3343</v>
      </c>
      <c r="AC574">
        <v>4</v>
      </c>
      <c r="AD574" t="s">
        <v>56</v>
      </c>
      <c r="AE574" t="s">
        <v>3336</v>
      </c>
      <c r="AF574" t="s">
        <v>72</v>
      </c>
      <c r="AG574" t="s">
        <v>3337</v>
      </c>
      <c r="AH574" s="1">
        <v>45444</v>
      </c>
      <c r="AI574" s="1">
        <v>45445</v>
      </c>
      <c r="AJ574" s="1">
        <v>45447</v>
      </c>
      <c r="AK574" t="s">
        <v>3478</v>
      </c>
      <c r="AL574" t="s">
        <v>2078</v>
      </c>
    </row>
    <row r="575" spans="1:38" x14ac:dyDescent="0.35">
      <c r="A575" t="s">
        <v>835</v>
      </c>
      <c r="B575" t="s">
        <v>414</v>
      </c>
      <c r="C575" t="s">
        <v>89</v>
      </c>
      <c r="D575" t="s">
        <v>193</v>
      </c>
      <c r="E575" t="s">
        <v>194</v>
      </c>
      <c r="F575" t="s">
        <v>146</v>
      </c>
      <c r="G575" t="s">
        <v>195</v>
      </c>
      <c r="H575">
        <v>3390</v>
      </c>
      <c r="I575">
        <f>Sales_Transactions_Raw[[#This Row],[Unit_Price]]*Sales_Transactions_Raw[[#This Row],[Quantity]]</f>
        <v>13560</v>
      </c>
      <c r="J575">
        <v>4</v>
      </c>
      <c r="K575">
        <v>5</v>
      </c>
      <c r="L575">
        <v>678</v>
      </c>
      <c r="M575">
        <v>12882</v>
      </c>
      <c r="N575">
        <v>12</v>
      </c>
      <c r="O575">
        <v>1545.84</v>
      </c>
      <c r="P575">
        <v>0</v>
      </c>
      <c r="Q575">
        <v>14427.84</v>
      </c>
      <c r="R575" t="s">
        <v>124</v>
      </c>
      <c r="S575" t="s">
        <v>49</v>
      </c>
      <c r="T575" t="s">
        <v>66</v>
      </c>
      <c r="U575" t="s">
        <v>196</v>
      </c>
      <c r="V575" t="s">
        <v>67</v>
      </c>
      <c r="W575" t="s">
        <v>68</v>
      </c>
      <c r="X575" t="s">
        <v>505</v>
      </c>
      <c r="Y575" t="s">
        <v>118</v>
      </c>
      <c r="Z575" t="s">
        <v>70</v>
      </c>
      <c r="AA575" t="s">
        <v>2081</v>
      </c>
      <c r="AB575" t="s">
        <v>3335</v>
      </c>
      <c r="AC575">
        <v>2</v>
      </c>
      <c r="AD575" t="s">
        <v>56</v>
      </c>
      <c r="AE575" t="s">
        <v>3336</v>
      </c>
      <c r="AF575" t="s">
        <v>84</v>
      </c>
      <c r="AG575" t="s">
        <v>3342</v>
      </c>
      <c r="AH575" s="1">
        <v>44928</v>
      </c>
      <c r="AI575" s="1">
        <v>44934</v>
      </c>
      <c r="AJ575" s="1">
        <v>44944</v>
      </c>
      <c r="AK575" t="s">
        <v>3644</v>
      </c>
      <c r="AL575" t="s">
        <v>2080</v>
      </c>
    </row>
    <row r="576" spans="1:38" x14ac:dyDescent="0.35">
      <c r="A576" t="s">
        <v>2082</v>
      </c>
      <c r="B576" t="s">
        <v>333</v>
      </c>
      <c r="C576" t="s">
        <v>43</v>
      </c>
      <c r="D576" t="s">
        <v>335</v>
      </c>
      <c r="E576" t="s">
        <v>336</v>
      </c>
      <c r="F576" t="s">
        <v>134</v>
      </c>
      <c r="G576" t="s">
        <v>135</v>
      </c>
      <c r="H576">
        <v>10510</v>
      </c>
      <c r="I576">
        <f>Sales_Transactions_Raw[[#This Row],[Unit_Price]]*Sales_Transactions_Raw[[#This Row],[Quantity]]</f>
        <v>52550</v>
      </c>
      <c r="J576">
        <v>5</v>
      </c>
      <c r="K576">
        <v>0</v>
      </c>
      <c r="L576">
        <v>0</v>
      </c>
      <c r="M576">
        <v>52550</v>
      </c>
      <c r="N576">
        <v>5</v>
      </c>
      <c r="O576">
        <v>2627.5</v>
      </c>
      <c r="P576">
        <v>0</v>
      </c>
      <c r="Q576">
        <v>55177.5</v>
      </c>
      <c r="R576" t="s">
        <v>106</v>
      </c>
      <c r="S576" t="s">
        <v>65</v>
      </c>
      <c r="T576" t="s">
        <v>115</v>
      </c>
      <c r="U576" t="s">
        <v>50</v>
      </c>
      <c r="V576" t="s">
        <v>297</v>
      </c>
      <c r="W576" t="s">
        <v>52</v>
      </c>
      <c r="X576" t="s">
        <v>611</v>
      </c>
      <c r="Y576" t="s">
        <v>97</v>
      </c>
      <c r="Z576" t="s">
        <v>95</v>
      </c>
      <c r="AA576" t="s">
        <v>2084</v>
      </c>
      <c r="AB576" t="s">
        <v>3339</v>
      </c>
      <c r="AC576">
        <v>5</v>
      </c>
      <c r="AD576" t="s">
        <v>56</v>
      </c>
      <c r="AE576" t="s">
        <v>3336</v>
      </c>
      <c r="AF576" t="s">
        <v>262</v>
      </c>
      <c r="AG576" t="s">
        <v>58</v>
      </c>
      <c r="AH576" s="1">
        <v>45368</v>
      </c>
      <c r="AI576" s="1">
        <v>45369</v>
      </c>
      <c r="AJ576" s="1">
        <v>44944</v>
      </c>
      <c r="AK576" t="s">
        <v>3488</v>
      </c>
      <c r="AL576" t="s">
        <v>2083</v>
      </c>
    </row>
    <row r="577" spans="1:38" x14ac:dyDescent="0.35">
      <c r="A577" t="s">
        <v>2085</v>
      </c>
      <c r="B577" t="s">
        <v>301</v>
      </c>
      <c r="C577" t="s">
        <v>43</v>
      </c>
      <c r="D577" t="s">
        <v>504</v>
      </c>
      <c r="E577" t="s">
        <v>91</v>
      </c>
      <c r="F577" t="s">
        <v>134</v>
      </c>
      <c r="G577" t="s">
        <v>330</v>
      </c>
      <c r="H577">
        <v>27220</v>
      </c>
      <c r="I577">
        <f>Sales_Transactions_Raw[[#This Row],[Unit_Price]]*Sales_Transactions_Raw[[#This Row],[Quantity]]</f>
        <v>81660</v>
      </c>
      <c r="J577">
        <v>3</v>
      </c>
      <c r="K577">
        <v>0</v>
      </c>
      <c r="L577">
        <v>0</v>
      </c>
      <c r="M577">
        <v>81660</v>
      </c>
      <c r="N577">
        <v>5</v>
      </c>
      <c r="O577">
        <v>4083</v>
      </c>
      <c r="P577">
        <v>0</v>
      </c>
      <c r="Q577">
        <v>85743</v>
      </c>
      <c r="R577" t="s">
        <v>124</v>
      </c>
      <c r="S577" t="s">
        <v>93</v>
      </c>
      <c r="T577" t="s">
        <v>148</v>
      </c>
      <c r="U577" t="s">
        <v>214</v>
      </c>
      <c r="V577" t="s">
        <v>242</v>
      </c>
      <c r="W577" t="s">
        <v>70</v>
      </c>
      <c r="X577" t="s">
        <v>306</v>
      </c>
      <c r="Y577" t="s">
        <v>97</v>
      </c>
      <c r="Z577" t="s">
        <v>95</v>
      </c>
      <c r="AA577" t="s">
        <v>2087</v>
      </c>
      <c r="AB577" t="s">
        <v>3335</v>
      </c>
      <c r="AC577">
        <v>4</v>
      </c>
      <c r="AD577" t="s">
        <v>56</v>
      </c>
      <c r="AE577" t="s">
        <v>3336</v>
      </c>
      <c r="AF577" t="s">
        <v>279</v>
      </c>
      <c r="AG577" t="s">
        <v>3342</v>
      </c>
      <c r="AH577" s="1">
        <v>44959</v>
      </c>
      <c r="AI577" s="1">
        <v>44964</v>
      </c>
      <c r="AJ577" s="1">
        <v>44944</v>
      </c>
      <c r="AK577" t="s">
        <v>3597</v>
      </c>
      <c r="AL577" t="s">
        <v>2086</v>
      </c>
    </row>
    <row r="578" spans="1:38" x14ac:dyDescent="0.35">
      <c r="A578" t="s">
        <v>2088</v>
      </c>
      <c r="B578" t="s">
        <v>656</v>
      </c>
      <c r="C578" t="s">
        <v>43</v>
      </c>
      <c r="D578" t="s">
        <v>426</v>
      </c>
      <c r="E578" t="s">
        <v>427</v>
      </c>
      <c r="F578" t="s">
        <v>134</v>
      </c>
      <c r="G578" t="s">
        <v>305</v>
      </c>
      <c r="H578">
        <v>42730</v>
      </c>
      <c r="I578">
        <f>Sales_Transactions_Raw[[#This Row],[Unit_Price]]*Sales_Transactions_Raw[[#This Row],[Quantity]]</f>
        <v>128190</v>
      </c>
      <c r="J578">
        <v>3</v>
      </c>
      <c r="K578">
        <v>0</v>
      </c>
      <c r="L578">
        <v>0</v>
      </c>
      <c r="M578">
        <v>128190</v>
      </c>
      <c r="N578">
        <v>5</v>
      </c>
      <c r="O578">
        <v>6409.5</v>
      </c>
      <c r="P578">
        <v>0</v>
      </c>
      <c r="Q578">
        <v>134599.5</v>
      </c>
      <c r="R578" t="s">
        <v>48</v>
      </c>
      <c r="S578" t="s">
        <v>49</v>
      </c>
      <c r="T578" t="s">
        <v>115</v>
      </c>
      <c r="U578" t="s">
        <v>196</v>
      </c>
      <c r="V578" t="s">
        <v>80</v>
      </c>
      <c r="W578" t="s">
        <v>81</v>
      </c>
      <c r="X578" t="s">
        <v>505</v>
      </c>
      <c r="Y578" t="s">
        <v>118</v>
      </c>
      <c r="Z578" t="s">
        <v>70</v>
      </c>
      <c r="AA578" t="s">
        <v>2090</v>
      </c>
      <c r="AB578" t="s">
        <v>3339</v>
      </c>
      <c r="AC578">
        <v>3</v>
      </c>
      <c r="AD578" t="s">
        <v>56</v>
      </c>
      <c r="AE578" t="s">
        <v>3336</v>
      </c>
      <c r="AF578" t="s">
        <v>227</v>
      </c>
      <c r="AG578" t="s">
        <v>85</v>
      </c>
      <c r="AH578" s="1">
        <v>45271</v>
      </c>
      <c r="AI578" s="1">
        <v>45273</v>
      </c>
      <c r="AJ578" s="1">
        <v>45282</v>
      </c>
      <c r="AK578" t="s">
        <v>3433</v>
      </c>
      <c r="AL578" t="s">
        <v>2089</v>
      </c>
    </row>
    <row r="579" spans="1:38" x14ac:dyDescent="0.35">
      <c r="A579" t="s">
        <v>2091</v>
      </c>
      <c r="B579" t="s">
        <v>781</v>
      </c>
      <c r="C579" t="s">
        <v>43</v>
      </c>
      <c r="D579" t="s">
        <v>630</v>
      </c>
      <c r="E579" t="s">
        <v>450</v>
      </c>
      <c r="F579" t="s">
        <v>134</v>
      </c>
      <c r="G579" t="s">
        <v>497</v>
      </c>
      <c r="H579">
        <v>29347.846790890268</v>
      </c>
      <c r="I579">
        <f>Sales_Transactions_Raw[[#This Row],[Unit_Price]]*Sales_Transactions_Raw[[#This Row],[Quantity]]</f>
        <v>29347.846790890268</v>
      </c>
      <c r="J579">
        <v>1</v>
      </c>
      <c r="K579">
        <v>0</v>
      </c>
      <c r="L579">
        <v>0</v>
      </c>
      <c r="M579">
        <v>50300</v>
      </c>
      <c r="N579">
        <v>5</v>
      </c>
      <c r="O579">
        <v>2515</v>
      </c>
      <c r="P579">
        <v>0</v>
      </c>
      <c r="Q579">
        <v>52815</v>
      </c>
      <c r="R579" t="s">
        <v>92</v>
      </c>
      <c r="S579" t="s">
        <v>107</v>
      </c>
      <c r="T579" t="s">
        <v>66</v>
      </c>
      <c r="U579" t="s">
        <v>50</v>
      </c>
      <c r="V579" t="s">
        <v>197</v>
      </c>
      <c r="W579" t="s">
        <v>68</v>
      </c>
      <c r="X579" t="s">
        <v>198</v>
      </c>
      <c r="Y579" t="s">
        <v>199</v>
      </c>
      <c r="Z579" t="s">
        <v>52</v>
      </c>
      <c r="AA579" t="s">
        <v>2093</v>
      </c>
      <c r="AB579" t="s">
        <v>3335</v>
      </c>
      <c r="AC579">
        <v>4</v>
      </c>
      <c r="AD579" t="s">
        <v>56</v>
      </c>
      <c r="AE579" t="s">
        <v>3336</v>
      </c>
      <c r="AF579" t="s">
        <v>279</v>
      </c>
      <c r="AG579" t="s">
        <v>58</v>
      </c>
      <c r="AH579" s="1">
        <v>45215</v>
      </c>
      <c r="AI579" s="1">
        <v>45218</v>
      </c>
      <c r="AJ579" s="1">
        <v>45224</v>
      </c>
      <c r="AK579" t="s">
        <v>3519</v>
      </c>
      <c r="AL579" t="s">
        <v>2092</v>
      </c>
    </row>
    <row r="580" spans="1:38" x14ac:dyDescent="0.35">
      <c r="A580" t="s">
        <v>2094</v>
      </c>
      <c r="B580" t="s">
        <v>842</v>
      </c>
      <c r="C580" t="s">
        <v>43</v>
      </c>
      <c r="D580" t="s">
        <v>266</v>
      </c>
      <c r="E580" t="s">
        <v>267</v>
      </c>
      <c r="F580" t="s">
        <v>211</v>
      </c>
      <c r="G580" t="s">
        <v>268</v>
      </c>
      <c r="H580">
        <v>57440</v>
      </c>
      <c r="I580">
        <f>Sales_Transactions_Raw[[#This Row],[Unit_Price]]*Sales_Transactions_Raw[[#This Row],[Quantity]]</f>
        <v>172320</v>
      </c>
      <c r="J580">
        <v>3</v>
      </c>
      <c r="K580">
        <v>0</v>
      </c>
      <c r="L580">
        <v>0</v>
      </c>
      <c r="M580">
        <v>172320</v>
      </c>
      <c r="N580">
        <v>5</v>
      </c>
      <c r="O580">
        <v>8616</v>
      </c>
      <c r="P580">
        <v>0</v>
      </c>
      <c r="Q580">
        <v>180936</v>
      </c>
      <c r="R580" t="s">
        <v>48</v>
      </c>
      <c r="S580" t="s">
        <v>125</v>
      </c>
      <c r="T580" t="s">
        <v>719</v>
      </c>
      <c r="U580" t="s">
        <v>108</v>
      </c>
      <c r="V580" t="s">
        <v>80</v>
      </c>
      <c r="W580" t="s">
        <v>81</v>
      </c>
      <c r="X580" t="s">
        <v>626</v>
      </c>
      <c r="Y580" t="s">
        <v>289</v>
      </c>
      <c r="Z580" t="s">
        <v>52</v>
      </c>
      <c r="AA580" t="s">
        <v>2096</v>
      </c>
      <c r="AB580" t="s">
        <v>3338</v>
      </c>
      <c r="AC580">
        <v>4</v>
      </c>
      <c r="AD580" t="s">
        <v>56</v>
      </c>
      <c r="AE580" t="s">
        <v>3336</v>
      </c>
      <c r="AF580" t="s">
        <v>262</v>
      </c>
      <c r="AG580" t="s">
        <v>58</v>
      </c>
      <c r="AH580" s="1">
        <v>45238</v>
      </c>
      <c r="AI580" s="1">
        <v>45244</v>
      </c>
      <c r="AJ580" s="1">
        <v>45253</v>
      </c>
      <c r="AK580" t="s">
        <v>3624</v>
      </c>
      <c r="AL580" t="s">
        <v>2095</v>
      </c>
    </row>
    <row r="581" spans="1:38" x14ac:dyDescent="0.35">
      <c r="A581" t="s">
        <v>2097</v>
      </c>
      <c r="B581" t="s">
        <v>858</v>
      </c>
      <c r="C581" t="s">
        <v>43</v>
      </c>
      <c r="D581" t="s">
        <v>426</v>
      </c>
      <c r="E581" t="s">
        <v>427</v>
      </c>
      <c r="F581" t="s">
        <v>134</v>
      </c>
      <c r="G581" t="s">
        <v>305</v>
      </c>
      <c r="H581">
        <v>29347.846790890268</v>
      </c>
      <c r="I581">
        <f>Sales_Transactions_Raw[[#This Row],[Unit_Price]]*Sales_Transactions_Raw[[#This Row],[Quantity]]</f>
        <v>117391.38716356107</v>
      </c>
      <c r="J581">
        <v>4</v>
      </c>
      <c r="K581">
        <v>0</v>
      </c>
      <c r="L581">
        <v>0</v>
      </c>
      <c r="M581">
        <v>183200</v>
      </c>
      <c r="N581">
        <v>5</v>
      </c>
      <c r="O581">
        <v>9160</v>
      </c>
      <c r="P581">
        <v>0</v>
      </c>
      <c r="Q581">
        <v>192360</v>
      </c>
      <c r="R581" t="s">
        <v>64</v>
      </c>
      <c r="S581" t="s">
        <v>125</v>
      </c>
      <c r="T581" t="s">
        <v>115</v>
      </c>
      <c r="U581" t="s">
        <v>108</v>
      </c>
      <c r="V581" t="s">
        <v>297</v>
      </c>
      <c r="W581" t="s">
        <v>52</v>
      </c>
      <c r="X581" t="s">
        <v>443</v>
      </c>
      <c r="Y581" t="s">
        <v>97</v>
      </c>
      <c r="Z581" t="s">
        <v>95</v>
      </c>
      <c r="AA581" t="s">
        <v>2099</v>
      </c>
      <c r="AB581" t="s">
        <v>3341</v>
      </c>
      <c r="AC581">
        <v>4</v>
      </c>
      <c r="AD581" t="s">
        <v>179</v>
      </c>
      <c r="AE581" t="s">
        <v>3336</v>
      </c>
      <c r="AF581" t="s">
        <v>227</v>
      </c>
      <c r="AG581" t="s">
        <v>58</v>
      </c>
      <c r="AH581" s="1">
        <v>45412</v>
      </c>
      <c r="AI581" s="1">
        <v>45414</v>
      </c>
      <c r="AJ581" s="1">
        <v>45418</v>
      </c>
      <c r="AK581" t="s">
        <v>3598</v>
      </c>
      <c r="AL581" t="s">
        <v>2098</v>
      </c>
    </row>
    <row r="582" spans="1:38" x14ac:dyDescent="0.35">
      <c r="A582" t="s">
        <v>2100</v>
      </c>
      <c r="B582" t="s">
        <v>333</v>
      </c>
      <c r="C582" t="s">
        <v>43</v>
      </c>
      <c r="D582" t="s">
        <v>490</v>
      </c>
      <c r="E582" t="s">
        <v>91</v>
      </c>
      <c r="F582" t="s">
        <v>46</v>
      </c>
      <c r="G582" t="s">
        <v>369</v>
      </c>
      <c r="H582">
        <v>70990</v>
      </c>
      <c r="I582">
        <f>Sales_Transactions_Raw[[#This Row],[Unit_Price]]*Sales_Transactions_Raw[[#This Row],[Quantity]]</f>
        <v>212970</v>
      </c>
      <c r="J582">
        <v>3</v>
      </c>
      <c r="K582">
        <v>0</v>
      </c>
      <c r="L582">
        <v>0</v>
      </c>
      <c r="M582">
        <v>354950</v>
      </c>
      <c r="N582">
        <v>18</v>
      </c>
      <c r="O582">
        <v>63891</v>
      </c>
      <c r="P582">
        <v>0</v>
      </c>
      <c r="Q582">
        <v>418841</v>
      </c>
      <c r="R582" t="s">
        <v>92</v>
      </c>
      <c r="S582" t="s">
        <v>65</v>
      </c>
      <c r="T582" t="s">
        <v>115</v>
      </c>
      <c r="U582" t="s">
        <v>108</v>
      </c>
      <c r="V582" t="s">
        <v>242</v>
      </c>
      <c r="W582" t="s">
        <v>70</v>
      </c>
      <c r="X582" t="s">
        <v>510</v>
      </c>
      <c r="Y582" t="s">
        <v>199</v>
      </c>
      <c r="Z582" t="s">
        <v>52</v>
      </c>
      <c r="AA582" t="s">
        <v>2102</v>
      </c>
      <c r="AB582" t="s">
        <v>3338</v>
      </c>
      <c r="AC582">
        <v>3</v>
      </c>
      <c r="AD582" t="s">
        <v>179</v>
      </c>
      <c r="AE582" t="s">
        <v>180</v>
      </c>
      <c r="AF582" t="s">
        <v>262</v>
      </c>
      <c r="AG582" t="s">
        <v>3342</v>
      </c>
      <c r="AH582" s="1">
        <v>45342</v>
      </c>
      <c r="AI582" s="1">
        <v>45348</v>
      </c>
      <c r="AJ582" s="1">
        <v>45355</v>
      </c>
      <c r="AK582" t="s">
        <v>3645</v>
      </c>
      <c r="AL582" t="s">
        <v>2101</v>
      </c>
    </row>
    <row r="583" spans="1:38" x14ac:dyDescent="0.35">
      <c r="A583" t="s">
        <v>2103</v>
      </c>
      <c r="B583" t="s">
        <v>101</v>
      </c>
      <c r="C583" t="s">
        <v>43</v>
      </c>
      <c r="D583" t="s">
        <v>402</v>
      </c>
      <c r="E583" t="s">
        <v>403</v>
      </c>
      <c r="F583" t="s">
        <v>146</v>
      </c>
      <c r="G583" t="s">
        <v>223</v>
      </c>
      <c r="H583">
        <v>1850</v>
      </c>
      <c r="I583">
        <f>Sales_Transactions_Raw[[#This Row],[Unit_Price]]*Sales_Transactions_Raw[[#This Row],[Quantity]]</f>
        <v>1850</v>
      </c>
      <c r="J583">
        <v>1</v>
      </c>
      <c r="K583">
        <v>20</v>
      </c>
      <c r="L583">
        <v>370</v>
      </c>
      <c r="M583">
        <v>1480</v>
      </c>
      <c r="N583">
        <v>12</v>
      </c>
      <c r="O583">
        <v>177.6</v>
      </c>
      <c r="P583">
        <v>99</v>
      </c>
      <c r="Q583">
        <v>1657.6</v>
      </c>
      <c r="R583" t="s">
        <v>79</v>
      </c>
      <c r="S583" t="s">
        <v>125</v>
      </c>
      <c r="T583" t="s">
        <v>115</v>
      </c>
      <c r="U583" t="s">
        <v>196</v>
      </c>
      <c r="V583" t="s">
        <v>197</v>
      </c>
      <c r="W583" t="s">
        <v>68</v>
      </c>
      <c r="X583" t="s">
        <v>370</v>
      </c>
      <c r="Y583" t="s">
        <v>151</v>
      </c>
      <c r="Z583" t="s">
        <v>81</v>
      </c>
      <c r="AA583" t="s">
        <v>2105</v>
      </c>
      <c r="AB583" t="s">
        <v>3335</v>
      </c>
      <c r="AC583">
        <v>3</v>
      </c>
      <c r="AD583" t="s">
        <v>56</v>
      </c>
      <c r="AE583" t="s">
        <v>3336</v>
      </c>
      <c r="AF583" t="s">
        <v>279</v>
      </c>
      <c r="AG583" t="s">
        <v>3342</v>
      </c>
      <c r="AH583" s="1">
        <v>45360</v>
      </c>
      <c r="AI583" s="1">
        <v>45367</v>
      </c>
      <c r="AJ583" s="1">
        <v>45369</v>
      </c>
      <c r="AK583" t="s">
        <v>3349</v>
      </c>
      <c r="AL583" t="s">
        <v>2104</v>
      </c>
    </row>
    <row r="584" spans="1:38" x14ac:dyDescent="0.35">
      <c r="A584" t="s">
        <v>2106</v>
      </c>
      <c r="B584" t="s">
        <v>101</v>
      </c>
      <c r="C584" t="s">
        <v>43</v>
      </c>
      <c r="D584" t="s">
        <v>294</v>
      </c>
      <c r="E584" t="s">
        <v>295</v>
      </c>
      <c r="F584" t="s">
        <v>146</v>
      </c>
      <c r="G584" t="s">
        <v>296</v>
      </c>
      <c r="H584">
        <v>14010</v>
      </c>
      <c r="I584">
        <f>Sales_Transactions_Raw[[#This Row],[Unit_Price]]*Sales_Transactions_Raw[[#This Row],[Quantity]]</f>
        <v>14010</v>
      </c>
      <c r="J584">
        <v>1</v>
      </c>
      <c r="K584">
        <v>15</v>
      </c>
      <c r="L584">
        <v>2101.5</v>
      </c>
      <c r="M584">
        <v>11908.5</v>
      </c>
      <c r="N584">
        <v>12</v>
      </c>
      <c r="O584">
        <v>1429.02</v>
      </c>
      <c r="P584">
        <v>0</v>
      </c>
      <c r="Q584">
        <v>13337.52</v>
      </c>
      <c r="R584" t="s">
        <v>48</v>
      </c>
      <c r="S584" t="s">
        <v>107</v>
      </c>
      <c r="T584" t="s">
        <v>115</v>
      </c>
      <c r="U584" t="s">
        <v>196</v>
      </c>
      <c r="V584" t="s">
        <v>242</v>
      </c>
      <c r="W584" t="s">
        <v>70</v>
      </c>
      <c r="X584" t="s">
        <v>578</v>
      </c>
      <c r="Y584" t="s">
        <v>54</v>
      </c>
      <c r="Z584" t="s">
        <v>70</v>
      </c>
      <c r="AA584" t="s">
        <v>2108</v>
      </c>
      <c r="AB584" t="s">
        <v>3335</v>
      </c>
      <c r="AC584">
        <v>3</v>
      </c>
      <c r="AD584" t="s">
        <v>56</v>
      </c>
      <c r="AE584" t="s">
        <v>3336</v>
      </c>
      <c r="AF584" t="s">
        <v>262</v>
      </c>
      <c r="AG584" t="s">
        <v>3342</v>
      </c>
      <c r="AH584" s="1">
        <v>45237</v>
      </c>
      <c r="AI584" s="1">
        <v>45244</v>
      </c>
      <c r="AJ584" s="1">
        <v>45252</v>
      </c>
      <c r="AK584" t="s">
        <v>3349</v>
      </c>
      <c r="AL584" t="s">
        <v>2107</v>
      </c>
    </row>
    <row r="585" spans="1:38" x14ac:dyDescent="0.35">
      <c r="A585" t="s">
        <v>2109</v>
      </c>
      <c r="B585" t="s">
        <v>247</v>
      </c>
      <c r="C585" t="s">
        <v>43</v>
      </c>
      <c r="D585" t="s">
        <v>303</v>
      </c>
      <c r="E585" t="s">
        <v>304</v>
      </c>
      <c r="F585" t="s">
        <v>134</v>
      </c>
      <c r="G585" t="s">
        <v>305</v>
      </c>
      <c r="H585">
        <v>29347.846790890268</v>
      </c>
      <c r="I585">
        <f>Sales_Transactions_Raw[[#This Row],[Unit_Price]]*Sales_Transactions_Raw[[#This Row],[Quantity]]</f>
        <v>88043.540372670803</v>
      </c>
      <c r="J585">
        <v>3</v>
      </c>
      <c r="K585">
        <v>5</v>
      </c>
      <c r="L585">
        <v>5877</v>
      </c>
      <c r="M585">
        <v>111663</v>
      </c>
      <c r="N585">
        <v>5</v>
      </c>
      <c r="O585">
        <v>5583.15</v>
      </c>
      <c r="P585">
        <v>0</v>
      </c>
      <c r="Q585">
        <v>117246.15</v>
      </c>
      <c r="R585" t="s">
        <v>92</v>
      </c>
      <c r="S585" t="s">
        <v>125</v>
      </c>
      <c r="T585" t="s">
        <v>115</v>
      </c>
      <c r="U585" t="s">
        <v>196</v>
      </c>
      <c r="V585" t="s">
        <v>177</v>
      </c>
      <c r="W585" t="s">
        <v>81</v>
      </c>
      <c r="X585" t="s">
        <v>277</v>
      </c>
      <c r="Y585" t="s">
        <v>127</v>
      </c>
      <c r="Z585" t="s">
        <v>68</v>
      </c>
      <c r="AA585" t="s">
        <v>2111</v>
      </c>
      <c r="AB585" t="s">
        <v>3335</v>
      </c>
      <c r="AC585">
        <v>4</v>
      </c>
      <c r="AD585" t="s">
        <v>56</v>
      </c>
      <c r="AE585" t="s">
        <v>3336</v>
      </c>
      <c r="AF585" t="s">
        <v>153</v>
      </c>
      <c r="AG585" t="s">
        <v>85</v>
      </c>
      <c r="AH585" s="1">
        <v>45329</v>
      </c>
      <c r="AI585" s="1">
        <v>45332</v>
      </c>
      <c r="AJ585" s="1">
        <v>45340</v>
      </c>
      <c r="AK585" t="s">
        <v>3418</v>
      </c>
      <c r="AL585" t="s">
        <v>2110</v>
      </c>
    </row>
    <row r="586" spans="1:38" x14ac:dyDescent="0.35">
      <c r="A586" t="s">
        <v>2112</v>
      </c>
      <c r="B586" t="s">
        <v>520</v>
      </c>
      <c r="C586" t="s">
        <v>157</v>
      </c>
      <c r="D586" t="s">
        <v>249</v>
      </c>
      <c r="E586" t="s">
        <v>250</v>
      </c>
      <c r="F586" t="s">
        <v>211</v>
      </c>
      <c r="G586" t="s">
        <v>251</v>
      </c>
      <c r="H586">
        <v>18500</v>
      </c>
      <c r="I586">
        <f>Sales_Transactions_Raw[[#This Row],[Unit_Price]]*Sales_Transactions_Raw[[#This Row],[Quantity]]</f>
        <v>18500</v>
      </c>
      <c r="J586">
        <v>1</v>
      </c>
      <c r="K586">
        <v>10</v>
      </c>
      <c r="L586">
        <v>1850</v>
      </c>
      <c r="M586">
        <v>16650</v>
      </c>
      <c r="N586">
        <v>5</v>
      </c>
      <c r="O586">
        <v>832.5</v>
      </c>
      <c r="P586">
        <v>0</v>
      </c>
      <c r="Q586">
        <v>17482.5</v>
      </c>
      <c r="R586" t="s">
        <v>106</v>
      </c>
      <c r="S586" t="s">
        <v>49</v>
      </c>
      <c r="T586" t="s">
        <v>115</v>
      </c>
      <c r="U586" t="s">
        <v>50</v>
      </c>
      <c r="V586" t="s">
        <v>94</v>
      </c>
      <c r="W586" t="s">
        <v>95</v>
      </c>
      <c r="X586" t="s">
        <v>515</v>
      </c>
      <c r="Y586" t="s">
        <v>82</v>
      </c>
      <c r="Z586" t="s">
        <v>52</v>
      </c>
      <c r="AA586" t="s">
        <v>2114</v>
      </c>
      <c r="AB586" t="s">
        <v>3338</v>
      </c>
      <c r="AC586">
        <v>4</v>
      </c>
      <c r="AD586" t="s">
        <v>56</v>
      </c>
      <c r="AE586" t="s">
        <v>3336</v>
      </c>
      <c r="AF586" t="s">
        <v>84</v>
      </c>
      <c r="AG586" t="s">
        <v>3337</v>
      </c>
      <c r="AH586" s="1">
        <v>45010</v>
      </c>
      <c r="AI586" s="1">
        <v>45012</v>
      </c>
      <c r="AJ586" s="1">
        <v>45015</v>
      </c>
      <c r="AK586" t="s">
        <v>3646</v>
      </c>
      <c r="AL586" t="s">
        <v>2113</v>
      </c>
    </row>
    <row r="587" spans="1:38" x14ac:dyDescent="0.35">
      <c r="A587" t="s">
        <v>2115</v>
      </c>
      <c r="B587" t="s">
        <v>202</v>
      </c>
      <c r="C587" t="s">
        <v>89</v>
      </c>
      <c r="D587" t="s">
        <v>62</v>
      </c>
      <c r="E587" t="s">
        <v>45</v>
      </c>
      <c r="F587" t="s">
        <v>46</v>
      </c>
      <c r="G587" t="s">
        <v>63</v>
      </c>
      <c r="H587">
        <v>63370</v>
      </c>
      <c r="I587">
        <f>Sales_Transactions_Raw[[#This Row],[Unit_Price]]*Sales_Transactions_Raw[[#This Row],[Quantity]]</f>
        <v>126740</v>
      </c>
      <c r="J587">
        <v>2</v>
      </c>
      <c r="K587">
        <v>10</v>
      </c>
      <c r="L587">
        <v>12674</v>
      </c>
      <c r="M587">
        <v>114066</v>
      </c>
      <c r="N587">
        <v>18</v>
      </c>
      <c r="O587">
        <v>20531.88</v>
      </c>
      <c r="P587">
        <v>0</v>
      </c>
      <c r="Q587">
        <v>134597.88</v>
      </c>
      <c r="R587" t="s">
        <v>106</v>
      </c>
      <c r="S587" t="s">
        <v>65</v>
      </c>
      <c r="T587" t="s">
        <v>66</v>
      </c>
      <c r="U587" t="s">
        <v>214</v>
      </c>
      <c r="V587" t="s">
        <v>149</v>
      </c>
      <c r="W587" t="s">
        <v>81</v>
      </c>
      <c r="X587" t="s">
        <v>381</v>
      </c>
      <c r="Y587" t="s">
        <v>199</v>
      </c>
      <c r="Z587" t="s">
        <v>52</v>
      </c>
      <c r="AA587" t="s">
        <v>2117</v>
      </c>
      <c r="AB587" t="s">
        <v>3341</v>
      </c>
      <c r="AC587">
        <v>3</v>
      </c>
      <c r="AD587" t="s">
        <v>56</v>
      </c>
      <c r="AE587" t="s">
        <v>3336</v>
      </c>
      <c r="AF587" t="s">
        <v>72</v>
      </c>
      <c r="AG587" t="s">
        <v>3342</v>
      </c>
      <c r="AH587" s="1">
        <v>45334</v>
      </c>
      <c r="AI587" s="1">
        <v>45341</v>
      </c>
      <c r="AJ587" s="1">
        <v>45347</v>
      </c>
      <c r="AK587" t="s">
        <v>3359</v>
      </c>
      <c r="AL587" t="s">
        <v>2116</v>
      </c>
    </row>
    <row r="588" spans="1:38" x14ac:dyDescent="0.35">
      <c r="A588" t="s">
        <v>2118</v>
      </c>
      <c r="B588" t="s">
        <v>609</v>
      </c>
      <c r="C588" t="s">
        <v>157</v>
      </c>
      <c r="D588" t="s">
        <v>209</v>
      </c>
      <c r="E588" t="s">
        <v>210</v>
      </c>
      <c r="F588" t="s">
        <v>211</v>
      </c>
      <c r="G588" t="s">
        <v>212</v>
      </c>
      <c r="H588">
        <v>4790</v>
      </c>
      <c r="I588">
        <f>Sales_Transactions_Raw[[#This Row],[Unit_Price]]*Sales_Transactions_Raw[[#This Row],[Quantity]]</f>
        <v>9580</v>
      </c>
      <c r="J588">
        <v>2</v>
      </c>
      <c r="K588">
        <v>5</v>
      </c>
      <c r="L588">
        <v>479</v>
      </c>
      <c r="M588">
        <v>9101</v>
      </c>
      <c r="N588">
        <v>5</v>
      </c>
      <c r="O588">
        <v>455.05</v>
      </c>
      <c r="P588">
        <v>0</v>
      </c>
      <c r="Q588">
        <v>9556.0499999999993</v>
      </c>
      <c r="R588" t="s">
        <v>92</v>
      </c>
      <c r="S588" t="s">
        <v>107</v>
      </c>
      <c r="T588" t="s">
        <v>115</v>
      </c>
      <c r="U588" t="s">
        <v>196</v>
      </c>
      <c r="V588" t="s">
        <v>242</v>
      </c>
      <c r="W588" t="s">
        <v>70</v>
      </c>
      <c r="X588" t="s">
        <v>288</v>
      </c>
      <c r="Y588" t="s">
        <v>289</v>
      </c>
      <c r="Z588" t="s">
        <v>52</v>
      </c>
      <c r="AA588" t="s">
        <v>2120</v>
      </c>
      <c r="AB588" t="s">
        <v>3341</v>
      </c>
      <c r="AC588">
        <v>5</v>
      </c>
      <c r="AD588" t="s">
        <v>56</v>
      </c>
      <c r="AE588" t="s">
        <v>3336</v>
      </c>
      <c r="AF588" t="s">
        <v>279</v>
      </c>
      <c r="AG588" t="s">
        <v>58</v>
      </c>
      <c r="AH588" s="1">
        <v>45255</v>
      </c>
      <c r="AI588" s="1">
        <v>44969</v>
      </c>
      <c r="AJ588" s="1">
        <v>45089</v>
      </c>
      <c r="AK588" t="s">
        <v>3496</v>
      </c>
      <c r="AL588" t="s">
        <v>2119</v>
      </c>
    </row>
    <row r="589" spans="1:38" x14ac:dyDescent="0.35">
      <c r="A589" t="s">
        <v>2121</v>
      </c>
      <c r="B589" t="s">
        <v>447</v>
      </c>
      <c r="C589" t="s">
        <v>43</v>
      </c>
      <c r="D589" t="s">
        <v>183</v>
      </c>
      <c r="E589" t="s">
        <v>184</v>
      </c>
      <c r="F589" t="s">
        <v>185</v>
      </c>
      <c r="G589" t="s">
        <v>186</v>
      </c>
      <c r="H589">
        <v>110</v>
      </c>
      <c r="I589">
        <f>Sales_Transactions_Raw[[#This Row],[Unit_Price]]*Sales_Transactions_Raw[[#This Row],[Quantity]]</f>
        <v>110</v>
      </c>
      <c r="J589">
        <v>1</v>
      </c>
      <c r="K589">
        <v>15</v>
      </c>
      <c r="L589">
        <v>16.5</v>
      </c>
      <c r="M589">
        <v>93.5</v>
      </c>
      <c r="N589">
        <v>5</v>
      </c>
      <c r="O589">
        <v>4.67</v>
      </c>
      <c r="P589">
        <v>149</v>
      </c>
      <c r="Q589">
        <v>98.17</v>
      </c>
      <c r="R589" t="s">
        <v>79</v>
      </c>
      <c r="S589" t="s">
        <v>49</v>
      </c>
      <c r="T589" t="s">
        <v>115</v>
      </c>
      <c r="U589" t="s">
        <v>214</v>
      </c>
      <c r="V589" t="s">
        <v>287</v>
      </c>
      <c r="W589" t="s">
        <v>95</v>
      </c>
      <c r="X589" t="s">
        <v>362</v>
      </c>
      <c r="Y589" t="s">
        <v>118</v>
      </c>
      <c r="Z589" t="s">
        <v>70</v>
      </c>
      <c r="AB589" t="s">
        <v>3341</v>
      </c>
      <c r="AC589">
        <v>3</v>
      </c>
      <c r="AD589" t="s">
        <v>56</v>
      </c>
      <c r="AE589" t="s">
        <v>3336</v>
      </c>
      <c r="AF589" t="s">
        <v>57</v>
      </c>
      <c r="AG589" t="s">
        <v>3337</v>
      </c>
      <c r="AH589" s="1">
        <v>45199</v>
      </c>
      <c r="AI589" s="1">
        <v>44969</v>
      </c>
      <c r="AJ589" s="1">
        <v>45208</v>
      </c>
      <c r="AK589" t="s">
        <v>3434</v>
      </c>
      <c r="AL589" t="s">
        <v>2122</v>
      </c>
    </row>
    <row r="590" spans="1:38" x14ac:dyDescent="0.35">
      <c r="A590" t="s">
        <v>2123</v>
      </c>
      <c r="B590" t="s">
        <v>524</v>
      </c>
      <c r="C590" t="s">
        <v>89</v>
      </c>
      <c r="D590" t="s">
        <v>294</v>
      </c>
      <c r="E590" t="s">
        <v>295</v>
      </c>
      <c r="F590" t="s">
        <v>146</v>
      </c>
      <c r="G590" t="s">
        <v>296</v>
      </c>
      <c r="H590">
        <v>14780</v>
      </c>
      <c r="I590">
        <f>Sales_Transactions_Raw[[#This Row],[Unit_Price]]*Sales_Transactions_Raw[[#This Row],[Quantity]]</f>
        <v>14780</v>
      </c>
      <c r="J590">
        <v>1</v>
      </c>
      <c r="K590">
        <v>0</v>
      </c>
      <c r="L590">
        <v>0</v>
      </c>
      <c r="M590">
        <v>14780</v>
      </c>
      <c r="N590">
        <v>12</v>
      </c>
      <c r="O590">
        <v>1773.6</v>
      </c>
      <c r="P590">
        <v>0</v>
      </c>
      <c r="Q590">
        <v>16553.599999999999</v>
      </c>
      <c r="R590" t="s">
        <v>79</v>
      </c>
      <c r="S590" t="s">
        <v>107</v>
      </c>
      <c r="T590" t="s">
        <v>115</v>
      </c>
      <c r="U590" t="s">
        <v>108</v>
      </c>
      <c r="V590" t="s">
        <v>116</v>
      </c>
      <c r="W590" t="s">
        <v>696</v>
      </c>
      <c r="X590" t="s">
        <v>225</v>
      </c>
      <c r="Y590" t="s">
        <v>226</v>
      </c>
      <c r="Z590" t="s">
        <v>95</v>
      </c>
      <c r="AA590" t="s">
        <v>2125</v>
      </c>
      <c r="AB590" t="s">
        <v>3344</v>
      </c>
      <c r="AC590">
        <v>3</v>
      </c>
      <c r="AD590" t="s">
        <v>56</v>
      </c>
      <c r="AE590" t="s">
        <v>3336</v>
      </c>
      <c r="AF590" t="s">
        <v>84</v>
      </c>
      <c r="AG590" t="s">
        <v>58</v>
      </c>
      <c r="AH590" s="1">
        <v>45032</v>
      </c>
      <c r="AI590" s="1">
        <v>45034</v>
      </c>
      <c r="AJ590" s="1">
        <v>45041</v>
      </c>
      <c r="AK590" t="s">
        <v>3620</v>
      </c>
      <c r="AL590" t="s">
        <v>2124</v>
      </c>
    </row>
    <row r="591" spans="1:38" x14ac:dyDescent="0.35">
      <c r="A591" t="s">
        <v>2126</v>
      </c>
      <c r="B591" t="s">
        <v>753</v>
      </c>
      <c r="C591" t="s">
        <v>43</v>
      </c>
      <c r="D591" t="s">
        <v>345</v>
      </c>
      <c r="E591" t="s">
        <v>346</v>
      </c>
      <c r="F591" t="s">
        <v>46</v>
      </c>
      <c r="G591" t="s">
        <v>63</v>
      </c>
      <c r="H591">
        <v>122910</v>
      </c>
      <c r="I591">
        <f>Sales_Transactions_Raw[[#This Row],[Unit_Price]]*Sales_Transactions_Raw[[#This Row],[Quantity]]</f>
        <v>122910</v>
      </c>
      <c r="J591">
        <v>1</v>
      </c>
      <c r="K591">
        <v>0</v>
      </c>
      <c r="L591">
        <v>0</v>
      </c>
      <c r="M591">
        <v>122910</v>
      </c>
      <c r="N591">
        <v>18</v>
      </c>
      <c r="O591">
        <v>22123.8</v>
      </c>
      <c r="P591">
        <v>0</v>
      </c>
      <c r="Q591">
        <v>145033.79999999999</v>
      </c>
      <c r="R591" t="s">
        <v>64</v>
      </c>
      <c r="S591" t="s">
        <v>125</v>
      </c>
      <c r="T591" t="s">
        <v>66</v>
      </c>
      <c r="U591" t="s">
        <v>196</v>
      </c>
      <c r="V591" t="s">
        <v>224</v>
      </c>
      <c r="W591" t="s">
        <v>95</v>
      </c>
      <c r="X591" t="s">
        <v>225</v>
      </c>
      <c r="Y591" t="s">
        <v>226</v>
      </c>
      <c r="Z591" t="s">
        <v>95</v>
      </c>
      <c r="AA591" t="s">
        <v>2128</v>
      </c>
      <c r="AB591" t="s">
        <v>3344</v>
      </c>
      <c r="AC591">
        <v>4</v>
      </c>
      <c r="AD591" t="s">
        <v>56</v>
      </c>
      <c r="AE591" t="s">
        <v>3336</v>
      </c>
      <c r="AF591" t="s">
        <v>217</v>
      </c>
      <c r="AG591" t="s">
        <v>3342</v>
      </c>
      <c r="AH591" s="1">
        <v>45091</v>
      </c>
      <c r="AI591" s="1">
        <v>45095</v>
      </c>
      <c r="AJ591" s="1">
        <v>45103</v>
      </c>
      <c r="AK591" t="s">
        <v>3647</v>
      </c>
      <c r="AL591" t="s">
        <v>2127</v>
      </c>
    </row>
    <row r="592" spans="1:38" x14ac:dyDescent="0.35">
      <c r="A592" t="s">
        <v>2129</v>
      </c>
      <c r="B592" t="s">
        <v>343</v>
      </c>
      <c r="C592" t="s">
        <v>43</v>
      </c>
      <c r="D592" t="s">
        <v>76</v>
      </c>
      <c r="E592" t="s">
        <v>77</v>
      </c>
      <c r="F592" t="s">
        <v>46</v>
      </c>
      <c r="G592" t="s">
        <v>78</v>
      </c>
      <c r="H592">
        <v>78010</v>
      </c>
      <c r="I592">
        <f>Sales_Transactions_Raw[[#This Row],[Unit_Price]]*Sales_Transactions_Raw[[#This Row],[Quantity]]</f>
        <v>78010</v>
      </c>
      <c r="J592">
        <v>1</v>
      </c>
      <c r="K592">
        <v>20</v>
      </c>
      <c r="L592">
        <v>15602</v>
      </c>
      <c r="M592">
        <v>62408</v>
      </c>
      <c r="N592">
        <v>18</v>
      </c>
      <c r="O592">
        <v>11233.44</v>
      </c>
      <c r="P592">
        <v>0</v>
      </c>
      <c r="Q592">
        <v>73641.440000000002</v>
      </c>
      <c r="R592" t="s">
        <v>124</v>
      </c>
      <c r="S592" t="s">
        <v>107</v>
      </c>
      <c r="T592" t="s">
        <v>115</v>
      </c>
      <c r="U592" t="s">
        <v>161</v>
      </c>
      <c r="V592" t="s">
        <v>287</v>
      </c>
      <c r="W592" t="s">
        <v>95</v>
      </c>
      <c r="X592" t="s">
        <v>198</v>
      </c>
      <c r="Y592" t="s">
        <v>199</v>
      </c>
      <c r="Z592" t="s">
        <v>52</v>
      </c>
      <c r="AA592" t="s">
        <v>2131</v>
      </c>
      <c r="AB592" t="s">
        <v>3335</v>
      </c>
      <c r="AC592">
        <v>2</v>
      </c>
      <c r="AD592" t="s">
        <v>56</v>
      </c>
      <c r="AE592" t="s">
        <v>3336</v>
      </c>
      <c r="AF592" t="s">
        <v>262</v>
      </c>
      <c r="AG592" t="s">
        <v>3342</v>
      </c>
      <c r="AH592" s="1">
        <v>45041</v>
      </c>
      <c r="AI592" s="1">
        <v>45048</v>
      </c>
      <c r="AJ592" s="1">
        <v>45056</v>
      </c>
      <c r="AK592" t="s">
        <v>3457</v>
      </c>
      <c r="AL592" t="s">
        <v>2130</v>
      </c>
    </row>
    <row r="593" spans="1:38" x14ac:dyDescent="0.35">
      <c r="A593" t="s">
        <v>1622</v>
      </c>
      <c r="B593" t="s">
        <v>781</v>
      </c>
      <c r="C593" t="s">
        <v>43</v>
      </c>
      <c r="D593" t="s">
        <v>402</v>
      </c>
      <c r="E593" t="s">
        <v>403</v>
      </c>
      <c r="F593" t="s">
        <v>146</v>
      </c>
      <c r="G593" t="s">
        <v>223</v>
      </c>
      <c r="H593">
        <v>2070</v>
      </c>
      <c r="I593">
        <f>Sales_Transactions_Raw[[#This Row],[Unit_Price]]*Sales_Transactions_Raw[[#This Row],[Quantity]]</f>
        <v>12420</v>
      </c>
      <c r="J593">
        <v>6</v>
      </c>
      <c r="K593">
        <v>5</v>
      </c>
      <c r="L593">
        <v>621</v>
      </c>
      <c r="M593">
        <v>11799</v>
      </c>
      <c r="N593">
        <v>12</v>
      </c>
      <c r="O593">
        <v>1415.88</v>
      </c>
      <c r="P593">
        <v>0</v>
      </c>
      <c r="Q593">
        <v>13214.880000000001</v>
      </c>
      <c r="R593" t="s">
        <v>64</v>
      </c>
      <c r="S593" t="s">
        <v>49</v>
      </c>
      <c r="T593" t="s">
        <v>66</v>
      </c>
      <c r="U593" t="s">
        <v>214</v>
      </c>
      <c r="V593" t="s">
        <v>276</v>
      </c>
      <c r="W593" t="s">
        <v>95</v>
      </c>
      <c r="X593" t="s">
        <v>370</v>
      </c>
      <c r="Y593" t="s">
        <v>151</v>
      </c>
      <c r="Z593" t="s">
        <v>81</v>
      </c>
      <c r="AA593" t="s">
        <v>2133</v>
      </c>
      <c r="AB593" t="s">
        <v>3335</v>
      </c>
      <c r="AC593">
        <v>5</v>
      </c>
      <c r="AD593" t="s">
        <v>56</v>
      </c>
      <c r="AE593" t="s">
        <v>3336</v>
      </c>
      <c r="AF593" t="s">
        <v>262</v>
      </c>
      <c r="AG593" t="s">
        <v>58</v>
      </c>
      <c r="AH593" s="1">
        <v>45028</v>
      </c>
      <c r="AI593" s="1">
        <v>45034</v>
      </c>
      <c r="AJ593" s="1">
        <v>45039</v>
      </c>
      <c r="AK593" t="s">
        <v>3538</v>
      </c>
      <c r="AL593" t="s">
        <v>2132</v>
      </c>
    </row>
    <row r="594" spans="1:38" x14ac:dyDescent="0.35">
      <c r="A594" t="s">
        <v>2134</v>
      </c>
      <c r="B594" t="s">
        <v>2135</v>
      </c>
      <c r="C594" t="s">
        <v>89</v>
      </c>
      <c r="D594" t="s">
        <v>490</v>
      </c>
      <c r="E594" t="s">
        <v>91</v>
      </c>
      <c r="F594" t="s">
        <v>46</v>
      </c>
      <c r="G594" t="s">
        <v>369</v>
      </c>
      <c r="H594">
        <v>77480</v>
      </c>
      <c r="I594">
        <f>Sales_Transactions_Raw[[#This Row],[Unit_Price]]*Sales_Transactions_Raw[[#This Row],[Quantity]]</f>
        <v>232440</v>
      </c>
      <c r="J594">
        <v>3</v>
      </c>
      <c r="K594">
        <v>10</v>
      </c>
      <c r="L594">
        <v>23244</v>
      </c>
      <c r="M594">
        <v>209196</v>
      </c>
      <c r="N594">
        <v>18</v>
      </c>
      <c r="O594">
        <v>37655.279999999999</v>
      </c>
      <c r="P594">
        <v>0</v>
      </c>
      <c r="Q594">
        <v>246851.28</v>
      </c>
      <c r="R594" t="s">
        <v>160</v>
      </c>
      <c r="S594" t="s">
        <v>93</v>
      </c>
      <c r="T594" t="s">
        <v>115</v>
      </c>
      <c r="U594" t="s">
        <v>108</v>
      </c>
      <c r="V594" t="s">
        <v>287</v>
      </c>
      <c r="W594" t="s">
        <v>696</v>
      </c>
      <c r="X594" t="s">
        <v>53</v>
      </c>
      <c r="Y594" t="s">
        <v>54</v>
      </c>
      <c r="Z594" t="s">
        <v>70</v>
      </c>
      <c r="AA594" t="s">
        <v>2137</v>
      </c>
      <c r="AB594" t="s">
        <v>3338</v>
      </c>
      <c r="AC594">
        <v>5</v>
      </c>
      <c r="AD594" t="s">
        <v>56</v>
      </c>
      <c r="AE594" t="s">
        <v>3336</v>
      </c>
      <c r="AF594" t="s">
        <v>217</v>
      </c>
      <c r="AG594" t="s">
        <v>111</v>
      </c>
      <c r="AH594" s="1">
        <v>45187</v>
      </c>
      <c r="AI594" s="1">
        <v>45190</v>
      </c>
      <c r="AJ594" s="1">
        <v>44936</v>
      </c>
      <c r="AK594" t="s">
        <v>3611</v>
      </c>
      <c r="AL594" t="s">
        <v>2136</v>
      </c>
    </row>
    <row r="595" spans="1:38" x14ac:dyDescent="0.35">
      <c r="A595" t="s">
        <v>2138</v>
      </c>
      <c r="B595" t="s">
        <v>101</v>
      </c>
      <c r="C595" t="s">
        <v>43</v>
      </c>
      <c r="D595" t="s">
        <v>62</v>
      </c>
      <c r="E595" t="s">
        <v>45</v>
      </c>
      <c r="F595" t="s">
        <v>46</v>
      </c>
      <c r="G595" t="s">
        <v>63</v>
      </c>
      <c r="H595">
        <v>64540</v>
      </c>
      <c r="I595">
        <f>Sales_Transactions_Raw[[#This Row],[Unit_Price]]*Sales_Transactions_Raw[[#This Row],[Quantity]]</f>
        <v>64540</v>
      </c>
      <c r="J595">
        <v>1</v>
      </c>
      <c r="K595">
        <v>20</v>
      </c>
      <c r="L595">
        <v>12908</v>
      </c>
      <c r="M595">
        <v>51632</v>
      </c>
      <c r="N595">
        <v>18</v>
      </c>
      <c r="O595">
        <v>9293.76</v>
      </c>
      <c r="P595">
        <v>0</v>
      </c>
      <c r="Q595">
        <v>60925.760000000002</v>
      </c>
      <c r="R595" t="s">
        <v>48</v>
      </c>
      <c r="S595" t="s">
        <v>49</v>
      </c>
      <c r="T595" t="s">
        <v>66</v>
      </c>
      <c r="U595" t="s">
        <v>108</v>
      </c>
      <c r="V595" t="s">
        <v>287</v>
      </c>
      <c r="W595" t="s">
        <v>95</v>
      </c>
      <c r="X595" t="s">
        <v>491</v>
      </c>
      <c r="Y595" t="s">
        <v>358</v>
      </c>
      <c r="Z595" t="s">
        <v>95</v>
      </c>
      <c r="AA595" t="s">
        <v>2140</v>
      </c>
      <c r="AB595" t="s">
        <v>3341</v>
      </c>
      <c r="AC595">
        <v>4</v>
      </c>
      <c r="AD595" t="s">
        <v>56</v>
      </c>
      <c r="AE595" t="s">
        <v>3336</v>
      </c>
      <c r="AF595" t="s">
        <v>326</v>
      </c>
      <c r="AG595" t="s">
        <v>85</v>
      </c>
      <c r="AH595" s="1">
        <v>45292</v>
      </c>
      <c r="AI595" s="1">
        <v>45444</v>
      </c>
      <c r="AJ595" s="1">
        <v>44936</v>
      </c>
      <c r="AK595" t="s">
        <v>3357</v>
      </c>
      <c r="AL595" t="s">
        <v>2139</v>
      </c>
    </row>
    <row r="596" spans="1:38" x14ac:dyDescent="0.35">
      <c r="A596" t="s">
        <v>2141</v>
      </c>
      <c r="B596" t="s">
        <v>533</v>
      </c>
      <c r="C596" t="s">
        <v>43</v>
      </c>
      <c r="D596" t="s">
        <v>391</v>
      </c>
      <c r="E596" t="s">
        <v>392</v>
      </c>
      <c r="F596" t="s">
        <v>46</v>
      </c>
      <c r="G596" t="s">
        <v>176</v>
      </c>
      <c r="H596">
        <v>10610</v>
      </c>
      <c r="I596">
        <f>Sales_Transactions_Raw[[#This Row],[Unit_Price]]*Sales_Transactions_Raw[[#This Row],[Quantity]]</f>
        <v>42440</v>
      </c>
      <c r="J596">
        <v>4</v>
      </c>
      <c r="K596">
        <v>0</v>
      </c>
      <c r="L596">
        <v>0</v>
      </c>
      <c r="M596">
        <v>42440</v>
      </c>
      <c r="N596">
        <v>18</v>
      </c>
      <c r="O596">
        <v>7639.2</v>
      </c>
      <c r="P596">
        <v>0</v>
      </c>
      <c r="Q596">
        <v>50079.199999999997</v>
      </c>
      <c r="R596" t="s">
        <v>64</v>
      </c>
      <c r="S596" t="s">
        <v>107</v>
      </c>
      <c r="T596" t="s">
        <v>115</v>
      </c>
      <c r="U596" t="s">
        <v>50</v>
      </c>
      <c r="V596" t="s">
        <v>224</v>
      </c>
      <c r="W596" t="s">
        <v>95</v>
      </c>
      <c r="X596" t="s">
        <v>381</v>
      </c>
      <c r="Y596" t="s">
        <v>199</v>
      </c>
      <c r="Z596" t="s">
        <v>52</v>
      </c>
      <c r="AA596" t="s">
        <v>2143</v>
      </c>
      <c r="AB596" t="s">
        <v>3335</v>
      </c>
      <c r="AC596">
        <v>3</v>
      </c>
      <c r="AD596" t="s">
        <v>56</v>
      </c>
      <c r="AE596" t="s">
        <v>3336</v>
      </c>
      <c r="AF596" t="s">
        <v>72</v>
      </c>
      <c r="AG596" t="s">
        <v>3342</v>
      </c>
      <c r="AH596" s="1">
        <v>45631</v>
      </c>
      <c r="AI596" s="1">
        <v>45430</v>
      </c>
      <c r="AJ596" s="1">
        <v>45440</v>
      </c>
      <c r="AK596" t="s">
        <v>3414</v>
      </c>
      <c r="AL596" t="s">
        <v>2142</v>
      </c>
    </row>
    <row r="597" spans="1:38" x14ac:dyDescent="0.35">
      <c r="A597" t="s">
        <v>2144</v>
      </c>
      <c r="B597" t="s">
        <v>1158</v>
      </c>
      <c r="C597" t="s">
        <v>157</v>
      </c>
      <c r="D597" t="s">
        <v>495</v>
      </c>
      <c r="E597" t="s">
        <v>496</v>
      </c>
      <c r="F597" t="s">
        <v>134</v>
      </c>
      <c r="G597" t="s">
        <v>497</v>
      </c>
      <c r="H597">
        <v>33540</v>
      </c>
      <c r="I597">
        <f>Sales_Transactions_Raw[[#This Row],[Unit_Price]]*Sales_Transactions_Raw[[#This Row],[Quantity]]</f>
        <v>33540</v>
      </c>
      <c r="J597">
        <v>1</v>
      </c>
      <c r="K597">
        <v>0</v>
      </c>
      <c r="L597">
        <v>0</v>
      </c>
      <c r="M597">
        <v>33540</v>
      </c>
      <c r="N597">
        <v>5</v>
      </c>
      <c r="O597">
        <v>1677</v>
      </c>
      <c r="P597">
        <v>0</v>
      </c>
      <c r="Q597">
        <v>35217</v>
      </c>
      <c r="R597" t="s">
        <v>64</v>
      </c>
      <c r="S597" t="s">
        <v>107</v>
      </c>
      <c r="T597" t="s">
        <v>115</v>
      </c>
      <c r="U597" t="s">
        <v>214</v>
      </c>
      <c r="V597" t="s">
        <v>269</v>
      </c>
      <c r="W597" t="s">
        <v>70</v>
      </c>
      <c r="X597" t="s">
        <v>187</v>
      </c>
      <c r="Y597" t="s">
        <v>188</v>
      </c>
      <c r="Z597" t="s">
        <v>68</v>
      </c>
      <c r="AA597" t="s">
        <v>2146</v>
      </c>
      <c r="AB597" t="s">
        <v>3335</v>
      </c>
      <c r="AC597">
        <v>4</v>
      </c>
      <c r="AD597" t="s">
        <v>179</v>
      </c>
      <c r="AE597" t="s">
        <v>476</v>
      </c>
      <c r="AF597" t="s">
        <v>99</v>
      </c>
      <c r="AG597" t="s">
        <v>85</v>
      </c>
      <c r="AH597" s="1">
        <v>45290</v>
      </c>
      <c r="AI597" s="1">
        <v>45295</v>
      </c>
      <c r="AJ597" s="1">
        <v>45298</v>
      </c>
      <c r="AK597" t="s">
        <v>3614</v>
      </c>
      <c r="AL597" t="s">
        <v>2145</v>
      </c>
    </row>
    <row r="598" spans="1:38" x14ac:dyDescent="0.35">
      <c r="A598" t="s">
        <v>2147</v>
      </c>
      <c r="B598" t="s">
        <v>588</v>
      </c>
      <c r="C598" t="s">
        <v>89</v>
      </c>
      <c r="D598" t="s">
        <v>317</v>
      </c>
      <c r="E598" t="s">
        <v>77</v>
      </c>
      <c r="F598" t="s">
        <v>46</v>
      </c>
      <c r="G598" t="s">
        <v>176</v>
      </c>
      <c r="H598">
        <v>29450</v>
      </c>
      <c r="I598">
        <f>Sales_Transactions_Raw[[#This Row],[Unit_Price]]*Sales_Transactions_Raw[[#This Row],[Quantity]]</f>
        <v>88350</v>
      </c>
      <c r="J598">
        <v>3</v>
      </c>
      <c r="K598">
        <v>0</v>
      </c>
      <c r="L598">
        <v>0</v>
      </c>
      <c r="M598">
        <v>88350</v>
      </c>
      <c r="N598">
        <v>18</v>
      </c>
      <c r="O598">
        <v>15903</v>
      </c>
      <c r="P598">
        <v>0</v>
      </c>
      <c r="Q598">
        <v>104253</v>
      </c>
      <c r="R598" t="s">
        <v>64</v>
      </c>
      <c r="S598" t="s">
        <v>107</v>
      </c>
      <c r="T598" t="s">
        <v>115</v>
      </c>
      <c r="U598" t="s">
        <v>196</v>
      </c>
      <c r="V598" t="s">
        <v>224</v>
      </c>
      <c r="W598" t="s">
        <v>95</v>
      </c>
      <c r="X598" t="s">
        <v>599</v>
      </c>
      <c r="Y598" t="s">
        <v>319</v>
      </c>
      <c r="Z598" t="s">
        <v>95</v>
      </c>
      <c r="AA598" t="s">
        <v>2149</v>
      </c>
      <c r="AB598" t="s">
        <v>3338</v>
      </c>
      <c r="AC598">
        <v>4</v>
      </c>
      <c r="AD598" t="s">
        <v>56</v>
      </c>
      <c r="AE598" t="s">
        <v>3336</v>
      </c>
      <c r="AF598" t="s">
        <v>227</v>
      </c>
      <c r="AG598" t="s">
        <v>85</v>
      </c>
      <c r="AH598" s="1">
        <v>44953</v>
      </c>
      <c r="AI598" s="1">
        <v>44959</v>
      </c>
      <c r="AJ598" s="1">
        <v>44961</v>
      </c>
      <c r="AK598" t="s">
        <v>3648</v>
      </c>
      <c r="AL598" t="s">
        <v>2148</v>
      </c>
    </row>
    <row r="599" spans="1:38" x14ac:dyDescent="0.35">
      <c r="A599" t="s">
        <v>2150</v>
      </c>
      <c r="B599" t="s">
        <v>272</v>
      </c>
      <c r="C599" t="s">
        <v>157</v>
      </c>
      <c r="D599" t="s">
        <v>630</v>
      </c>
      <c r="E599" t="s">
        <v>450</v>
      </c>
      <c r="F599" t="s">
        <v>134</v>
      </c>
      <c r="G599" t="s">
        <v>497</v>
      </c>
      <c r="H599">
        <v>47770</v>
      </c>
      <c r="I599">
        <f>Sales_Transactions_Raw[[#This Row],[Unit_Price]]*Sales_Transactions_Raw[[#This Row],[Quantity]]</f>
        <v>95540</v>
      </c>
      <c r="J599">
        <v>2</v>
      </c>
      <c r="K599">
        <v>0</v>
      </c>
      <c r="L599">
        <v>0</v>
      </c>
      <c r="M599">
        <v>95540</v>
      </c>
      <c r="N599">
        <v>5</v>
      </c>
      <c r="O599">
        <v>4777</v>
      </c>
      <c r="P599">
        <v>0</v>
      </c>
      <c r="Q599">
        <v>100317</v>
      </c>
      <c r="R599" t="s">
        <v>92</v>
      </c>
      <c r="S599" t="s">
        <v>125</v>
      </c>
      <c r="T599" t="s">
        <v>115</v>
      </c>
      <c r="U599" t="s">
        <v>196</v>
      </c>
      <c r="V599" t="s">
        <v>297</v>
      </c>
      <c r="W599" t="s">
        <v>52</v>
      </c>
      <c r="X599" t="s">
        <v>318</v>
      </c>
      <c r="Y599" t="s">
        <v>319</v>
      </c>
      <c r="Z599" t="s">
        <v>95</v>
      </c>
      <c r="AA599" t="s">
        <v>2152</v>
      </c>
      <c r="AB599" t="s">
        <v>3335</v>
      </c>
      <c r="AC599">
        <v>2</v>
      </c>
      <c r="AD599" t="s">
        <v>56</v>
      </c>
      <c r="AE599" t="s">
        <v>3336</v>
      </c>
      <c r="AF599" t="s">
        <v>326</v>
      </c>
      <c r="AG599" t="s">
        <v>85</v>
      </c>
      <c r="AH599" s="1">
        <v>45389</v>
      </c>
      <c r="AI599" s="1">
        <v>45390</v>
      </c>
      <c r="AJ599" s="1">
        <v>45394</v>
      </c>
      <c r="AK599" t="s">
        <v>3368</v>
      </c>
      <c r="AL599" t="s">
        <v>2151</v>
      </c>
    </row>
    <row r="600" spans="1:38" x14ac:dyDescent="0.35">
      <c r="A600" t="s">
        <v>2153</v>
      </c>
      <c r="B600" t="s">
        <v>418</v>
      </c>
      <c r="C600" t="s">
        <v>43</v>
      </c>
      <c r="D600" t="s">
        <v>193</v>
      </c>
      <c r="E600" t="s">
        <v>194</v>
      </c>
      <c r="F600" t="s">
        <v>146</v>
      </c>
      <c r="G600" t="s">
        <v>195</v>
      </c>
      <c r="H600">
        <v>3150</v>
      </c>
      <c r="I600">
        <f>Sales_Transactions_Raw[[#This Row],[Unit_Price]]*Sales_Transactions_Raw[[#This Row],[Quantity]]</f>
        <v>3150</v>
      </c>
      <c r="J600">
        <v>1</v>
      </c>
      <c r="K600">
        <v>25</v>
      </c>
      <c r="L600">
        <v>787.5</v>
      </c>
      <c r="M600">
        <v>2362.5</v>
      </c>
      <c r="N600">
        <v>12</v>
      </c>
      <c r="O600">
        <v>283.5</v>
      </c>
      <c r="P600">
        <v>49</v>
      </c>
      <c r="Q600">
        <v>2646</v>
      </c>
      <c r="R600" t="s">
        <v>106</v>
      </c>
      <c r="S600" t="s">
        <v>93</v>
      </c>
      <c r="T600" t="s">
        <v>115</v>
      </c>
      <c r="U600" t="s">
        <v>108</v>
      </c>
      <c r="V600" t="s">
        <v>269</v>
      </c>
      <c r="W600" t="s">
        <v>70</v>
      </c>
      <c r="X600" t="s">
        <v>340</v>
      </c>
      <c r="Y600" t="s">
        <v>169</v>
      </c>
      <c r="Z600" t="s">
        <v>95</v>
      </c>
      <c r="AA600" t="s">
        <v>2155</v>
      </c>
      <c r="AB600" t="s">
        <v>3339</v>
      </c>
      <c r="AC600">
        <v>4</v>
      </c>
      <c r="AD600" t="s">
        <v>56</v>
      </c>
      <c r="AE600" t="s">
        <v>3336</v>
      </c>
      <c r="AF600" t="s">
        <v>279</v>
      </c>
      <c r="AG600" t="s">
        <v>85</v>
      </c>
      <c r="AH600" s="1">
        <v>45246</v>
      </c>
      <c r="AI600" s="1">
        <v>45253</v>
      </c>
      <c r="AJ600" s="1">
        <v>45258</v>
      </c>
      <c r="AK600" t="s">
        <v>3634</v>
      </c>
      <c r="AL600" t="s">
        <v>2154</v>
      </c>
    </row>
    <row r="601" spans="1:38" x14ac:dyDescent="0.35">
      <c r="A601" t="s">
        <v>2156</v>
      </c>
      <c r="B601" t="s">
        <v>687</v>
      </c>
      <c r="C601" t="s">
        <v>43</v>
      </c>
      <c r="D601" t="s">
        <v>294</v>
      </c>
      <c r="E601" t="s">
        <v>295</v>
      </c>
      <c r="F601" t="s">
        <v>146</v>
      </c>
      <c r="G601" t="s">
        <v>296</v>
      </c>
      <c r="H601">
        <v>14110</v>
      </c>
      <c r="I601">
        <f>Sales_Transactions_Raw[[#This Row],[Unit_Price]]*Sales_Transactions_Raw[[#This Row],[Quantity]]</f>
        <v>56440</v>
      </c>
      <c r="J601">
        <v>4</v>
      </c>
      <c r="K601">
        <v>0</v>
      </c>
      <c r="L601">
        <v>0</v>
      </c>
      <c r="M601">
        <v>56440</v>
      </c>
      <c r="N601">
        <v>12</v>
      </c>
      <c r="O601">
        <v>6772.8</v>
      </c>
      <c r="P601">
        <v>0</v>
      </c>
      <c r="Q601">
        <v>63212.800000000003</v>
      </c>
      <c r="R601" t="s">
        <v>64</v>
      </c>
      <c r="S601" t="s">
        <v>49</v>
      </c>
      <c r="T601" t="s">
        <v>115</v>
      </c>
      <c r="U601" t="s">
        <v>50</v>
      </c>
      <c r="V601" t="s">
        <v>242</v>
      </c>
      <c r="W601" t="s">
        <v>70</v>
      </c>
      <c r="X601" t="s">
        <v>225</v>
      </c>
      <c r="Y601" t="s">
        <v>226</v>
      </c>
      <c r="Z601" t="s">
        <v>95</v>
      </c>
      <c r="AA601" t="s">
        <v>2158</v>
      </c>
      <c r="AB601" t="s">
        <v>3335</v>
      </c>
      <c r="AC601">
        <v>5</v>
      </c>
      <c r="AD601" t="s">
        <v>56</v>
      </c>
      <c r="AE601" t="s">
        <v>3336</v>
      </c>
      <c r="AF601" t="s">
        <v>84</v>
      </c>
      <c r="AG601" t="s">
        <v>111</v>
      </c>
      <c r="AH601" s="1">
        <v>45414</v>
      </c>
      <c r="AI601" s="1">
        <v>45416</v>
      </c>
      <c r="AJ601" s="1">
        <v>45419</v>
      </c>
      <c r="AK601" t="s">
        <v>3604</v>
      </c>
      <c r="AL601" t="s">
        <v>2157</v>
      </c>
    </row>
    <row r="602" spans="1:38" x14ac:dyDescent="0.35">
      <c r="A602" t="s">
        <v>2159</v>
      </c>
      <c r="B602" t="s">
        <v>207</v>
      </c>
      <c r="C602" t="s">
        <v>43</v>
      </c>
      <c r="D602" t="s">
        <v>274</v>
      </c>
      <c r="E602" t="s">
        <v>275</v>
      </c>
      <c r="F602" t="s">
        <v>211</v>
      </c>
      <c r="G602" t="s">
        <v>268</v>
      </c>
      <c r="H602">
        <v>13930</v>
      </c>
      <c r="I602">
        <f>Sales_Transactions_Raw[[#This Row],[Unit_Price]]*Sales_Transactions_Raw[[#This Row],[Quantity]]</f>
        <v>41790</v>
      </c>
      <c r="J602">
        <v>3</v>
      </c>
      <c r="K602">
        <v>0</v>
      </c>
      <c r="L602">
        <v>0</v>
      </c>
      <c r="M602">
        <v>41790</v>
      </c>
      <c r="N602">
        <v>5</v>
      </c>
      <c r="O602">
        <v>2089.5</v>
      </c>
      <c r="P602">
        <v>0</v>
      </c>
      <c r="Q602">
        <v>43879.5</v>
      </c>
      <c r="R602" t="s">
        <v>124</v>
      </c>
      <c r="S602" t="s">
        <v>125</v>
      </c>
      <c r="T602" t="s">
        <v>115</v>
      </c>
      <c r="U602" t="s">
        <v>50</v>
      </c>
      <c r="V602" t="s">
        <v>67</v>
      </c>
      <c r="W602" t="s">
        <v>68</v>
      </c>
      <c r="X602" t="s">
        <v>381</v>
      </c>
      <c r="Y602" t="s">
        <v>199</v>
      </c>
      <c r="Z602" t="s">
        <v>52</v>
      </c>
      <c r="AA602" t="s">
        <v>2161</v>
      </c>
      <c r="AB602" t="s">
        <v>3335</v>
      </c>
      <c r="AC602">
        <v>3</v>
      </c>
      <c r="AD602" t="s">
        <v>56</v>
      </c>
      <c r="AE602" t="s">
        <v>3336</v>
      </c>
      <c r="AF602" t="s">
        <v>153</v>
      </c>
      <c r="AG602" t="s">
        <v>58</v>
      </c>
      <c r="AH602" s="1">
        <v>44953</v>
      </c>
      <c r="AI602" s="1">
        <v>44954</v>
      </c>
      <c r="AJ602" s="1">
        <v>44958</v>
      </c>
      <c r="AK602" t="s">
        <v>3360</v>
      </c>
      <c r="AL602" t="s">
        <v>2160</v>
      </c>
    </row>
    <row r="603" spans="1:38" x14ac:dyDescent="0.35">
      <c r="A603" t="s">
        <v>2162</v>
      </c>
      <c r="B603" t="s">
        <v>155</v>
      </c>
      <c r="C603" t="s">
        <v>43</v>
      </c>
      <c r="D603" t="s">
        <v>76</v>
      </c>
      <c r="E603" t="s">
        <v>77</v>
      </c>
      <c r="F603" t="s">
        <v>46</v>
      </c>
      <c r="G603" t="s">
        <v>78</v>
      </c>
      <c r="H603">
        <v>83970</v>
      </c>
      <c r="I603">
        <f>Sales_Transactions_Raw[[#This Row],[Unit_Price]]*Sales_Transactions_Raw[[#This Row],[Quantity]]</f>
        <v>1259550</v>
      </c>
      <c r="J603">
        <v>15</v>
      </c>
      <c r="K603">
        <v>10</v>
      </c>
      <c r="L603">
        <v>125955</v>
      </c>
      <c r="M603">
        <v>1133595</v>
      </c>
      <c r="N603">
        <v>18</v>
      </c>
      <c r="O603">
        <v>204047.1</v>
      </c>
      <c r="P603">
        <v>0</v>
      </c>
      <c r="Q603">
        <v>1337642.1000000001</v>
      </c>
      <c r="R603" t="s">
        <v>64</v>
      </c>
      <c r="S603" t="s">
        <v>93</v>
      </c>
      <c r="T603" t="s">
        <v>115</v>
      </c>
      <c r="U603" t="s">
        <v>196</v>
      </c>
      <c r="V603" t="s">
        <v>94</v>
      </c>
      <c r="W603" t="s">
        <v>95</v>
      </c>
      <c r="X603" t="s">
        <v>357</v>
      </c>
      <c r="Y603" t="s">
        <v>358</v>
      </c>
      <c r="Z603" t="s">
        <v>95</v>
      </c>
      <c r="AA603" t="s">
        <v>2164</v>
      </c>
      <c r="AB603" t="s">
        <v>3340</v>
      </c>
      <c r="AC603">
        <v>3</v>
      </c>
      <c r="AD603" t="s">
        <v>56</v>
      </c>
      <c r="AE603" t="s">
        <v>3336</v>
      </c>
      <c r="AF603" t="s">
        <v>227</v>
      </c>
      <c r="AG603" t="s">
        <v>85</v>
      </c>
      <c r="AH603" s="1">
        <v>44989</v>
      </c>
      <c r="AI603" s="1">
        <v>44996</v>
      </c>
      <c r="AJ603" s="1">
        <v>45000</v>
      </c>
      <c r="AK603" t="s">
        <v>3354</v>
      </c>
      <c r="AL603" t="s">
        <v>2163</v>
      </c>
    </row>
    <row r="604" spans="1:38" x14ac:dyDescent="0.35">
      <c r="A604" t="s">
        <v>2165</v>
      </c>
      <c r="B604" t="s">
        <v>554</v>
      </c>
      <c r="C604" t="s">
        <v>43</v>
      </c>
      <c r="D604" t="s">
        <v>266</v>
      </c>
      <c r="E604" t="s">
        <v>267</v>
      </c>
      <c r="F604" t="s">
        <v>211</v>
      </c>
      <c r="G604" t="s">
        <v>268</v>
      </c>
      <c r="H604">
        <v>54750</v>
      </c>
      <c r="I604">
        <f>Sales_Transactions_Raw[[#This Row],[Unit_Price]]*Sales_Transactions_Raw[[#This Row],[Quantity]]</f>
        <v>219000</v>
      </c>
      <c r="J604">
        <v>4</v>
      </c>
      <c r="K604">
        <v>10</v>
      </c>
      <c r="L604">
        <v>21900</v>
      </c>
      <c r="M604">
        <v>197100</v>
      </c>
      <c r="N604">
        <v>5</v>
      </c>
      <c r="O604">
        <v>9855</v>
      </c>
      <c r="P604">
        <v>0</v>
      </c>
      <c r="Q604">
        <v>206955</v>
      </c>
      <c r="R604" t="s">
        <v>64</v>
      </c>
      <c r="S604" t="s">
        <v>93</v>
      </c>
      <c r="T604" t="s">
        <v>136</v>
      </c>
      <c r="U604" t="s">
        <v>161</v>
      </c>
      <c r="V604" t="s">
        <v>94</v>
      </c>
      <c r="W604" t="s">
        <v>696</v>
      </c>
      <c r="X604" t="s">
        <v>96</v>
      </c>
      <c r="Y604" t="s">
        <v>97</v>
      </c>
      <c r="Z604" t="s">
        <v>95</v>
      </c>
      <c r="AA604" t="s">
        <v>2167</v>
      </c>
      <c r="AB604" t="s">
        <v>3340</v>
      </c>
      <c r="AC604">
        <v>3</v>
      </c>
      <c r="AD604" t="s">
        <v>56</v>
      </c>
      <c r="AE604" t="s">
        <v>3336</v>
      </c>
      <c r="AF604" t="s">
        <v>57</v>
      </c>
      <c r="AG604" t="s">
        <v>3342</v>
      </c>
      <c r="AH604" s="1">
        <v>44947</v>
      </c>
      <c r="AI604" s="1">
        <v>44952</v>
      </c>
      <c r="AJ604" s="1">
        <v>44961</v>
      </c>
      <c r="AK604" t="s">
        <v>3649</v>
      </c>
      <c r="AL604" t="s">
        <v>2166</v>
      </c>
    </row>
    <row r="605" spans="1:38" x14ac:dyDescent="0.35">
      <c r="A605" t="s">
        <v>2168</v>
      </c>
      <c r="B605" t="s">
        <v>613</v>
      </c>
      <c r="C605" t="s">
        <v>43</v>
      </c>
      <c r="D605" t="s">
        <v>402</v>
      </c>
      <c r="E605" t="s">
        <v>403</v>
      </c>
      <c r="F605" t="s">
        <v>146</v>
      </c>
      <c r="G605" t="s">
        <v>223</v>
      </c>
      <c r="H605">
        <v>2050</v>
      </c>
      <c r="I605">
        <f>Sales_Transactions_Raw[[#This Row],[Unit_Price]]*Sales_Transactions_Raw[[#This Row],[Quantity]]</f>
        <v>2050</v>
      </c>
      <c r="J605">
        <v>1</v>
      </c>
      <c r="K605">
        <v>10</v>
      </c>
      <c r="L605">
        <v>205</v>
      </c>
      <c r="M605">
        <v>1845</v>
      </c>
      <c r="N605">
        <v>12</v>
      </c>
      <c r="O605">
        <v>221.4</v>
      </c>
      <c r="P605">
        <v>149</v>
      </c>
      <c r="Q605">
        <v>2066.4</v>
      </c>
      <c r="R605" t="s">
        <v>160</v>
      </c>
      <c r="S605" t="s">
        <v>107</v>
      </c>
      <c r="T605" t="s">
        <v>115</v>
      </c>
      <c r="U605" t="s">
        <v>161</v>
      </c>
      <c r="V605" t="s">
        <v>80</v>
      </c>
      <c r="W605" t="s">
        <v>81</v>
      </c>
      <c r="X605" t="s">
        <v>215</v>
      </c>
      <c r="Y605" t="s">
        <v>169</v>
      </c>
      <c r="Z605" t="s">
        <v>95</v>
      </c>
      <c r="AA605" t="s">
        <v>2170</v>
      </c>
      <c r="AB605" t="s">
        <v>3338</v>
      </c>
      <c r="AC605">
        <v>4</v>
      </c>
      <c r="AD605" t="s">
        <v>56</v>
      </c>
      <c r="AE605" t="s">
        <v>3336</v>
      </c>
      <c r="AF605" t="s">
        <v>279</v>
      </c>
      <c r="AG605" t="s">
        <v>85</v>
      </c>
      <c r="AH605" s="1">
        <v>45162</v>
      </c>
      <c r="AI605" s="1">
        <v>45168</v>
      </c>
      <c r="AJ605" s="1">
        <v>45172</v>
      </c>
      <c r="AK605" t="s">
        <v>3464</v>
      </c>
      <c r="AL605" t="s">
        <v>2169</v>
      </c>
    </row>
    <row r="606" spans="1:38" x14ac:dyDescent="0.35">
      <c r="A606" t="s">
        <v>2171</v>
      </c>
      <c r="B606" t="s">
        <v>202</v>
      </c>
      <c r="C606" t="s">
        <v>89</v>
      </c>
      <c r="D606" t="s">
        <v>420</v>
      </c>
      <c r="E606" t="s">
        <v>421</v>
      </c>
      <c r="F606" t="s">
        <v>134</v>
      </c>
      <c r="G606" t="s">
        <v>135</v>
      </c>
      <c r="H606">
        <v>3430</v>
      </c>
      <c r="I606">
        <f>Sales_Transactions_Raw[[#This Row],[Unit_Price]]*Sales_Transactions_Raw[[#This Row],[Quantity]]</f>
        <v>13720</v>
      </c>
      <c r="J606">
        <v>4</v>
      </c>
      <c r="K606">
        <v>20</v>
      </c>
      <c r="L606">
        <v>2744</v>
      </c>
      <c r="M606">
        <v>10976</v>
      </c>
      <c r="N606">
        <v>5</v>
      </c>
      <c r="O606">
        <v>548.79999999999995</v>
      </c>
      <c r="P606">
        <v>0</v>
      </c>
      <c r="Q606">
        <v>11524.8</v>
      </c>
      <c r="R606" t="s">
        <v>92</v>
      </c>
      <c r="S606" t="s">
        <v>125</v>
      </c>
      <c r="T606" t="s">
        <v>148</v>
      </c>
      <c r="U606" t="s">
        <v>161</v>
      </c>
      <c r="V606" t="s">
        <v>242</v>
      </c>
      <c r="W606" t="s">
        <v>70</v>
      </c>
      <c r="X606" t="s">
        <v>126</v>
      </c>
      <c r="Y606" t="s">
        <v>127</v>
      </c>
      <c r="Z606" t="s">
        <v>68</v>
      </c>
      <c r="AA606" t="s">
        <v>2173</v>
      </c>
      <c r="AB606" t="s">
        <v>3340</v>
      </c>
      <c r="AC606">
        <v>5</v>
      </c>
      <c r="AD606" t="s">
        <v>56</v>
      </c>
      <c r="AE606" t="s">
        <v>3336</v>
      </c>
      <c r="AF606" t="s">
        <v>217</v>
      </c>
      <c r="AG606" t="s">
        <v>85</v>
      </c>
      <c r="AH606" s="1">
        <v>45385</v>
      </c>
      <c r="AI606" s="1">
        <v>45389</v>
      </c>
      <c r="AJ606" s="1">
        <v>45399</v>
      </c>
      <c r="AK606" t="s">
        <v>3511</v>
      </c>
      <c r="AL606" t="s">
        <v>2172</v>
      </c>
    </row>
    <row r="607" spans="1:38" x14ac:dyDescent="0.35">
      <c r="A607" t="s">
        <v>2174</v>
      </c>
      <c r="B607" t="s">
        <v>301</v>
      </c>
      <c r="C607" t="s">
        <v>43</v>
      </c>
      <c r="D607" t="s">
        <v>183</v>
      </c>
      <c r="E607" t="s">
        <v>184</v>
      </c>
      <c r="F607" t="s">
        <v>185</v>
      </c>
      <c r="G607" t="s">
        <v>186</v>
      </c>
      <c r="H607">
        <v>120</v>
      </c>
      <c r="I607">
        <f>Sales_Transactions_Raw[[#This Row],[Unit_Price]]*Sales_Transactions_Raw[[#This Row],[Quantity]]</f>
        <v>240</v>
      </c>
      <c r="J607">
        <v>2</v>
      </c>
      <c r="K607">
        <v>10</v>
      </c>
      <c r="L607">
        <v>24</v>
      </c>
      <c r="M607">
        <v>216</v>
      </c>
      <c r="N607">
        <v>5</v>
      </c>
      <c r="O607">
        <v>10.8</v>
      </c>
      <c r="P607">
        <v>99</v>
      </c>
      <c r="Q607">
        <v>226.8</v>
      </c>
      <c r="R607" t="s">
        <v>106</v>
      </c>
      <c r="S607" t="s">
        <v>49</v>
      </c>
      <c r="T607" t="s">
        <v>66</v>
      </c>
      <c r="U607" t="s">
        <v>108</v>
      </c>
      <c r="V607" t="s">
        <v>297</v>
      </c>
      <c r="W607" t="s">
        <v>52</v>
      </c>
      <c r="X607" t="s">
        <v>381</v>
      </c>
      <c r="Y607" t="s">
        <v>199</v>
      </c>
      <c r="Z607" t="s">
        <v>52</v>
      </c>
      <c r="AA607" t="s">
        <v>2176</v>
      </c>
      <c r="AB607" t="s">
        <v>3341</v>
      </c>
      <c r="AC607">
        <v>3</v>
      </c>
      <c r="AD607" t="s">
        <v>56</v>
      </c>
      <c r="AE607" t="s">
        <v>3336</v>
      </c>
      <c r="AF607" t="s">
        <v>72</v>
      </c>
      <c r="AG607" t="s">
        <v>445</v>
      </c>
      <c r="AH607" s="1">
        <v>44999</v>
      </c>
      <c r="AI607" s="1">
        <v>45004</v>
      </c>
      <c r="AJ607" s="1">
        <v>45010</v>
      </c>
      <c r="AK607" t="s">
        <v>3650</v>
      </c>
      <c r="AL607" t="s">
        <v>2175</v>
      </c>
    </row>
    <row r="608" spans="1:38" x14ac:dyDescent="0.35">
      <c r="A608" t="s">
        <v>2177</v>
      </c>
      <c r="B608" t="s">
        <v>461</v>
      </c>
      <c r="C608" t="s">
        <v>43</v>
      </c>
      <c r="D608" t="s">
        <v>956</v>
      </c>
      <c r="E608" t="s">
        <v>957</v>
      </c>
      <c r="F608" t="s">
        <v>46</v>
      </c>
      <c r="G608" t="s">
        <v>147</v>
      </c>
      <c r="H608">
        <v>9120</v>
      </c>
      <c r="I608">
        <f>Sales_Transactions_Raw[[#This Row],[Unit_Price]]*Sales_Transactions_Raw[[#This Row],[Quantity]]</f>
        <v>9120</v>
      </c>
      <c r="J608">
        <v>1</v>
      </c>
      <c r="K608">
        <v>20</v>
      </c>
      <c r="L608">
        <v>1824</v>
      </c>
      <c r="M608">
        <v>7296</v>
      </c>
      <c r="N608">
        <v>18</v>
      </c>
      <c r="O608">
        <v>1313.28</v>
      </c>
      <c r="P608">
        <v>0</v>
      </c>
      <c r="Q608">
        <v>8609.2800000000007</v>
      </c>
      <c r="R608" t="s">
        <v>124</v>
      </c>
      <c r="S608" t="s">
        <v>107</v>
      </c>
      <c r="T608" t="s">
        <v>213</v>
      </c>
      <c r="U608" t="s">
        <v>196</v>
      </c>
      <c r="V608" t="s">
        <v>149</v>
      </c>
      <c r="W608" t="s">
        <v>81</v>
      </c>
      <c r="X608" t="s">
        <v>626</v>
      </c>
      <c r="Y608" t="s">
        <v>289</v>
      </c>
      <c r="Z608" t="s">
        <v>52</v>
      </c>
      <c r="AA608" t="s">
        <v>2179</v>
      </c>
      <c r="AB608" t="s">
        <v>3335</v>
      </c>
      <c r="AC608">
        <v>4</v>
      </c>
      <c r="AD608" t="s">
        <v>179</v>
      </c>
      <c r="AE608" t="s">
        <v>206</v>
      </c>
      <c r="AF608" t="s">
        <v>57</v>
      </c>
      <c r="AG608" t="s">
        <v>111</v>
      </c>
      <c r="AH608" s="1">
        <v>45213</v>
      </c>
      <c r="AI608" s="1">
        <v>45217</v>
      </c>
      <c r="AJ608" s="1">
        <v>45223</v>
      </c>
      <c r="AK608" t="s">
        <v>3477</v>
      </c>
      <c r="AL608" t="s">
        <v>2178</v>
      </c>
    </row>
    <row r="609" spans="1:38" x14ac:dyDescent="0.35">
      <c r="A609" t="s">
        <v>2180</v>
      </c>
      <c r="B609" t="s">
        <v>418</v>
      </c>
      <c r="C609" t="s">
        <v>43</v>
      </c>
      <c r="D609" t="s">
        <v>183</v>
      </c>
      <c r="E609" t="s">
        <v>184</v>
      </c>
      <c r="F609" t="s">
        <v>185</v>
      </c>
      <c r="G609" t="s">
        <v>186</v>
      </c>
      <c r="H609">
        <v>130</v>
      </c>
      <c r="I609">
        <f>Sales_Transactions_Raw[[#This Row],[Unit_Price]]*Sales_Transactions_Raw[[#This Row],[Quantity]]</f>
        <v>2600</v>
      </c>
      <c r="J609">
        <v>20</v>
      </c>
      <c r="K609">
        <v>10</v>
      </c>
      <c r="L609">
        <v>260</v>
      </c>
      <c r="M609">
        <v>2340</v>
      </c>
      <c r="N609">
        <v>5</v>
      </c>
      <c r="O609">
        <v>117</v>
      </c>
      <c r="P609">
        <v>99</v>
      </c>
      <c r="Q609">
        <v>2457</v>
      </c>
      <c r="R609" t="s">
        <v>48</v>
      </c>
      <c r="S609" t="s">
        <v>107</v>
      </c>
      <c r="T609" t="s">
        <v>115</v>
      </c>
      <c r="U609" t="s">
        <v>50</v>
      </c>
      <c r="V609" t="s">
        <v>242</v>
      </c>
      <c r="W609" t="s">
        <v>70</v>
      </c>
      <c r="X609" t="s">
        <v>422</v>
      </c>
      <c r="Y609" t="s">
        <v>319</v>
      </c>
      <c r="Z609" t="s">
        <v>95</v>
      </c>
      <c r="AA609" t="s">
        <v>2182</v>
      </c>
      <c r="AB609" t="s">
        <v>3339</v>
      </c>
      <c r="AC609">
        <v>4</v>
      </c>
      <c r="AD609" t="s">
        <v>56</v>
      </c>
      <c r="AE609" t="s">
        <v>3336</v>
      </c>
      <c r="AF609" t="s">
        <v>217</v>
      </c>
      <c r="AG609" t="s">
        <v>3337</v>
      </c>
      <c r="AH609" s="1">
        <v>45372</v>
      </c>
      <c r="AI609" s="1">
        <v>45374</v>
      </c>
      <c r="AJ609" s="1">
        <v>45383</v>
      </c>
      <c r="AK609" t="s">
        <v>3634</v>
      </c>
      <c r="AL609" t="s">
        <v>2181</v>
      </c>
    </row>
    <row r="610" spans="1:38" x14ac:dyDescent="0.35">
      <c r="A610" t="s">
        <v>2183</v>
      </c>
      <c r="B610" t="s">
        <v>130</v>
      </c>
      <c r="C610" t="s">
        <v>43</v>
      </c>
      <c r="D610" t="s">
        <v>310</v>
      </c>
      <c r="E610" t="s">
        <v>311</v>
      </c>
      <c r="F610" t="s">
        <v>211</v>
      </c>
      <c r="G610" t="s">
        <v>312</v>
      </c>
      <c r="H610">
        <v>11590</v>
      </c>
      <c r="I610">
        <f>Sales_Transactions_Raw[[#This Row],[Unit_Price]]*Sales_Transactions_Raw[[#This Row],[Quantity]]</f>
        <v>34770</v>
      </c>
      <c r="J610">
        <v>3</v>
      </c>
      <c r="K610">
        <v>5</v>
      </c>
      <c r="L610">
        <v>1738.5</v>
      </c>
      <c r="M610">
        <v>33031.5</v>
      </c>
      <c r="N610">
        <v>5</v>
      </c>
      <c r="O610">
        <v>1651.58</v>
      </c>
      <c r="P610">
        <v>0</v>
      </c>
      <c r="Q610">
        <v>34683.08</v>
      </c>
      <c r="R610" t="s">
        <v>124</v>
      </c>
      <c r="S610" t="s">
        <v>49</v>
      </c>
      <c r="T610" t="s">
        <v>148</v>
      </c>
      <c r="U610" t="s">
        <v>108</v>
      </c>
      <c r="V610" t="s">
        <v>197</v>
      </c>
      <c r="W610" t="s">
        <v>68</v>
      </c>
      <c r="X610" t="s">
        <v>370</v>
      </c>
      <c r="Y610" t="s">
        <v>151</v>
      </c>
      <c r="Z610" t="s">
        <v>81</v>
      </c>
      <c r="AA610" t="s">
        <v>2185</v>
      </c>
      <c r="AB610" t="s">
        <v>3340</v>
      </c>
      <c r="AC610">
        <v>4</v>
      </c>
      <c r="AD610" t="s">
        <v>56</v>
      </c>
      <c r="AE610" t="s">
        <v>3336</v>
      </c>
      <c r="AF610" t="s">
        <v>84</v>
      </c>
      <c r="AG610" t="s">
        <v>85</v>
      </c>
      <c r="AH610" s="1">
        <v>45430</v>
      </c>
      <c r="AI610" s="1">
        <v>45374</v>
      </c>
      <c r="AJ610" s="1">
        <v>45441</v>
      </c>
      <c r="AK610" t="s">
        <v>3352</v>
      </c>
      <c r="AL610" t="s">
        <v>2184</v>
      </c>
    </row>
    <row r="611" spans="1:38" x14ac:dyDescent="0.35">
      <c r="A611" t="s">
        <v>2186</v>
      </c>
      <c r="B611" t="s">
        <v>400</v>
      </c>
      <c r="C611" t="s">
        <v>43</v>
      </c>
      <c r="D611" t="s">
        <v>630</v>
      </c>
      <c r="E611" t="s">
        <v>450</v>
      </c>
      <c r="F611" t="s">
        <v>134</v>
      </c>
      <c r="G611" t="s">
        <v>497</v>
      </c>
      <c r="H611">
        <v>48010</v>
      </c>
      <c r="I611">
        <f>Sales_Transactions_Raw[[#This Row],[Unit_Price]]*Sales_Transactions_Raw[[#This Row],[Quantity]]</f>
        <v>48010</v>
      </c>
      <c r="J611">
        <v>1</v>
      </c>
      <c r="K611">
        <v>0</v>
      </c>
      <c r="L611">
        <v>0</v>
      </c>
      <c r="M611">
        <v>48010</v>
      </c>
      <c r="N611">
        <v>5</v>
      </c>
      <c r="O611">
        <v>2400.5</v>
      </c>
      <c r="P611">
        <v>0</v>
      </c>
      <c r="Q611">
        <v>50410.5</v>
      </c>
      <c r="R611" t="s">
        <v>160</v>
      </c>
      <c r="S611" t="s">
        <v>125</v>
      </c>
      <c r="T611" t="s">
        <v>66</v>
      </c>
      <c r="U611" t="s">
        <v>161</v>
      </c>
      <c r="V611" t="s">
        <v>177</v>
      </c>
      <c r="W611" t="s">
        <v>81</v>
      </c>
      <c r="X611" t="s">
        <v>288</v>
      </c>
      <c r="Y611" t="s">
        <v>289</v>
      </c>
      <c r="Z611" t="s">
        <v>52</v>
      </c>
      <c r="AA611" t="s">
        <v>2188</v>
      </c>
      <c r="AB611" t="s">
        <v>3339</v>
      </c>
      <c r="AC611">
        <v>3</v>
      </c>
      <c r="AD611" t="s">
        <v>56</v>
      </c>
      <c r="AE611" t="s">
        <v>3336</v>
      </c>
      <c r="AF611" t="s">
        <v>227</v>
      </c>
      <c r="AG611" t="s">
        <v>445</v>
      </c>
      <c r="AH611" s="1">
        <v>45326</v>
      </c>
      <c r="AI611" s="1">
        <v>45331</v>
      </c>
      <c r="AJ611" s="1">
        <v>45341</v>
      </c>
      <c r="AK611" t="s">
        <v>3651</v>
      </c>
      <c r="AL611" t="s">
        <v>2187</v>
      </c>
    </row>
    <row r="612" spans="1:38" x14ac:dyDescent="0.35">
      <c r="A612" t="s">
        <v>2189</v>
      </c>
      <c r="B612" t="s">
        <v>1335</v>
      </c>
      <c r="C612" t="s">
        <v>43</v>
      </c>
      <c r="D612" t="s">
        <v>375</v>
      </c>
      <c r="E612" t="s">
        <v>376</v>
      </c>
      <c r="F612" t="s">
        <v>146</v>
      </c>
      <c r="G612" t="s">
        <v>147</v>
      </c>
      <c r="H612">
        <v>8540</v>
      </c>
      <c r="I612">
        <f>Sales_Transactions_Raw[[#This Row],[Unit_Price]]*Sales_Transactions_Raw[[#This Row],[Quantity]]</f>
        <v>8540</v>
      </c>
      <c r="J612">
        <v>1</v>
      </c>
      <c r="K612">
        <v>10</v>
      </c>
      <c r="L612">
        <v>854</v>
      </c>
      <c r="M612">
        <v>7686</v>
      </c>
      <c r="N612">
        <v>12</v>
      </c>
      <c r="O612">
        <v>922.32</v>
      </c>
      <c r="P612">
        <v>0</v>
      </c>
      <c r="Q612">
        <v>8608.32</v>
      </c>
      <c r="R612" t="s">
        <v>92</v>
      </c>
      <c r="S612" t="s">
        <v>125</v>
      </c>
      <c r="T612" t="s">
        <v>136</v>
      </c>
      <c r="U612" t="s">
        <v>196</v>
      </c>
      <c r="V612" t="s">
        <v>67</v>
      </c>
      <c r="W612" t="s">
        <v>68</v>
      </c>
      <c r="X612" t="s">
        <v>69</v>
      </c>
      <c r="Y612" t="s">
        <v>54</v>
      </c>
      <c r="Z612" t="s">
        <v>70</v>
      </c>
      <c r="AA612" t="s">
        <v>2191</v>
      </c>
      <c r="AB612" t="s">
        <v>3335</v>
      </c>
      <c r="AC612">
        <v>4</v>
      </c>
      <c r="AD612" t="s">
        <v>56</v>
      </c>
      <c r="AE612" t="s">
        <v>3336</v>
      </c>
      <c r="AF612" t="s">
        <v>262</v>
      </c>
      <c r="AG612" t="s">
        <v>85</v>
      </c>
      <c r="AH612" s="1">
        <v>45202</v>
      </c>
      <c r="AI612" s="1">
        <v>45206</v>
      </c>
      <c r="AJ612" s="1">
        <v>45209</v>
      </c>
      <c r="AK612" t="s">
        <v>3572</v>
      </c>
      <c r="AL612" t="s">
        <v>2190</v>
      </c>
    </row>
    <row r="613" spans="1:38" x14ac:dyDescent="0.35">
      <c r="A613" t="s">
        <v>2192</v>
      </c>
      <c r="B613" t="s">
        <v>60</v>
      </c>
      <c r="C613" t="s">
        <v>89</v>
      </c>
      <c r="D613" t="s">
        <v>132</v>
      </c>
      <c r="E613" t="s">
        <v>133</v>
      </c>
      <c r="F613" t="s">
        <v>134</v>
      </c>
      <c r="G613" t="s">
        <v>135</v>
      </c>
      <c r="H613">
        <v>2870</v>
      </c>
      <c r="I613">
        <f>Sales_Transactions_Raw[[#This Row],[Unit_Price]]*Sales_Transactions_Raw[[#This Row],[Quantity]]</f>
        <v>43050</v>
      </c>
      <c r="J613">
        <v>15</v>
      </c>
      <c r="K613">
        <v>0</v>
      </c>
      <c r="L613">
        <v>0</v>
      </c>
      <c r="M613">
        <v>43050</v>
      </c>
      <c r="N613">
        <v>5</v>
      </c>
      <c r="O613">
        <v>2152.5</v>
      </c>
      <c r="P613">
        <v>0</v>
      </c>
      <c r="Q613">
        <v>45202.5</v>
      </c>
      <c r="R613" t="s">
        <v>124</v>
      </c>
      <c r="S613" t="s">
        <v>107</v>
      </c>
      <c r="T613" t="s">
        <v>115</v>
      </c>
      <c r="U613" t="s">
        <v>50</v>
      </c>
      <c r="V613" t="s">
        <v>242</v>
      </c>
      <c r="W613" t="s">
        <v>70</v>
      </c>
      <c r="X613" t="s">
        <v>381</v>
      </c>
      <c r="Y613" t="s">
        <v>199</v>
      </c>
      <c r="Z613" t="s">
        <v>52</v>
      </c>
      <c r="AA613" t="s">
        <v>2194</v>
      </c>
      <c r="AB613" t="s">
        <v>3340</v>
      </c>
      <c r="AC613">
        <v>3</v>
      </c>
      <c r="AD613" t="s">
        <v>56</v>
      </c>
      <c r="AE613" t="s">
        <v>3336</v>
      </c>
      <c r="AF613" t="s">
        <v>140</v>
      </c>
      <c r="AG613" t="s">
        <v>85</v>
      </c>
      <c r="AH613" s="1">
        <v>45155</v>
      </c>
      <c r="AI613" s="1">
        <v>45160</v>
      </c>
      <c r="AJ613" s="1">
        <v>45169</v>
      </c>
      <c r="AK613" t="s">
        <v>3392</v>
      </c>
      <c r="AL613" t="s">
        <v>2193</v>
      </c>
    </row>
    <row r="614" spans="1:38" x14ac:dyDescent="0.35">
      <c r="A614" t="s">
        <v>2195</v>
      </c>
      <c r="B614" t="s">
        <v>2135</v>
      </c>
      <c r="C614" t="s">
        <v>43</v>
      </c>
      <c r="D614" t="s">
        <v>266</v>
      </c>
      <c r="E614" t="s">
        <v>267</v>
      </c>
      <c r="F614" t="s">
        <v>211</v>
      </c>
      <c r="G614" t="s">
        <v>268</v>
      </c>
      <c r="H614">
        <v>55490</v>
      </c>
      <c r="I614">
        <f>Sales_Transactions_Raw[[#This Row],[Unit_Price]]*Sales_Transactions_Raw[[#This Row],[Quantity]]</f>
        <v>55490</v>
      </c>
      <c r="J614">
        <v>1</v>
      </c>
      <c r="K614">
        <v>5</v>
      </c>
      <c r="L614">
        <v>2774.5</v>
      </c>
      <c r="M614">
        <v>52715.5</v>
      </c>
      <c r="N614">
        <v>5</v>
      </c>
      <c r="O614">
        <v>2635.78</v>
      </c>
      <c r="P614">
        <v>0</v>
      </c>
      <c r="Q614">
        <v>55351.28</v>
      </c>
      <c r="R614" t="s">
        <v>48</v>
      </c>
      <c r="S614" t="s">
        <v>65</v>
      </c>
      <c r="T614" t="s">
        <v>115</v>
      </c>
      <c r="U614" t="s">
        <v>214</v>
      </c>
      <c r="V614" t="s">
        <v>80</v>
      </c>
      <c r="W614" t="s">
        <v>81</v>
      </c>
      <c r="X614" t="s">
        <v>443</v>
      </c>
      <c r="Y614" t="s">
        <v>97</v>
      </c>
      <c r="Z614" t="s">
        <v>95</v>
      </c>
      <c r="AA614" t="s">
        <v>2197</v>
      </c>
      <c r="AB614" t="s">
        <v>3341</v>
      </c>
      <c r="AC614">
        <v>4</v>
      </c>
      <c r="AD614" t="s">
        <v>56</v>
      </c>
      <c r="AE614" t="s">
        <v>3336</v>
      </c>
      <c r="AF614" t="s">
        <v>217</v>
      </c>
      <c r="AG614" t="s">
        <v>58</v>
      </c>
      <c r="AH614" s="1">
        <v>45358</v>
      </c>
      <c r="AI614" s="1">
        <v>45361</v>
      </c>
      <c r="AJ614" s="1">
        <v>45363</v>
      </c>
      <c r="AK614" t="s">
        <v>3652</v>
      </c>
      <c r="AL614" t="s">
        <v>2196</v>
      </c>
    </row>
    <row r="615" spans="1:38" x14ac:dyDescent="0.35">
      <c r="A615" t="s">
        <v>2198</v>
      </c>
      <c r="B615" t="s">
        <v>624</v>
      </c>
      <c r="C615" t="s">
        <v>157</v>
      </c>
      <c r="D615" t="s">
        <v>209</v>
      </c>
      <c r="E615" t="s">
        <v>210</v>
      </c>
      <c r="F615" t="s">
        <v>211</v>
      </c>
      <c r="G615" t="s">
        <v>212</v>
      </c>
      <c r="H615">
        <v>4550</v>
      </c>
      <c r="I615">
        <f>Sales_Transactions_Raw[[#This Row],[Unit_Price]]*Sales_Transactions_Raw[[#This Row],[Quantity]]</f>
        <v>9100</v>
      </c>
      <c r="J615">
        <v>2</v>
      </c>
      <c r="K615">
        <v>10</v>
      </c>
      <c r="L615">
        <v>910</v>
      </c>
      <c r="M615">
        <v>8190</v>
      </c>
      <c r="N615">
        <v>5</v>
      </c>
      <c r="O615">
        <v>409.5</v>
      </c>
      <c r="P615">
        <v>0</v>
      </c>
      <c r="Q615">
        <v>8599.5</v>
      </c>
      <c r="R615" t="s">
        <v>92</v>
      </c>
      <c r="S615" t="s">
        <v>65</v>
      </c>
      <c r="T615" t="s">
        <v>115</v>
      </c>
      <c r="U615" t="s">
        <v>196</v>
      </c>
      <c r="V615" t="s">
        <v>224</v>
      </c>
      <c r="W615" t="s">
        <v>95</v>
      </c>
      <c r="X615" t="s">
        <v>225</v>
      </c>
      <c r="Y615" t="s">
        <v>226</v>
      </c>
      <c r="Z615" t="s">
        <v>95</v>
      </c>
      <c r="AA615" t="s">
        <v>2200</v>
      </c>
      <c r="AB615" t="s">
        <v>3344</v>
      </c>
      <c r="AC615">
        <v>5</v>
      </c>
      <c r="AD615" t="s">
        <v>56</v>
      </c>
      <c r="AE615" t="s">
        <v>3336</v>
      </c>
      <c r="AF615" t="s">
        <v>57</v>
      </c>
      <c r="AG615" t="s">
        <v>58</v>
      </c>
      <c r="AH615" s="1">
        <v>45303</v>
      </c>
      <c r="AI615" s="1">
        <v>45307</v>
      </c>
      <c r="AJ615" s="1">
        <v>45313</v>
      </c>
      <c r="AK615" t="s">
        <v>3426</v>
      </c>
      <c r="AL615" t="s">
        <v>2199</v>
      </c>
    </row>
    <row r="616" spans="1:38" x14ac:dyDescent="0.35">
      <c r="A616" t="s">
        <v>2201</v>
      </c>
      <c r="B616" t="s">
        <v>559</v>
      </c>
      <c r="C616" t="s">
        <v>157</v>
      </c>
      <c r="D616" t="s">
        <v>713</v>
      </c>
      <c r="E616" t="s">
        <v>714</v>
      </c>
      <c r="F616" t="s">
        <v>46</v>
      </c>
      <c r="G616" t="s">
        <v>47</v>
      </c>
      <c r="H616">
        <v>15070</v>
      </c>
      <c r="I616">
        <f>Sales_Transactions_Raw[[#This Row],[Unit_Price]]*Sales_Transactions_Raw[[#This Row],[Quantity]]</f>
        <v>75350</v>
      </c>
      <c r="J616">
        <v>5</v>
      </c>
      <c r="K616">
        <v>10</v>
      </c>
      <c r="L616">
        <v>7535</v>
      </c>
      <c r="M616">
        <v>67815</v>
      </c>
      <c r="N616">
        <v>18</v>
      </c>
      <c r="O616">
        <v>12206.7</v>
      </c>
      <c r="P616">
        <v>0</v>
      </c>
      <c r="Q616">
        <v>80021.7</v>
      </c>
      <c r="R616" t="s">
        <v>92</v>
      </c>
      <c r="S616" t="s">
        <v>93</v>
      </c>
      <c r="T616" t="s">
        <v>136</v>
      </c>
      <c r="U616" t="s">
        <v>214</v>
      </c>
      <c r="V616" t="s">
        <v>80</v>
      </c>
      <c r="W616" t="s">
        <v>81</v>
      </c>
      <c r="X616" t="s">
        <v>599</v>
      </c>
      <c r="Y616" t="s">
        <v>319</v>
      </c>
      <c r="Z616" t="s">
        <v>95</v>
      </c>
      <c r="AA616" t="s">
        <v>2203</v>
      </c>
      <c r="AB616" t="s">
        <v>3339</v>
      </c>
      <c r="AC616">
        <v>4</v>
      </c>
      <c r="AD616" t="s">
        <v>56</v>
      </c>
      <c r="AE616" t="s">
        <v>3336</v>
      </c>
      <c r="AF616" t="s">
        <v>279</v>
      </c>
      <c r="AG616" t="s">
        <v>3337</v>
      </c>
      <c r="AH616" s="1">
        <v>44988</v>
      </c>
      <c r="AI616" s="1">
        <v>44995</v>
      </c>
      <c r="AJ616" s="1">
        <v>45000</v>
      </c>
      <c r="AK616" t="s">
        <v>3536</v>
      </c>
      <c r="AL616" t="s">
        <v>2202</v>
      </c>
    </row>
    <row r="617" spans="1:38" x14ac:dyDescent="0.35">
      <c r="A617" t="s">
        <v>2204</v>
      </c>
      <c r="B617" t="s">
        <v>656</v>
      </c>
      <c r="C617" t="s">
        <v>43</v>
      </c>
      <c r="D617" t="s">
        <v>956</v>
      </c>
      <c r="E617" t="s">
        <v>957</v>
      </c>
      <c r="F617" t="s">
        <v>46</v>
      </c>
      <c r="G617" t="s">
        <v>147</v>
      </c>
      <c r="H617">
        <v>9070</v>
      </c>
      <c r="I617">
        <f>Sales_Transactions_Raw[[#This Row],[Unit_Price]]*Sales_Transactions_Raw[[#This Row],[Quantity]]</f>
        <v>9070</v>
      </c>
      <c r="J617">
        <v>1</v>
      </c>
      <c r="K617">
        <v>10</v>
      </c>
      <c r="L617">
        <v>907</v>
      </c>
      <c r="M617">
        <v>8163</v>
      </c>
      <c r="N617">
        <v>18</v>
      </c>
      <c r="O617">
        <v>1469.34</v>
      </c>
      <c r="P617">
        <v>0</v>
      </c>
      <c r="Q617">
        <v>9632.34</v>
      </c>
      <c r="R617" t="s">
        <v>106</v>
      </c>
      <c r="S617" t="s">
        <v>65</v>
      </c>
      <c r="T617" t="s">
        <v>213</v>
      </c>
      <c r="U617" t="s">
        <v>214</v>
      </c>
      <c r="V617" t="s">
        <v>80</v>
      </c>
      <c r="W617" t="s">
        <v>81</v>
      </c>
      <c r="X617" t="s">
        <v>243</v>
      </c>
      <c r="Y617" t="s">
        <v>244</v>
      </c>
      <c r="Z617" t="s">
        <v>70</v>
      </c>
      <c r="AA617" t="s">
        <v>2206</v>
      </c>
      <c r="AB617" t="s">
        <v>3338</v>
      </c>
      <c r="AC617">
        <v>4</v>
      </c>
      <c r="AD617" t="s">
        <v>179</v>
      </c>
      <c r="AE617" t="s">
        <v>3336</v>
      </c>
      <c r="AF617" t="s">
        <v>84</v>
      </c>
      <c r="AG617" t="s">
        <v>58</v>
      </c>
      <c r="AH617" s="1">
        <v>45169</v>
      </c>
      <c r="AI617" s="1">
        <v>45171</v>
      </c>
      <c r="AJ617" s="1">
        <v>45178</v>
      </c>
      <c r="AK617" t="s">
        <v>3653</v>
      </c>
      <c r="AL617" t="s">
        <v>2205</v>
      </c>
    </row>
    <row r="618" spans="1:38" x14ac:dyDescent="0.35">
      <c r="A618" t="s">
        <v>2207</v>
      </c>
      <c r="B618" t="s">
        <v>948</v>
      </c>
      <c r="C618" t="s">
        <v>43</v>
      </c>
      <c r="D618" t="s">
        <v>375</v>
      </c>
      <c r="E618" t="s">
        <v>376</v>
      </c>
      <c r="F618" t="s">
        <v>146</v>
      </c>
      <c r="G618" t="s">
        <v>147</v>
      </c>
      <c r="H618">
        <v>8710</v>
      </c>
      <c r="I618">
        <f>Sales_Transactions_Raw[[#This Row],[Unit_Price]]*Sales_Transactions_Raw[[#This Row],[Quantity]]</f>
        <v>34840</v>
      </c>
      <c r="J618">
        <v>4</v>
      </c>
      <c r="K618">
        <v>5</v>
      </c>
      <c r="L618">
        <v>1742</v>
      </c>
      <c r="M618">
        <v>33098</v>
      </c>
      <c r="N618">
        <v>12</v>
      </c>
      <c r="O618">
        <v>3971.76</v>
      </c>
      <c r="P618">
        <v>0</v>
      </c>
      <c r="Q618">
        <v>37069.760000000002</v>
      </c>
      <c r="R618" t="s">
        <v>106</v>
      </c>
      <c r="S618" t="s">
        <v>107</v>
      </c>
      <c r="T618" t="s">
        <v>115</v>
      </c>
      <c r="U618" t="s">
        <v>108</v>
      </c>
      <c r="V618" t="s">
        <v>224</v>
      </c>
      <c r="W618" t="s">
        <v>95</v>
      </c>
      <c r="X618" t="s">
        <v>510</v>
      </c>
      <c r="Y618" t="s">
        <v>199</v>
      </c>
      <c r="Z618" t="s">
        <v>52</v>
      </c>
      <c r="AA618" t="s">
        <v>2209</v>
      </c>
      <c r="AB618" t="s">
        <v>3335</v>
      </c>
      <c r="AC618">
        <v>4</v>
      </c>
      <c r="AD618" t="s">
        <v>56</v>
      </c>
      <c r="AE618" t="s">
        <v>3336</v>
      </c>
      <c r="AF618" t="s">
        <v>57</v>
      </c>
      <c r="AG618" t="s">
        <v>58</v>
      </c>
      <c r="AH618" s="1">
        <v>45467</v>
      </c>
      <c r="AI618" s="1">
        <v>45473</v>
      </c>
      <c r="AJ618" s="1">
        <v>45476</v>
      </c>
      <c r="AK618" t="s">
        <v>3618</v>
      </c>
      <c r="AL618" t="s">
        <v>2208</v>
      </c>
    </row>
    <row r="619" spans="1:38" x14ac:dyDescent="0.35">
      <c r="A619" t="s">
        <v>2210</v>
      </c>
      <c r="B619" t="s">
        <v>1036</v>
      </c>
      <c r="C619" t="s">
        <v>89</v>
      </c>
      <c r="D619" t="s">
        <v>44</v>
      </c>
      <c r="E619" t="s">
        <v>45</v>
      </c>
      <c r="F619" t="s">
        <v>46</v>
      </c>
      <c r="G619" t="s">
        <v>47</v>
      </c>
      <c r="H619">
        <v>13290</v>
      </c>
      <c r="I619">
        <f>Sales_Transactions_Raw[[#This Row],[Unit_Price]]*Sales_Transactions_Raw[[#This Row],[Quantity]]</f>
        <v>13290</v>
      </c>
      <c r="J619">
        <v>1</v>
      </c>
      <c r="K619">
        <v>5</v>
      </c>
      <c r="L619">
        <v>664.5</v>
      </c>
      <c r="M619">
        <v>12625.5</v>
      </c>
      <c r="N619">
        <v>18</v>
      </c>
      <c r="O619">
        <v>2272.59</v>
      </c>
      <c r="P619">
        <v>0</v>
      </c>
      <c r="Q619">
        <v>14898.09</v>
      </c>
      <c r="R619" t="s">
        <v>79</v>
      </c>
      <c r="S619" t="s">
        <v>93</v>
      </c>
      <c r="T619" t="s">
        <v>115</v>
      </c>
      <c r="U619" t="s">
        <v>161</v>
      </c>
      <c r="V619" t="s">
        <v>242</v>
      </c>
      <c r="W619" t="s">
        <v>70</v>
      </c>
      <c r="X619" t="s">
        <v>96</v>
      </c>
      <c r="Y619" t="s">
        <v>97</v>
      </c>
      <c r="Z619" t="s">
        <v>95</v>
      </c>
      <c r="AB619" t="s">
        <v>3344</v>
      </c>
      <c r="AC619">
        <v>4</v>
      </c>
      <c r="AD619" t="s">
        <v>56</v>
      </c>
      <c r="AE619" t="s">
        <v>3336</v>
      </c>
      <c r="AF619" t="s">
        <v>326</v>
      </c>
      <c r="AG619" t="s">
        <v>3337</v>
      </c>
      <c r="AH619" s="1">
        <v>45303</v>
      </c>
      <c r="AI619" s="1">
        <v>45307</v>
      </c>
      <c r="AJ619" s="1">
        <v>45309</v>
      </c>
      <c r="AK619" t="s">
        <v>3602</v>
      </c>
      <c r="AL619" t="s">
        <v>2211</v>
      </c>
    </row>
    <row r="620" spans="1:38" x14ac:dyDescent="0.35">
      <c r="A620" t="s">
        <v>2212</v>
      </c>
      <c r="B620" t="s">
        <v>691</v>
      </c>
      <c r="C620" t="s">
        <v>89</v>
      </c>
      <c r="D620" t="s">
        <v>266</v>
      </c>
      <c r="E620" t="s">
        <v>267</v>
      </c>
      <c r="F620" t="s">
        <v>211</v>
      </c>
      <c r="G620" t="s">
        <v>268</v>
      </c>
      <c r="H620">
        <v>50860</v>
      </c>
      <c r="I620">
        <f>Sales_Transactions_Raw[[#This Row],[Unit_Price]]*Sales_Transactions_Raw[[#This Row],[Quantity]]</f>
        <v>101720</v>
      </c>
      <c r="J620">
        <v>2</v>
      </c>
      <c r="K620">
        <v>0</v>
      </c>
      <c r="L620">
        <v>0</v>
      </c>
      <c r="M620">
        <v>101720</v>
      </c>
      <c r="N620">
        <v>5</v>
      </c>
      <c r="O620">
        <v>5086</v>
      </c>
      <c r="P620">
        <v>0</v>
      </c>
      <c r="Q620">
        <v>106806</v>
      </c>
      <c r="R620" t="s">
        <v>160</v>
      </c>
      <c r="S620" t="s">
        <v>65</v>
      </c>
      <c r="T620" t="s">
        <v>66</v>
      </c>
      <c r="U620" t="s">
        <v>108</v>
      </c>
      <c r="V620" t="s">
        <v>51</v>
      </c>
      <c r="W620" t="s">
        <v>52</v>
      </c>
      <c r="X620" t="s">
        <v>626</v>
      </c>
      <c r="Y620" t="s">
        <v>289</v>
      </c>
      <c r="Z620" t="s">
        <v>52</v>
      </c>
      <c r="AA620" t="s">
        <v>2214</v>
      </c>
      <c r="AB620" t="s">
        <v>3335</v>
      </c>
      <c r="AC620">
        <v>4</v>
      </c>
      <c r="AD620" t="s">
        <v>56</v>
      </c>
      <c r="AE620" t="s">
        <v>3336</v>
      </c>
      <c r="AF620" t="s">
        <v>84</v>
      </c>
      <c r="AG620" t="s">
        <v>111</v>
      </c>
      <c r="AH620" s="1">
        <v>45067</v>
      </c>
      <c r="AI620" s="1">
        <v>45074</v>
      </c>
      <c r="AJ620" s="1">
        <v>45079</v>
      </c>
      <c r="AK620" t="s">
        <v>3449</v>
      </c>
      <c r="AL620" t="s">
        <v>2213</v>
      </c>
    </row>
    <row r="621" spans="1:38" x14ac:dyDescent="0.35">
      <c r="A621" t="s">
        <v>2215</v>
      </c>
      <c r="B621" t="s">
        <v>74</v>
      </c>
      <c r="C621" t="s">
        <v>157</v>
      </c>
      <c r="D621" t="s">
        <v>391</v>
      </c>
      <c r="E621" t="s">
        <v>392</v>
      </c>
      <c r="F621" t="s">
        <v>46</v>
      </c>
      <c r="G621" t="s">
        <v>176</v>
      </c>
      <c r="H621">
        <v>10670</v>
      </c>
      <c r="I621">
        <f>Sales_Transactions_Raw[[#This Row],[Unit_Price]]*Sales_Transactions_Raw[[#This Row],[Quantity]]</f>
        <v>106700</v>
      </c>
      <c r="J621">
        <v>10</v>
      </c>
      <c r="K621">
        <v>10</v>
      </c>
      <c r="L621">
        <v>10670</v>
      </c>
      <c r="M621">
        <v>96030</v>
      </c>
      <c r="N621">
        <v>18</v>
      </c>
      <c r="O621">
        <v>17285.400000000001</v>
      </c>
      <c r="P621">
        <v>0</v>
      </c>
      <c r="Q621">
        <v>113315.4</v>
      </c>
      <c r="R621" t="s">
        <v>106</v>
      </c>
      <c r="S621" t="s">
        <v>49</v>
      </c>
      <c r="T621" t="s">
        <v>115</v>
      </c>
      <c r="U621" t="s">
        <v>161</v>
      </c>
      <c r="V621" t="s">
        <v>197</v>
      </c>
      <c r="W621" t="s">
        <v>68</v>
      </c>
      <c r="X621" t="s">
        <v>288</v>
      </c>
      <c r="Y621" t="s">
        <v>289</v>
      </c>
      <c r="Z621" t="s">
        <v>52</v>
      </c>
      <c r="AA621" t="s">
        <v>2217</v>
      </c>
      <c r="AB621" t="s">
        <v>3335</v>
      </c>
      <c r="AC621">
        <v>4</v>
      </c>
      <c r="AD621" t="s">
        <v>56</v>
      </c>
      <c r="AE621" t="s">
        <v>3336</v>
      </c>
      <c r="AF621" t="s">
        <v>326</v>
      </c>
      <c r="AG621" t="s">
        <v>111</v>
      </c>
      <c r="AH621" s="1">
        <v>45044</v>
      </c>
      <c r="AI621" s="1">
        <v>45049</v>
      </c>
      <c r="AJ621" s="1">
        <v>45057</v>
      </c>
      <c r="AK621" t="s">
        <v>3351</v>
      </c>
      <c r="AL621" t="s">
        <v>2216</v>
      </c>
    </row>
    <row r="622" spans="1:38" x14ac:dyDescent="0.35">
      <c r="A622" t="s">
        <v>2218</v>
      </c>
      <c r="B622" t="s">
        <v>373</v>
      </c>
      <c r="C622" t="s">
        <v>157</v>
      </c>
      <c r="D622" t="s">
        <v>956</v>
      </c>
      <c r="E622" t="s">
        <v>957</v>
      </c>
      <c r="F622" t="s">
        <v>46</v>
      </c>
      <c r="G622" t="s">
        <v>147</v>
      </c>
      <c r="H622">
        <v>8580</v>
      </c>
      <c r="I622">
        <f>Sales_Transactions_Raw[[#This Row],[Unit_Price]]*Sales_Transactions_Raw[[#This Row],[Quantity]]</f>
        <v>17160</v>
      </c>
      <c r="J622">
        <v>2</v>
      </c>
      <c r="K622">
        <v>5</v>
      </c>
      <c r="L622">
        <v>858</v>
      </c>
      <c r="M622">
        <v>16302</v>
      </c>
      <c r="N622">
        <v>18</v>
      </c>
      <c r="O622">
        <v>2934.36</v>
      </c>
      <c r="P622">
        <v>0</v>
      </c>
      <c r="Q622">
        <v>19236.36</v>
      </c>
      <c r="R622" t="s">
        <v>124</v>
      </c>
      <c r="S622" t="s">
        <v>107</v>
      </c>
      <c r="T622" t="s">
        <v>115</v>
      </c>
      <c r="U622" t="s">
        <v>161</v>
      </c>
      <c r="V622" t="s">
        <v>297</v>
      </c>
      <c r="W622" t="s">
        <v>52</v>
      </c>
      <c r="X622" t="s">
        <v>243</v>
      </c>
      <c r="Y622" t="s">
        <v>244</v>
      </c>
      <c r="Z622" t="s">
        <v>70</v>
      </c>
      <c r="AA622" t="s">
        <v>2220</v>
      </c>
      <c r="AB622" t="s">
        <v>3340</v>
      </c>
      <c r="AC622">
        <v>4</v>
      </c>
      <c r="AD622" t="s">
        <v>56</v>
      </c>
      <c r="AE622" t="s">
        <v>3336</v>
      </c>
      <c r="AF622" t="s">
        <v>326</v>
      </c>
      <c r="AG622" t="s">
        <v>58</v>
      </c>
      <c r="AH622" s="1">
        <v>45376</v>
      </c>
      <c r="AI622" s="1">
        <v>45378</v>
      </c>
      <c r="AJ622" s="1">
        <v>45388</v>
      </c>
      <c r="AK622" t="s">
        <v>3654</v>
      </c>
      <c r="AL622" t="s">
        <v>2219</v>
      </c>
    </row>
    <row r="623" spans="1:38" x14ac:dyDescent="0.35">
      <c r="A623" t="s">
        <v>2221</v>
      </c>
      <c r="B623" t="s">
        <v>272</v>
      </c>
      <c r="C623" t="s">
        <v>157</v>
      </c>
      <c r="D623" t="s">
        <v>266</v>
      </c>
      <c r="E623" t="s">
        <v>267</v>
      </c>
      <c r="F623" t="s">
        <v>211</v>
      </c>
      <c r="G623" t="s">
        <v>268</v>
      </c>
      <c r="H623">
        <v>29347.846790890268</v>
      </c>
      <c r="I623">
        <f>Sales_Transactions_Raw[[#This Row],[Unit_Price]]*Sales_Transactions_Raw[[#This Row],[Quantity]]</f>
        <v>29347.846790890268</v>
      </c>
      <c r="J623">
        <v>1</v>
      </c>
      <c r="K623">
        <v>10</v>
      </c>
      <c r="L623">
        <v>5136</v>
      </c>
      <c r="M623">
        <v>46224</v>
      </c>
      <c r="N623">
        <v>5</v>
      </c>
      <c r="O623">
        <v>2311.1999999999998</v>
      </c>
      <c r="P623">
        <v>0</v>
      </c>
      <c r="Q623">
        <v>48535.199999999997</v>
      </c>
      <c r="R623" t="s">
        <v>48</v>
      </c>
      <c r="S623" t="s">
        <v>49</v>
      </c>
      <c r="T623" t="s">
        <v>115</v>
      </c>
      <c r="U623" t="s">
        <v>161</v>
      </c>
      <c r="V623" t="s">
        <v>197</v>
      </c>
      <c r="W623" t="s">
        <v>68</v>
      </c>
      <c r="X623" t="s">
        <v>397</v>
      </c>
      <c r="Y623" t="s">
        <v>226</v>
      </c>
      <c r="Z623" t="s">
        <v>95</v>
      </c>
      <c r="AA623" t="s">
        <v>2223</v>
      </c>
      <c r="AB623" t="s">
        <v>3343</v>
      </c>
      <c r="AC623">
        <v>5</v>
      </c>
      <c r="AD623" t="s">
        <v>179</v>
      </c>
      <c r="AE623" t="s">
        <v>3336</v>
      </c>
      <c r="AF623" t="s">
        <v>262</v>
      </c>
      <c r="AG623" t="s">
        <v>58</v>
      </c>
      <c r="AH623" s="1">
        <v>45361</v>
      </c>
      <c r="AI623" s="1">
        <v>45362</v>
      </c>
      <c r="AJ623" s="1">
        <v>45364</v>
      </c>
      <c r="AK623" t="s">
        <v>3446</v>
      </c>
      <c r="AL623" t="s">
        <v>2222</v>
      </c>
    </row>
    <row r="624" spans="1:38" x14ac:dyDescent="0.35">
      <c r="A624" t="s">
        <v>2224</v>
      </c>
      <c r="B624" t="s">
        <v>373</v>
      </c>
      <c r="C624" t="s">
        <v>131</v>
      </c>
      <c r="D624" t="s">
        <v>317</v>
      </c>
      <c r="E624" t="s">
        <v>77</v>
      </c>
      <c r="F624" t="s">
        <v>46</v>
      </c>
      <c r="G624" t="s">
        <v>176</v>
      </c>
      <c r="H624">
        <v>29930</v>
      </c>
      <c r="I624">
        <f>Sales_Transactions_Raw[[#This Row],[Unit_Price]]*Sales_Transactions_Raw[[#This Row],[Quantity]]</f>
        <v>29930</v>
      </c>
      <c r="J624">
        <v>1</v>
      </c>
      <c r="K624">
        <v>10</v>
      </c>
      <c r="L624">
        <v>2993</v>
      </c>
      <c r="M624">
        <v>26937</v>
      </c>
      <c r="N624">
        <v>18</v>
      </c>
      <c r="O624">
        <v>4848.66</v>
      </c>
      <c r="P624">
        <v>0</v>
      </c>
      <c r="Q624">
        <v>31785.66</v>
      </c>
      <c r="R624" t="s">
        <v>160</v>
      </c>
      <c r="S624" t="s">
        <v>125</v>
      </c>
      <c r="T624" t="s">
        <v>66</v>
      </c>
      <c r="U624" t="s">
        <v>108</v>
      </c>
      <c r="V624" t="s">
        <v>269</v>
      </c>
      <c r="W624" t="s">
        <v>70</v>
      </c>
      <c r="X624" t="s">
        <v>126</v>
      </c>
      <c r="Y624" t="s">
        <v>127</v>
      </c>
      <c r="Z624" t="s">
        <v>68</v>
      </c>
      <c r="AA624" t="s">
        <v>2225</v>
      </c>
      <c r="AB624" t="s">
        <v>3338</v>
      </c>
      <c r="AC624">
        <v>5</v>
      </c>
      <c r="AD624" t="s">
        <v>56</v>
      </c>
      <c r="AE624" t="s">
        <v>3336</v>
      </c>
      <c r="AF624" t="s">
        <v>326</v>
      </c>
      <c r="AG624" t="s">
        <v>3337</v>
      </c>
      <c r="AH624" s="1">
        <v>45401</v>
      </c>
      <c r="AI624" s="1">
        <v>45402</v>
      </c>
      <c r="AJ624" s="1">
        <v>45404</v>
      </c>
      <c r="AK624" t="s">
        <v>3655</v>
      </c>
      <c r="AL624" t="s">
        <v>3744</v>
      </c>
    </row>
    <row r="625" spans="1:38" x14ac:dyDescent="0.35">
      <c r="A625" t="s">
        <v>2226</v>
      </c>
      <c r="B625" t="s">
        <v>484</v>
      </c>
      <c r="C625" t="s">
        <v>157</v>
      </c>
      <c r="D625" t="s">
        <v>132</v>
      </c>
      <c r="E625" t="s">
        <v>133</v>
      </c>
      <c r="F625" t="s">
        <v>134</v>
      </c>
      <c r="G625" t="s">
        <v>135</v>
      </c>
      <c r="H625">
        <v>2810</v>
      </c>
      <c r="I625">
        <f>Sales_Transactions_Raw[[#This Row],[Unit_Price]]*Sales_Transactions_Raw[[#This Row],[Quantity]]</f>
        <v>19670</v>
      </c>
      <c r="J625">
        <v>7</v>
      </c>
      <c r="K625">
        <v>5</v>
      </c>
      <c r="L625">
        <v>983.5</v>
      </c>
      <c r="M625">
        <v>18686.5</v>
      </c>
      <c r="N625">
        <v>5</v>
      </c>
      <c r="O625">
        <v>934.33</v>
      </c>
      <c r="P625">
        <v>0</v>
      </c>
      <c r="Q625">
        <v>19620.830000000002</v>
      </c>
      <c r="R625" t="s">
        <v>64</v>
      </c>
      <c r="S625" t="s">
        <v>65</v>
      </c>
      <c r="T625" t="s">
        <v>115</v>
      </c>
      <c r="U625" t="s">
        <v>108</v>
      </c>
      <c r="V625" t="s">
        <v>51</v>
      </c>
      <c r="W625" t="s">
        <v>52</v>
      </c>
      <c r="X625" t="s">
        <v>370</v>
      </c>
      <c r="Y625" t="s">
        <v>151</v>
      </c>
      <c r="Z625" t="s">
        <v>81</v>
      </c>
      <c r="AA625" t="s">
        <v>2228</v>
      </c>
      <c r="AB625" t="s">
        <v>3340</v>
      </c>
      <c r="AC625">
        <v>3</v>
      </c>
      <c r="AD625" t="s">
        <v>56</v>
      </c>
      <c r="AE625" t="s">
        <v>3336</v>
      </c>
      <c r="AF625" t="s">
        <v>84</v>
      </c>
      <c r="AG625" t="s">
        <v>85</v>
      </c>
      <c r="AH625" s="1">
        <v>45160</v>
      </c>
      <c r="AI625" s="1">
        <v>45167</v>
      </c>
      <c r="AJ625" s="1">
        <v>45171</v>
      </c>
      <c r="AK625" t="s">
        <v>3656</v>
      </c>
      <c r="AL625" t="s">
        <v>2227</v>
      </c>
    </row>
    <row r="626" spans="1:38" x14ac:dyDescent="0.35">
      <c r="A626" t="s">
        <v>2229</v>
      </c>
      <c r="B626" t="s">
        <v>680</v>
      </c>
      <c r="C626" t="s">
        <v>157</v>
      </c>
      <c r="D626" t="s">
        <v>402</v>
      </c>
      <c r="E626" t="s">
        <v>403</v>
      </c>
      <c r="F626" t="s">
        <v>146</v>
      </c>
      <c r="G626" t="s">
        <v>223</v>
      </c>
      <c r="H626">
        <v>1930</v>
      </c>
      <c r="I626">
        <f>Sales_Transactions_Raw[[#This Row],[Unit_Price]]*Sales_Transactions_Raw[[#This Row],[Quantity]]</f>
        <v>3860</v>
      </c>
      <c r="J626">
        <v>2</v>
      </c>
      <c r="K626">
        <v>5</v>
      </c>
      <c r="L626">
        <v>193</v>
      </c>
      <c r="M626">
        <v>3667</v>
      </c>
      <c r="N626">
        <v>12</v>
      </c>
      <c r="O626">
        <v>440.04</v>
      </c>
      <c r="P626">
        <v>149</v>
      </c>
      <c r="Q626">
        <v>4107.04</v>
      </c>
      <c r="R626" t="s">
        <v>79</v>
      </c>
      <c r="S626" t="s">
        <v>125</v>
      </c>
      <c r="T626" t="s">
        <v>115</v>
      </c>
      <c r="U626" t="s">
        <v>50</v>
      </c>
      <c r="V626" t="s">
        <v>116</v>
      </c>
      <c r="W626" t="s">
        <v>70</v>
      </c>
      <c r="X626" t="s">
        <v>198</v>
      </c>
      <c r="Y626" t="s">
        <v>199</v>
      </c>
      <c r="Z626" t="s">
        <v>52</v>
      </c>
      <c r="AA626" t="s">
        <v>2231</v>
      </c>
      <c r="AB626" t="s">
        <v>3335</v>
      </c>
      <c r="AC626">
        <v>4</v>
      </c>
      <c r="AD626" t="s">
        <v>56</v>
      </c>
      <c r="AE626" t="s">
        <v>3336</v>
      </c>
      <c r="AF626" t="s">
        <v>164</v>
      </c>
      <c r="AG626" t="s">
        <v>111</v>
      </c>
      <c r="AH626" s="1">
        <v>45140</v>
      </c>
      <c r="AI626" s="1">
        <v>45141</v>
      </c>
      <c r="AJ626" s="1">
        <v>45145</v>
      </c>
      <c r="AK626" t="s">
        <v>3544</v>
      </c>
      <c r="AL626" t="s">
        <v>2230</v>
      </c>
    </row>
    <row r="627" spans="1:38" x14ac:dyDescent="0.35">
      <c r="A627" t="s">
        <v>2232</v>
      </c>
      <c r="B627" t="s">
        <v>1000</v>
      </c>
      <c r="C627" t="s">
        <v>43</v>
      </c>
      <c r="D627" t="s">
        <v>667</v>
      </c>
      <c r="E627" t="s">
        <v>668</v>
      </c>
      <c r="F627" t="s">
        <v>146</v>
      </c>
      <c r="G627" t="s">
        <v>195</v>
      </c>
      <c r="H627">
        <v>9240</v>
      </c>
      <c r="I627">
        <f>Sales_Transactions_Raw[[#This Row],[Unit_Price]]*Sales_Transactions_Raw[[#This Row],[Quantity]]</f>
        <v>184800</v>
      </c>
      <c r="J627">
        <v>20</v>
      </c>
      <c r="K627">
        <v>25</v>
      </c>
      <c r="L627">
        <v>46200</v>
      </c>
      <c r="M627">
        <v>138600</v>
      </c>
      <c r="N627">
        <v>12</v>
      </c>
      <c r="O627">
        <v>16632</v>
      </c>
      <c r="P627">
        <v>0</v>
      </c>
      <c r="Q627">
        <v>155232</v>
      </c>
      <c r="R627" t="s">
        <v>106</v>
      </c>
      <c r="S627" t="s">
        <v>93</v>
      </c>
      <c r="T627" t="s">
        <v>66</v>
      </c>
      <c r="U627" t="s">
        <v>161</v>
      </c>
      <c r="V627" t="s">
        <v>67</v>
      </c>
      <c r="W627" t="s">
        <v>68</v>
      </c>
      <c r="X627" t="s">
        <v>510</v>
      </c>
      <c r="Y627" t="s">
        <v>199</v>
      </c>
      <c r="Z627" t="s">
        <v>52</v>
      </c>
      <c r="AA627" t="s">
        <v>2234</v>
      </c>
      <c r="AB627" t="s">
        <v>3339</v>
      </c>
      <c r="AC627">
        <v>4</v>
      </c>
      <c r="AD627" t="s">
        <v>56</v>
      </c>
      <c r="AE627" t="s">
        <v>3336</v>
      </c>
      <c r="AF627" t="s">
        <v>227</v>
      </c>
      <c r="AG627" t="s">
        <v>85</v>
      </c>
      <c r="AH627" s="1">
        <v>45271</v>
      </c>
      <c r="AI627" s="1">
        <v>45277</v>
      </c>
      <c r="AJ627" s="1">
        <v>45281</v>
      </c>
      <c r="AK627" t="s">
        <v>3507</v>
      </c>
      <c r="AL627" t="s">
        <v>2233</v>
      </c>
    </row>
    <row r="628" spans="1:38" x14ac:dyDescent="0.35">
      <c r="A628" t="s">
        <v>2235</v>
      </c>
      <c r="B628" t="s">
        <v>418</v>
      </c>
      <c r="C628" t="s">
        <v>43</v>
      </c>
      <c r="D628" t="s">
        <v>406</v>
      </c>
      <c r="E628" t="s">
        <v>231</v>
      </c>
      <c r="F628" t="s">
        <v>46</v>
      </c>
      <c r="G628" t="s">
        <v>369</v>
      </c>
      <c r="H628">
        <v>89820</v>
      </c>
      <c r="I628">
        <f>Sales_Transactions_Raw[[#This Row],[Unit_Price]]*Sales_Transactions_Raw[[#This Row],[Quantity]]</f>
        <v>449100</v>
      </c>
      <c r="J628">
        <v>5</v>
      </c>
      <c r="K628">
        <v>15</v>
      </c>
      <c r="L628">
        <v>67365</v>
      </c>
      <c r="M628">
        <v>381735</v>
      </c>
      <c r="N628">
        <v>18</v>
      </c>
      <c r="O628">
        <v>68712.3</v>
      </c>
      <c r="P628">
        <v>0</v>
      </c>
      <c r="Q628">
        <v>450447.3</v>
      </c>
      <c r="R628" t="s">
        <v>160</v>
      </c>
      <c r="S628" t="s">
        <v>93</v>
      </c>
      <c r="T628" t="s">
        <v>115</v>
      </c>
      <c r="U628" t="s">
        <v>161</v>
      </c>
      <c r="V628" t="s">
        <v>224</v>
      </c>
      <c r="W628" t="s">
        <v>95</v>
      </c>
      <c r="X628" t="s">
        <v>162</v>
      </c>
      <c r="Y628" t="s">
        <v>109</v>
      </c>
      <c r="Z628" t="s">
        <v>70</v>
      </c>
      <c r="AA628" t="s">
        <v>2237</v>
      </c>
      <c r="AB628" t="s">
        <v>3335</v>
      </c>
      <c r="AC628">
        <v>4</v>
      </c>
      <c r="AD628" t="s">
        <v>56</v>
      </c>
      <c r="AE628" t="s">
        <v>3336</v>
      </c>
      <c r="AF628" t="s">
        <v>279</v>
      </c>
      <c r="AG628" t="s">
        <v>3337</v>
      </c>
      <c r="AH628" s="1">
        <v>45410</v>
      </c>
      <c r="AI628" s="1">
        <v>45411</v>
      </c>
      <c r="AJ628" s="1">
        <v>45413</v>
      </c>
      <c r="AK628" t="s">
        <v>3389</v>
      </c>
      <c r="AL628" t="s">
        <v>2236</v>
      </c>
    </row>
    <row r="629" spans="1:38" x14ac:dyDescent="0.35">
      <c r="A629" t="s">
        <v>2238</v>
      </c>
      <c r="B629" t="s">
        <v>2135</v>
      </c>
      <c r="C629" t="s">
        <v>43</v>
      </c>
      <c r="D629" t="s">
        <v>44</v>
      </c>
      <c r="E629" t="s">
        <v>45</v>
      </c>
      <c r="F629" t="s">
        <v>46</v>
      </c>
      <c r="G629" t="s">
        <v>47</v>
      </c>
      <c r="H629">
        <v>11760</v>
      </c>
      <c r="I629">
        <f>Sales_Transactions_Raw[[#This Row],[Unit_Price]]*Sales_Transactions_Raw[[#This Row],[Quantity]]</f>
        <v>23520</v>
      </c>
      <c r="J629">
        <v>2</v>
      </c>
      <c r="K629">
        <v>0</v>
      </c>
      <c r="L629">
        <v>0</v>
      </c>
      <c r="M629">
        <v>23520</v>
      </c>
      <c r="N629">
        <v>18</v>
      </c>
      <c r="O629">
        <v>4233.6000000000004</v>
      </c>
      <c r="P629">
        <v>0</v>
      </c>
      <c r="Q629">
        <v>27753.599999999999</v>
      </c>
      <c r="R629" t="s">
        <v>48</v>
      </c>
      <c r="S629" t="s">
        <v>93</v>
      </c>
      <c r="T629" t="s">
        <v>115</v>
      </c>
      <c r="U629" t="s">
        <v>50</v>
      </c>
      <c r="V629" t="s">
        <v>269</v>
      </c>
      <c r="W629" t="s">
        <v>70</v>
      </c>
      <c r="X629" t="s">
        <v>340</v>
      </c>
      <c r="Y629" t="s">
        <v>169</v>
      </c>
      <c r="Z629" t="s">
        <v>95</v>
      </c>
      <c r="AA629" t="s">
        <v>2240</v>
      </c>
      <c r="AB629" t="s">
        <v>3341</v>
      </c>
      <c r="AC629">
        <v>4</v>
      </c>
      <c r="AD629" t="s">
        <v>56</v>
      </c>
      <c r="AE629" t="s">
        <v>3336</v>
      </c>
      <c r="AF629" t="s">
        <v>262</v>
      </c>
      <c r="AG629" t="s">
        <v>58</v>
      </c>
      <c r="AH629" s="1">
        <v>45285</v>
      </c>
      <c r="AI629" s="1">
        <v>45286</v>
      </c>
      <c r="AJ629" s="1">
        <v>45288</v>
      </c>
      <c r="AK629" t="s">
        <v>3611</v>
      </c>
      <c r="AL629" t="s">
        <v>2239</v>
      </c>
    </row>
    <row r="630" spans="1:38" x14ac:dyDescent="0.35">
      <c r="A630" t="s">
        <v>2241</v>
      </c>
      <c r="B630" t="s">
        <v>472</v>
      </c>
      <c r="C630" t="s">
        <v>157</v>
      </c>
      <c r="D630" t="s">
        <v>466</v>
      </c>
      <c r="E630" t="s">
        <v>467</v>
      </c>
      <c r="F630" t="s">
        <v>185</v>
      </c>
      <c r="G630" t="s">
        <v>468</v>
      </c>
      <c r="H630">
        <v>650</v>
      </c>
      <c r="I630">
        <f>Sales_Transactions_Raw[[#This Row],[Unit_Price]]*Sales_Transactions_Raw[[#This Row],[Quantity]]</f>
        <v>650</v>
      </c>
      <c r="J630">
        <v>1</v>
      </c>
      <c r="K630">
        <v>0</v>
      </c>
      <c r="L630">
        <v>0</v>
      </c>
      <c r="M630">
        <v>650</v>
      </c>
      <c r="N630">
        <v>5</v>
      </c>
      <c r="O630">
        <v>32.5</v>
      </c>
      <c r="P630">
        <v>99</v>
      </c>
      <c r="Q630">
        <v>682.5</v>
      </c>
      <c r="R630" t="s">
        <v>48</v>
      </c>
      <c r="S630" t="s">
        <v>107</v>
      </c>
      <c r="T630" t="s">
        <v>66</v>
      </c>
      <c r="U630" t="s">
        <v>214</v>
      </c>
      <c r="V630" t="s">
        <v>276</v>
      </c>
      <c r="W630" t="s">
        <v>95</v>
      </c>
      <c r="X630" t="s">
        <v>187</v>
      </c>
      <c r="Y630" t="s">
        <v>188</v>
      </c>
      <c r="Z630" t="s">
        <v>68</v>
      </c>
      <c r="AA630" t="s">
        <v>2243</v>
      </c>
      <c r="AB630" t="s">
        <v>3335</v>
      </c>
      <c r="AC630">
        <v>4</v>
      </c>
      <c r="AD630" t="s">
        <v>56</v>
      </c>
      <c r="AE630" t="s">
        <v>3336</v>
      </c>
      <c r="AF630" t="s">
        <v>164</v>
      </c>
      <c r="AG630" t="s">
        <v>3342</v>
      </c>
      <c r="AH630" s="1">
        <v>45140</v>
      </c>
      <c r="AI630" s="1">
        <v>45142</v>
      </c>
      <c r="AJ630" s="1">
        <v>45146</v>
      </c>
      <c r="AK630" t="s">
        <v>3657</v>
      </c>
      <c r="AL630" t="s">
        <v>2242</v>
      </c>
    </row>
    <row r="631" spans="1:38" x14ac:dyDescent="0.35">
      <c r="A631" t="s">
        <v>2244</v>
      </c>
      <c r="B631" t="s">
        <v>379</v>
      </c>
      <c r="C631" t="s">
        <v>43</v>
      </c>
      <c r="D631" t="s">
        <v>193</v>
      </c>
      <c r="E631" t="s">
        <v>194</v>
      </c>
      <c r="F631" t="s">
        <v>146</v>
      </c>
      <c r="G631" t="s">
        <v>195</v>
      </c>
      <c r="H631">
        <v>3210</v>
      </c>
      <c r="I631">
        <f>Sales_Transactions_Raw[[#This Row],[Unit_Price]]*Sales_Transactions_Raw[[#This Row],[Quantity]]</f>
        <v>3210</v>
      </c>
      <c r="J631">
        <v>1</v>
      </c>
      <c r="K631">
        <v>15</v>
      </c>
      <c r="L631">
        <v>481.5</v>
      </c>
      <c r="M631">
        <v>2728.5</v>
      </c>
      <c r="N631">
        <v>12</v>
      </c>
      <c r="O631">
        <v>327.42</v>
      </c>
      <c r="P631">
        <v>99</v>
      </c>
      <c r="Q631">
        <v>3055.92</v>
      </c>
      <c r="R631" t="s">
        <v>64</v>
      </c>
      <c r="S631" t="s">
        <v>65</v>
      </c>
      <c r="T631" t="s">
        <v>136</v>
      </c>
      <c r="U631" t="s">
        <v>161</v>
      </c>
      <c r="V631" t="s">
        <v>224</v>
      </c>
      <c r="W631" t="s">
        <v>95</v>
      </c>
      <c r="X631" t="s">
        <v>198</v>
      </c>
      <c r="Y631" t="s">
        <v>199</v>
      </c>
      <c r="Z631" t="s">
        <v>52</v>
      </c>
      <c r="AA631" t="s">
        <v>2246</v>
      </c>
      <c r="AB631" t="s">
        <v>3335</v>
      </c>
      <c r="AC631">
        <v>4</v>
      </c>
      <c r="AD631" t="s">
        <v>56</v>
      </c>
      <c r="AE631" t="s">
        <v>3336</v>
      </c>
      <c r="AF631" t="s">
        <v>84</v>
      </c>
      <c r="AG631" t="s">
        <v>58</v>
      </c>
      <c r="AH631" s="1">
        <v>44939</v>
      </c>
      <c r="AI631" s="1">
        <v>44942</v>
      </c>
      <c r="AJ631" s="1">
        <v>44951</v>
      </c>
      <c r="AK631" t="s">
        <v>3658</v>
      </c>
      <c r="AL631" t="s">
        <v>2245</v>
      </c>
    </row>
    <row r="632" spans="1:38" x14ac:dyDescent="0.35">
      <c r="A632" t="s">
        <v>2247</v>
      </c>
      <c r="B632" t="s">
        <v>803</v>
      </c>
      <c r="C632" t="s">
        <v>157</v>
      </c>
      <c r="D632" t="s">
        <v>249</v>
      </c>
      <c r="E632" t="s">
        <v>250</v>
      </c>
      <c r="F632" t="s">
        <v>211</v>
      </c>
      <c r="G632" t="s">
        <v>251</v>
      </c>
      <c r="H632">
        <v>17630</v>
      </c>
      <c r="I632">
        <f>Sales_Transactions_Raw[[#This Row],[Unit_Price]]*Sales_Transactions_Raw[[#This Row],[Quantity]]</f>
        <v>17630</v>
      </c>
      <c r="J632">
        <v>1</v>
      </c>
      <c r="K632">
        <v>0</v>
      </c>
      <c r="L632">
        <v>0</v>
      </c>
      <c r="M632">
        <v>17630</v>
      </c>
      <c r="N632">
        <v>5</v>
      </c>
      <c r="O632">
        <v>881.5</v>
      </c>
      <c r="P632">
        <v>0</v>
      </c>
      <c r="Q632">
        <v>18511.5</v>
      </c>
      <c r="R632" t="s">
        <v>160</v>
      </c>
      <c r="S632" t="s">
        <v>125</v>
      </c>
      <c r="T632" t="s">
        <v>115</v>
      </c>
      <c r="U632" t="s">
        <v>50</v>
      </c>
      <c r="V632" t="s">
        <v>269</v>
      </c>
      <c r="W632" t="s">
        <v>70</v>
      </c>
      <c r="X632" t="s">
        <v>626</v>
      </c>
      <c r="Y632" t="s">
        <v>289</v>
      </c>
      <c r="Z632" t="s">
        <v>52</v>
      </c>
      <c r="AA632" t="s">
        <v>2249</v>
      </c>
      <c r="AB632" t="s">
        <v>3335</v>
      </c>
      <c r="AC632">
        <v>3</v>
      </c>
      <c r="AD632" t="s">
        <v>56</v>
      </c>
      <c r="AE632" t="s">
        <v>3336</v>
      </c>
      <c r="AF632" t="s">
        <v>164</v>
      </c>
      <c r="AG632" t="s">
        <v>58</v>
      </c>
      <c r="AH632" s="1">
        <v>45457</v>
      </c>
      <c r="AI632" s="1">
        <v>45464</v>
      </c>
      <c r="AJ632" s="1">
        <v>45469</v>
      </c>
      <c r="AK632" t="s">
        <v>3493</v>
      </c>
      <c r="AL632" t="s">
        <v>2248</v>
      </c>
    </row>
    <row r="633" spans="1:38" x14ac:dyDescent="0.35">
      <c r="A633" t="s">
        <v>2250</v>
      </c>
      <c r="B633" t="s">
        <v>101</v>
      </c>
      <c r="C633" t="s">
        <v>157</v>
      </c>
      <c r="D633" t="s">
        <v>630</v>
      </c>
      <c r="E633" t="s">
        <v>450</v>
      </c>
      <c r="F633" t="s">
        <v>134</v>
      </c>
      <c r="G633" t="s">
        <v>497</v>
      </c>
      <c r="H633">
        <v>51730</v>
      </c>
      <c r="I633">
        <f>Sales_Transactions_Raw[[#This Row],[Unit_Price]]*Sales_Transactions_Raw[[#This Row],[Quantity]]</f>
        <v>155190</v>
      </c>
      <c r="J633">
        <v>3</v>
      </c>
      <c r="K633">
        <v>0</v>
      </c>
      <c r="L633">
        <v>0</v>
      </c>
      <c r="M633">
        <v>155190</v>
      </c>
      <c r="N633">
        <v>5</v>
      </c>
      <c r="O633">
        <v>7759.5</v>
      </c>
      <c r="P633">
        <v>0</v>
      </c>
      <c r="Q633">
        <v>162949.5</v>
      </c>
      <c r="R633" t="s">
        <v>160</v>
      </c>
      <c r="S633" t="s">
        <v>125</v>
      </c>
      <c r="T633" t="s">
        <v>66</v>
      </c>
      <c r="U633" t="s">
        <v>50</v>
      </c>
      <c r="V633" t="s">
        <v>242</v>
      </c>
      <c r="W633" t="s">
        <v>70</v>
      </c>
      <c r="X633" t="s">
        <v>437</v>
      </c>
      <c r="Y633" t="s">
        <v>319</v>
      </c>
      <c r="Z633" t="s">
        <v>95</v>
      </c>
      <c r="AA633" t="s">
        <v>2252</v>
      </c>
      <c r="AB633" t="s">
        <v>3338</v>
      </c>
      <c r="AC633">
        <v>4</v>
      </c>
      <c r="AD633" t="s">
        <v>56</v>
      </c>
      <c r="AE633" t="s">
        <v>3336</v>
      </c>
      <c r="AF633" t="s">
        <v>57</v>
      </c>
      <c r="AG633" t="s">
        <v>58</v>
      </c>
      <c r="AH633" s="1">
        <v>45337</v>
      </c>
      <c r="AI633" s="1">
        <v>45339</v>
      </c>
      <c r="AJ633" s="1">
        <v>45348</v>
      </c>
      <c r="AK633" t="s">
        <v>3357</v>
      </c>
      <c r="AL633" t="s">
        <v>2251</v>
      </c>
    </row>
    <row r="634" spans="1:38" x14ac:dyDescent="0.35">
      <c r="A634" t="s">
        <v>2253</v>
      </c>
      <c r="B634" t="s">
        <v>457</v>
      </c>
      <c r="C634" t="s">
        <v>157</v>
      </c>
      <c r="D634" t="s">
        <v>391</v>
      </c>
      <c r="E634" t="s">
        <v>392</v>
      </c>
      <c r="F634" t="s">
        <v>46</v>
      </c>
      <c r="G634" t="s">
        <v>176</v>
      </c>
      <c r="H634">
        <v>9400</v>
      </c>
      <c r="I634">
        <f>Sales_Transactions_Raw[[#This Row],[Unit_Price]]*Sales_Transactions_Raw[[#This Row],[Quantity]]</f>
        <v>28200</v>
      </c>
      <c r="J634">
        <v>3</v>
      </c>
      <c r="K634">
        <v>10</v>
      </c>
      <c r="L634">
        <v>940</v>
      </c>
      <c r="M634">
        <v>8460</v>
      </c>
      <c r="N634">
        <v>18</v>
      </c>
      <c r="O634">
        <v>1522.8</v>
      </c>
      <c r="P634">
        <v>0</v>
      </c>
      <c r="Q634">
        <v>9982.7999999999993</v>
      </c>
      <c r="R634" t="s">
        <v>160</v>
      </c>
      <c r="S634" t="s">
        <v>93</v>
      </c>
      <c r="T634" t="s">
        <v>115</v>
      </c>
      <c r="U634" t="s">
        <v>161</v>
      </c>
      <c r="V634" t="s">
        <v>116</v>
      </c>
      <c r="W634" t="s">
        <v>70</v>
      </c>
      <c r="X634" t="s">
        <v>626</v>
      </c>
      <c r="Y634" t="s">
        <v>289</v>
      </c>
      <c r="Z634" t="s">
        <v>52</v>
      </c>
      <c r="AA634" t="s">
        <v>2255</v>
      </c>
      <c r="AB634" t="s">
        <v>3339</v>
      </c>
      <c r="AC634">
        <v>4</v>
      </c>
      <c r="AD634" t="s">
        <v>56</v>
      </c>
      <c r="AE634" t="s">
        <v>3336</v>
      </c>
      <c r="AF634" t="s">
        <v>84</v>
      </c>
      <c r="AG634" t="s">
        <v>58</v>
      </c>
      <c r="AH634" s="1">
        <v>45363</v>
      </c>
      <c r="AI634" s="1">
        <v>45369</v>
      </c>
      <c r="AJ634" s="1">
        <v>45377</v>
      </c>
      <c r="AK634" t="s">
        <v>3606</v>
      </c>
      <c r="AL634" t="s">
        <v>2254</v>
      </c>
    </row>
    <row r="635" spans="1:38" x14ac:dyDescent="0.35">
      <c r="A635" t="s">
        <v>2256</v>
      </c>
      <c r="B635" t="s">
        <v>680</v>
      </c>
      <c r="C635" t="s">
        <v>43</v>
      </c>
      <c r="D635" t="s">
        <v>103</v>
      </c>
      <c r="E635" t="s">
        <v>104</v>
      </c>
      <c r="F635" t="s">
        <v>46</v>
      </c>
      <c r="G635" t="s">
        <v>105</v>
      </c>
      <c r="H635">
        <v>33390</v>
      </c>
      <c r="I635">
        <f>Sales_Transactions_Raw[[#This Row],[Unit_Price]]*Sales_Transactions_Raw[[#This Row],[Quantity]]</f>
        <v>66780</v>
      </c>
      <c r="J635">
        <v>2</v>
      </c>
      <c r="K635">
        <v>25</v>
      </c>
      <c r="L635">
        <v>16695</v>
      </c>
      <c r="M635">
        <v>50085</v>
      </c>
      <c r="N635">
        <v>18</v>
      </c>
      <c r="O635">
        <v>9015.2999999999993</v>
      </c>
      <c r="P635">
        <v>0</v>
      </c>
      <c r="Q635">
        <v>59100.3</v>
      </c>
      <c r="R635" t="s">
        <v>124</v>
      </c>
      <c r="S635" t="s">
        <v>107</v>
      </c>
      <c r="T635" t="s">
        <v>115</v>
      </c>
      <c r="U635" t="s">
        <v>108</v>
      </c>
      <c r="V635" t="s">
        <v>177</v>
      </c>
      <c r="W635" t="s">
        <v>81</v>
      </c>
      <c r="X635" t="s">
        <v>370</v>
      </c>
      <c r="Y635" t="s">
        <v>151</v>
      </c>
      <c r="Z635" t="s">
        <v>81</v>
      </c>
      <c r="AA635" t="s">
        <v>2258</v>
      </c>
      <c r="AB635" t="s">
        <v>3344</v>
      </c>
      <c r="AC635">
        <v>4</v>
      </c>
      <c r="AD635" t="s">
        <v>56</v>
      </c>
      <c r="AE635" t="s">
        <v>3336</v>
      </c>
      <c r="AF635" t="s">
        <v>84</v>
      </c>
      <c r="AG635" t="s">
        <v>111</v>
      </c>
      <c r="AH635" s="1">
        <v>45355</v>
      </c>
      <c r="AI635" s="1">
        <v>45359</v>
      </c>
      <c r="AJ635" s="1">
        <v>45365</v>
      </c>
      <c r="AK635" t="s">
        <v>3544</v>
      </c>
      <c r="AL635" t="s">
        <v>2257</v>
      </c>
    </row>
    <row r="636" spans="1:38" x14ac:dyDescent="0.35">
      <c r="A636" t="s">
        <v>2259</v>
      </c>
      <c r="B636" t="s">
        <v>2260</v>
      </c>
      <c r="C636" t="s">
        <v>43</v>
      </c>
      <c r="D636" t="s">
        <v>44</v>
      </c>
      <c r="E636" t="s">
        <v>45</v>
      </c>
      <c r="F636" t="s">
        <v>46</v>
      </c>
      <c r="G636" t="s">
        <v>47</v>
      </c>
      <c r="H636">
        <v>12220</v>
      </c>
      <c r="I636">
        <f>Sales_Transactions_Raw[[#This Row],[Unit_Price]]*Sales_Transactions_Raw[[#This Row],[Quantity]]</f>
        <v>73320</v>
      </c>
      <c r="J636">
        <v>6</v>
      </c>
      <c r="K636">
        <v>10</v>
      </c>
      <c r="L636">
        <v>7332</v>
      </c>
      <c r="M636">
        <v>65988</v>
      </c>
      <c r="N636">
        <v>18</v>
      </c>
      <c r="O636">
        <v>11877.84</v>
      </c>
      <c r="P636">
        <v>0</v>
      </c>
      <c r="Q636">
        <v>77865.84</v>
      </c>
      <c r="R636" t="s">
        <v>48</v>
      </c>
      <c r="S636" t="s">
        <v>65</v>
      </c>
      <c r="T636" t="s">
        <v>66</v>
      </c>
      <c r="U636" t="s">
        <v>214</v>
      </c>
      <c r="V636" t="s">
        <v>197</v>
      </c>
      <c r="W636" t="s">
        <v>68</v>
      </c>
      <c r="X636" t="s">
        <v>357</v>
      </c>
      <c r="Y636" t="s">
        <v>358</v>
      </c>
      <c r="Z636" t="s">
        <v>95</v>
      </c>
      <c r="AA636" t="s">
        <v>2262</v>
      </c>
      <c r="AB636" t="s">
        <v>3340</v>
      </c>
      <c r="AC636">
        <v>4</v>
      </c>
      <c r="AD636" t="s">
        <v>56</v>
      </c>
      <c r="AE636" t="s">
        <v>3336</v>
      </c>
      <c r="AF636" t="s">
        <v>140</v>
      </c>
      <c r="AG636" t="s">
        <v>85</v>
      </c>
      <c r="AH636" s="1">
        <v>45096</v>
      </c>
      <c r="AI636" s="1">
        <v>45099</v>
      </c>
      <c r="AJ636" s="1">
        <v>45104</v>
      </c>
      <c r="AK636" t="s">
        <v>3659</v>
      </c>
      <c r="AL636" t="s">
        <v>2261</v>
      </c>
    </row>
    <row r="637" spans="1:38" x14ac:dyDescent="0.35">
      <c r="A637" t="s">
        <v>2263</v>
      </c>
      <c r="B637" t="s">
        <v>1107</v>
      </c>
      <c r="C637" t="s">
        <v>43</v>
      </c>
      <c r="D637" t="s">
        <v>630</v>
      </c>
      <c r="E637" t="s">
        <v>450</v>
      </c>
      <c r="F637" t="s">
        <v>134</v>
      </c>
      <c r="G637" t="s">
        <v>497</v>
      </c>
      <c r="H637">
        <v>49060</v>
      </c>
      <c r="I637">
        <f>Sales_Transactions_Raw[[#This Row],[Unit_Price]]*Sales_Transactions_Raw[[#This Row],[Quantity]]</f>
        <v>196240</v>
      </c>
      <c r="J637">
        <v>4</v>
      </c>
      <c r="K637">
        <v>20</v>
      </c>
      <c r="L637">
        <v>39248</v>
      </c>
      <c r="M637">
        <v>156992</v>
      </c>
      <c r="N637">
        <v>5</v>
      </c>
      <c r="O637">
        <v>7849.6</v>
      </c>
      <c r="P637">
        <v>0</v>
      </c>
      <c r="Q637">
        <v>164841.60000000001</v>
      </c>
      <c r="R637" t="s">
        <v>106</v>
      </c>
      <c r="S637" t="s">
        <v>125</v>
      </c>
      <c r="T637" t="s">
        <v>115</v>
      </c>
      <c r="U637" t="s">
        <v>108</v>
      </c>
      <c r="V637" t="s">
        <v>94</v>
      </c>
      <c r="W637" t="s">
        <v>95</v>
      </c>
      <c r="X637" t="s">
        <v>437</v>
      </c>
      <c r="Y637" t="s">
        <v>319</v>
      </c>
      <c r="Z637" t="s">
        <v>95</v>
      </c>
      <c r="AA637" t="s">
        <v>2265</v>
      </c>
      <c r="AB637" t="s">
        <v>3344</v>
      </c>
      <c r="AC637">
        <v>4</v>
      </c>
      <c r="AD637" t="s">
        <v>56</v>
      </c>
      <c r="AE637" t="s">
        <v>3336</v>
      </c>
      <c r="AF637" t="s">
        <v>57</v>
      </c>
      <c r="AG637" t="s">
        <v>111</v>
      </c>
      <c r="AH637" s="1">
        <v>45345</v>
      </c>
      <c r="AI637" s="1">
        <v>45351</v>
      </c>
      <c r="AJ637" s="1">
        <v>45361</v>
      </c>
      <c r="AK637" t="s">
        <v>3565</v>
      </c>
      <c r="AL637" t="s">
        <v>2264</v>
      </c>
    </row>
    <row r="638" spans="1:38" x14ac:dyDescent="0.35">
      <c r="A638" t="s">
        <v>2266</v>
      </c>
      <c r="B638" t="s">
        <v>60</v>
      </c>
      <c r="C638" t="s">
        <v>43</v>
      </c>
      <c r="D638" t="s">
        <v>209</v>
      </c>
      <c r="E638" t="s">
        <v>210</v>
      </c>
      <c r="F638" t="s">
        <v>211</v>
      </c>
      <c r="G638" t="s">
        <v>212</v>
      </c>
      <c r="H638">
        <v>4170</v>
      </c>
      <c r="I638">
        <f>Sales_Transactions_Raw[[#This Row],[Unit_Price]]*Sales_Transactions_Raw[[#This Row],[Quantity]]</f>
        <v>16680</v>
      </c>
      <c r="J638">
        <v>4</v>
      </c>
      <c r="K638">
        <v>5</v>
      </c>
      <c r="L638">
        <v>834</v>
      </c>
      <c r="M638">
        <v>15846</v>
      </c>
      <c r="N638">
        <v>5</v>
      </c>
      <c r="O638">
        <v>792.3</v>
      </c>
      <c r="P638">
        <v>0</v>
      </c>
      <c r="Q638">
        <v>16638.3</v>
      </c>
      <c r="R638" t="s">
        <v>79</v>
      </c>
      <c r="S638" t="s">
        <v>107</v>
      </c>
      <c r="T638" t="s">
        <v>115</v>
      </c>
      <c r="U638" t="s">
        <v>214</v>
      </c>
      <c r="V638" t="s">
        <v>197</v>
      </c>
      <c r="W638" t="s">
        <v>68</v>
      </c>
      <c r="X638" t="s">
        <v>480</v>
      </c>
      <c r="Y638" t="s">
        <v>481</v>
      </c>
      <c r="Z638" t="s">
        <v>52</v>
      </c>
      <c r="AA638" t="s">
        <v>2268</v>
      </c>
      <c r="AB638" t="s">
        <v>3335</v>
      </c>
      <c r="AC638">
        <v>3</v>
      </c>
      <c r="AD638" t="s">
        <v>56</v>
      </c>
      <c r="AE638" t="s">
        <v>3336</v>
      </c>
      <c r="AF638" t="s">
        <v>262</v>
      </c>
      <c r="AG638" t="s">
        <v>111</v>
      </c>
      <c r="AH638" s="1">
        <v>45045</v>
      </c>
      <c r="AI638" s="1">
        <v>45047</v>
      </c>
      <c r="AJ638" s="1">
        <v>45055</v>
      </c>
      <c r="AK638" t="s">
        <v>3346</v>
      </c>
      <c r="AL638" t="s">
        <v>2267</v>
      </c>
    </row>
    <row r="639" spans="1:38" x14ac:dyDescent="0.35">
      <c r="A639" t="s">
        <v>2269</v>
      </c>
      <c r="B639" t="s">
        <v>478</v>
      </c>
      <c r="C639" t="s">
        <v>89</v>
      </c>
      <c r="D639" t="s">
        <v>432</v>
      </c>
      <c r="E639" t="s">
        <v>433</v>
      </c>
      <c r="F639" t="s">
        <v>146</v>
      </c>
      <c r="G639" t="s">
        <v>296</v>
      </c>
      <c r="H639">
        <v>4800</v>
      </c>
      <c r="I639">
        <f>Sales_Transactions_Raw[[#This Row],[Unit_Price]]*Sales_Transactions_Raw[[#This Row],[Quantity]]</f>
        <v>19200</v>
      </c>
      <c r="J639">
        <v>4</v>
      </c>
      <c r="K639">
        <v>0</v>
      </c>
      <c r="L639">
        <v>0</v>
      </c>
      <c r="M639">
        <v>19200</v>
      </c>
      <c r="N639">
        <v>12</v>
      </c>
      <c r="O639">
        <v>2304</v>
      </c>
      <c r="P639">
        <v>0</v>
      </c>
      <c r="Q639">
        <v>21504</v>
      </c>
      <c r="R639" t="s">
        <v>79</v>
      </c>
      <c r="S639" t="s">
        <v>49</v>
      </c>
      <c r="T639" t="s">
        <v>115</v>
      </c>
      <c r="U639" t="s">
        <v>161</v>
      </c>
      <c r="V639" t="s">
        <v>297</v>
      </c>
      <c r="W639" t="s">
        <v>52</v>
      </c>
      <c r="X639" t="s">
        <v>340</v>
      </c>
      <c r="Y639" t="s">
        <v>169</v>
      </c>
      <c r="Z639" t="s">
        <v>95</v>
      </c>
      <c r="AA639" t="s">
        <v>2271</v>
      </c>
      <c r="AB639" t="s">
        <v>3343</v>
      </c>
      <c r="AC639">
        <v>4</v>
      </c>
      <c r="AD639" t="s">
        <v>56</v>
      </c>
      <c r="AE639" t="s">
        <v>3336</v>
      </c>
      <c r="AF639" t="s">
        <v>57</v>
      </c>
      <c r="AG639" t="s">
        <v>3337</v>
      </c>
      <c r="AH639" s="1">
        <v>45461</v>
      </c>
      <c r="AI639" s="1">
        <v>45466</v>
      </c>
      <c r="AJ639" s="1">
        <v>45473</v>
      </c>
      <c r="AK639" t="s">
        <v>3398</v>
      </c>
      <c r="AL639" t="s">
        <v>2270</v>
      </c>
    </row>
    <row r="640" spans="1:38" x14ac:dyDescent="0.35">
      <c r="A640" t="s">
        <v>2272</v>
      </c>
      <c r="B640" t="s">
        <v>2273</v>
      </c>
      <c r="C640" t="s">
        <v>43</v>
      </c>
      <c r="D640" t="s">
        <v>209</v>
      </c>
      <c r="E640" t="s">
        <v>210</v>
      </c>
      <c r="F640" t="s">
        <v>211</v>
      </c>
      <c r="G640" t="s">
        <v>212</v>
      </c>
      <c r="H640">
        <v>29347.846790890268</v>
      </c>
      <c r="I640">
        <f>Sales_Transactions_Raw[[#This Row],[Unit_Price]]*Sales_Transactions_Raw[[#This Row],[Quantity]]</f>
        <v>205434.92753623187</v>
      </c>
      <c r="J640">
        <v>7</v>
      </c>
      <c r="K640">
        <v>10</v>
      </c>
      <c r="L640">
        <v>3255</v>
      </c>
      <c r="M640">
        <v>29295</v>
      </c>
      <c r="N640">
        <v>5</v>
      </c>
      <c r="O640">
        <v>1464.75</v>
      </c>
      <c r="P640">
        <v>0</v>
      </c>
      <c r="Q640">
        <v>30759.75</v>
      </c>
      <c r="R640" t="s">
        <v>124</v>
      </c>
      <c r="S640" t="s">
        <v>107</v>
      </c>
      <c r="T640" t="s">
        <v>66</v>
      </c>
      <c r="U640" t="s">
        <v>108</v>
      </c>
      <c r="V640" t="s">
        <v>94</v>
      </c>
      <c r="W640" t="s">
        <v>95</v>
      </c>
      <c r="X640" t="s">
        <v>225</v>
      </c>
      <c r="Y640" t="s">
        <v>226</v>
      </c>
      <c r="Z640" t="s">
        <v>95</v>
      </c>
      <c r="AB640" t="s">
        <v>3338</v>
      </c>
      <c r="AC640">
        <v>3</v>
      </c>
      <c r="AD640" t="s">
        <v>56</v>
      </c>
      <c r="AE640" t="s">
        <v>3336</v>
      </c>
      <c r="AF640" t="s">
        <v>99</v>
      </c>
      <c r="AG640" t="s">
        <v>85</v>
      </c>
      <c r="AH640" s="1">
        <v>45444</v>
      </c>
      <c r="AI640" s="1">
        <v>45450</v>
      </c>
      <c r="AJ640" s="1">
        <v>45473</v>
      </c>
      <c r="AK640" t="s">
        <v>3586</v>
      </c>
      <c r="AL640" t="s">
        <v>2274</v>
      </c>
    </row>
    <row r="641" spans="1:38" x14ac:dyDescent="0.35">
      <c r="A641" t="s">
        <v>2275</v>
      </c>
      <c r="B641" t="s">
        <v>803</v>
      </c>
      <c r="C641" t="s">
        <v>157</v>
      </c>
      <c r="D641" t="s">
        <v>956</v>
      </c>
      <c r="E641" t="s">
        <v>957</v>
      </c>
      <c r="F641" t="s">
        <v>46</v>
      </c>
      <c r="G641" t="s">
        <v>147</v>
      </c>
      <c r="H641">
        <v>9060</v>
      </c>
      <c r="I641">
        <f>Sales_Transactions_Raw[[#This Row],[Unit_Price]]*Sales_Transactions_Raw[[#This Row],[Quantity]]</f>
        <v>27180</v>
      </c>
      <c r="J641">
        <v>3</v>
      </c>
      <c r="K641">
        <v>15</v>
      </c>
      <c r="L641">
        <v>4077</v>
      </c>
      <c r="M641">
        <v>23103</v>
      </c>
      <c r="N641">
        <v>18</v>
      </c>
      <c r="O641">
        <v>4158.54</v>
      </c>
      <c r="P641">
        <v>0</v>
      </c>
      <c r="Q641">
        <v>27261.54</v>
      </c>
      <c r="R641" t="s">
        <v>79</v>
      </c>
      <c r="S641" t="s">
        <v>93</v>
      </c>
      <c r="T641" t="s">
        <v>66</v>
      </c>
      <c r="U641" t="s">
        <v>196</v>
      </c>
      <c r="V641" t="s">
        <v>276</v>
      </c>
      <c r="W641" t="s">
        <v>95</v>
      </c>
      <c r="X641" t="s">
        <v>422</v>
      </c>
      <c r="Y641" t="s">
        <v>319</v>
      </c>
      <c r="Z641" t="s">
        <v>95</v>
      </c>
      <c r="AA641" t="s">
        <v>2277</v>
      </c>
      <c r="AB641" t="s">
        <v>3343</v>
      </c>
      <c r="AC641">
        <v>4</v>
      </c>
      <c r="AD641" t="s">
        <v>56</v>
      </c>
      <c r="AE641" t="s">
        <v>3336</v>
      </c>
      <c r="AF641" t="s">
        <v>326</v>
      </c>
      <c r="AG641" t="s">
        <v>3337</v>
      </c>
      <c r="AH641" s="1">
        <v>45369</v>
      </c>
      <c r="AI641" s="1">
        <v>45374</v>
      </c>
      <c r="AJ641" s="1">
        <v>45384</v>
      </c>
      <c r="AK641" t="s">
        <v>3493</v>
      </c>
      <c r="AL641" t="s">
        <v>2276</v>
      </c>
    </row>
    <row r="642" spans="1:38" x14ac:dyDescent="0.35">
      <c r="A642" t="s">
        <v>1561</v>
      </c>
      <c r="B642" t="s">
        <v>605</v>
      </c>
      <c r="C642" t="s">
        <v>43</v>
      </c>
      <c r="D642" t="s">
        <v>209</v>
      </c>
      <c r="E642" t="s">
        <v>210</v>
      </c>
      <c r="F642" t="s">
        <v>211</v>
      </c>
      <c r="G642" t="s">
        <v>212</v>
      </c>
      <c r="H642">
        <v>4530</v>
      </c>
      <c r="I642">
        <f>Sales_Transactions_Raw[[#This Row],[Unit_Price]]*Sales_Transactions_Raw[[#This Row],[Quantity]]</f>
        <v>22650</v>
      </c>
      <c r="J642">
        <v>5</v>
      </c>
      <c r="K642">
        <v>5</v>
      </c>
      <c r="L642">
        <v>1132.5</v>
      </c>
      <c r="M642">
        <v>21517.5</v>
      </c>
      <c r="N642">
        <v>5</v>
      </c>
      <c r="O642">
        <v>1075.8800000000001</v>
      </c>
      <c r="P642">
        <v>0</v>
      </c>
      <c r="Q642">
        <v>22593.38</v>
      </c>
      <c r="R642" t="s">
        <v>92</v>
      </c>
      <c r="S642" t="s">
        <v>107</v>
      </c>
      <c r="T642" t="s">
        <v>136</v>
      </c>
      <c r="U642" t="s">
        <v>50</v>
      </c>
      <c r="V642" t="s">
        <v>276</v>
      </c>
      <c r="W642" t="s">
        <v>95</v>
      </c>
      <c r="X642" t="s">
        <v>168</v>
      </c>
      <c r="Y642" t="s">
        <v>169</v>
      </c>
      <c r="Z642" t="s">
        <v>95</v>
      </c>
      <c r="AA642" t="s">
        <v>2279</v>
      </c>
      <c r="AB642" t="s">
        <v>3343</v>
      </c>
      <c r="AC642">
        <v>2</v>
      </c>
      <c r="AD642" t="s">
        <v>56</v>
      </c>
      <c r="AE642" t="s">
        <v>3336</v>
      </c>
      <c r="AF642" t="s">
        <v>262</v>
      </c>
      <c r="AG642" t="s">
        <v>3337</v>
      </c>
      <c r="AH642" s="1">
        <v>45013</v>
      </c>
      <c r="AI642" s="1">
        <v>45014</v>
      </c>
      <c r="AJ642" s="1">
        <v>45022</v>
      </c>
      <c r="AK642" t="s">
        <v>3435</v>
      </c>
      <c r="AL642" t="s">
        <v>2278</v>
      </c>
    </row>
    <row r="643" spans="1:38" x14ac:dyDescent="0.35">
      <c r="A643" t="s">
        <v>2280</v>
      </c>
      <c r="B643" t="s">
        <v>292</v>
      </c>
      <c r="C643" t="s">
        <v>157</v>
      </c>
      <c r="D643" t="s">
        <v>495</v>
      </c>
      <c r="E643" t="s">
        <v>496</v>
      </c>
      <c r="F643" t="s">
        <v>134</v>
      </c>
      <c r="G643" t="s">
        <v>497</v>
      </c>
      <c r="H643">
        <v>29730</v>
      </c>
      <c r="I643">
        <f>Sales_Transactions_Raw[[#This Row],[Unit_Price]]*Sales_Transactions_Raw[[#This Row],[Quantity]]</f>
        <v>267570</v>
      </c>
      <c r="J643">
        <v>9</v>
      </c>
      <c r="K643">
        <v>15</v>
      </c>
      <c r="L643">
        <v>40135.5</v>
      </c>
      <c r="M643">
        <v>227434.5</v>
      </c>
      <c r="N643">
        <v>5</v>
      </c>
      <c r="O643">
        <v>11371.73</v>
      </c>
      <c r="P643">
        <v>0</v>
      </c>
      <c r="Q643">
        <v>238806.23</v>
      </c>
      <c r="R643" t="s">
        <v>92</v>
      </c>
      <c r="S643" t="s">
        <v>49</v>
      </c>
      <c r="T643" t="s">
        <v>115</v>
      </c>
      <c r="U643" t="s">
        <v>196</v>
      </c>
      <c r="V643" t="s">
        <v>276</v>
      </c>
      <c r="W643" t="s">
        <v>95</v>
      </c>
      <c r="X643" t="s">
        <v>626</v>
      </c>
      <c r="Y643" t="s">
        <v>289</v>
      </c>
      <c r="Z643" t="s">
        <v>52</v>
      </c>
      <c r="AA643" t="s">
        <v>2282</v>
      </c>
      <c r="AB643" t="s">
        <v>3341</v>
      </c>
      <c r="AC643">
        <v>4</v>
      </c>
      <c r="AD643" t="s">
        <v>56</v>
      </c>
      <c r="AE643" t="s">
        <v>3336</v>
      </c>
      <c r="AF643" t="s">
        <v>84</v>
      </c>
      <c r="AG643" t="s">
        <v>111</v>
      </c>
      <c r="AH643" s="1">
        <v>44991</v>
      </c>
      <c r="AI643" s="1">
        <v>44995</v>
      </c>
      <c r="AJ643" s="1">
        <v>44999</v>
      </c>
      <c r="AK643" t="s">
        <v>3660</v>
      </c>
      <c r="AL643" t="s">
        <v>2281</v>
      </c>
    </row>
    <row r="644" spans="1:38" x14ac:dyDescent="0.35">
      <c r="A644" t="s">
        <v>2283</v>
      </c>
      <c r="B644" t="s">
        <v>617</v>
      </c>
      <c r="C644" t="s">
        <v>89</v>
      </c>
      <c r="D644" t="s">
        <v>266</v>
      </c>
      <c r="E644" t="s">
        <v>267</v>
      </c>
      <c r="F644" t="s">
        <v>211</v>
      </c>
      <c r="G644" t="s">
        <v>268</v>
      </c>
      <c r="H644">
        <v>51000</v>
      </c>
      <c r="I644">
        <f>Sales_Transactions_Raw[[#This Row],[Unit_Price]]*Sales_Transactions_Raw[[#This Row],[Quantity]]</f>
        <v>306000</v>
      </c>
      <c r="J644">
        <v>6</v>
      </c>
      <c r="K644">
        <v>0</v>
      </c>
      <c r="L644">
        <v>0</v>
      </c>
      <c r="M644">
        <v>306000</v>
      </c>
      <c r="N644">
        <v>5</v>
      </c>
      <c r="O644">
        <v>15300</v>
      </c>
      <c r="P644">
        <v>0</v>
      </c>
      <c r="Q644">
        <v>321300</v>
      </c>
      <c r="R644" t="s">
        <v>124</v>
      </c>
      <c r="S644" t="s">
        <v>107</v>
      </c>
      <c r="T644" t="s">
        <v>213</v>
      </c>
      <c r="U644" t="s">
        <v>214</v>
      </c>
      <c r="V644" t="s">
        <v>269</v>
      </c>
      <c r="W644" t="s">
        <v>70</v>
      </c>
      <c r="X644" t="s">
        <v>515</v>
      </c>
      <c r="Y644" t="s">
        <v>82</v>
      </c>
      <c r="Z644" t="s">
        <v>52</v>
      </c>
      <c r="AA644" t="s">
        <v>2285</v>
      </c>
      <c r="AB644" t="s">
        <v>3341</v>
      </c>
      <c r="AC644">
        <v>4</v>
      </c>
      <c r="AD644" t="s">
        <v>179</v>
      </c>
      <c r="AE644" t="s">
        <v>3336</v>
      </c>
      <c r="AF644" t="s">
        <v>84</v>
      </c>
      <c r="AG644" t="s">
        <v>3337</v>
      </c>
      <c r="AH644" s="1">
        <v>45420</v>
      </c>
      <c r="AI644" s="1">
        <v>45425</v>
      </c>
      <c r="AJ644" s="1">
        <v>45435</v>
      </c>
      <c r="AK644" t="s">
        <v>3661</v>
      </c>
      <c r="AL644" t="s">
        <v>2284</v>
      </c>
    </row>
    <row r="645" spans="1:38" x14ac:dyDescent="0.35">
      <c r="A645" t="s">
        <v>2286</v>
      </c>
      <c r="B645" t="s">
        <v>520</v>
      </c>
      <c r="C645" t="s">
        <v>43</v>
      </c>
      <c r="D645" t="s">
        <v>283</v>
      </c>
      <c r="E645" t="s">
        <v>284</v>
      </c>
      <c r="F645" t="s">
        <v>285</v>
      </c>
      <c r="G645" t="s">
        <v>286</v>
      </c>
      <c r="H645">
        <v>460</v>
      </c>
      <c r="I645">
        <f>Sales_Transactions_Raw[[#This Row],[Unit_Price]]*Sales_Transactions_Raw[[#This Row],[Quantity]]</f>
        <v>460</v>
      </c>
      <c r="J645">
        <v>1</v>
      </c>
      <c r="K645">
        <v>0</v>
      </c>
      <c r="L645">
        <v>0</v>
      </c>
      <c r="M645">
        <v>460</v>
      </c>
      <c r="N645">
        <v>5</v>
      </c>
      <c r="O645">
        <v>23</v>
      </c>
      <c r="P645">
        <v>49</v>
      </c>
      <c r="Q645">
        <v>483</v>
      </c>
      <c r="R645" t="s">
        <v>124</v>
      </c>
      <c r="S645" t="s">
        <v>107</v>
      </c>
      <c r="T645" t="s">
        <v>115</v>
      </c>
      <c r="U645" t="s">
        <v>50</v>
      </c>
      <c r="V645" t="s">
        <v>67</v>
      </c>
      <c r="W645" t="s">
        <v>68</v>
      </c>
      <c r="X645" t="s">
        <v>340</v>
      </c>
      <c r="Y645" t="s">
        <v>169</v>
      </c>
      <c r="Z645" t="s">
        <v>95</v>
      </c>
      <c r="AA645" t="s">
        <v>2288</v>
      </c>
      <c r="AB645" t="s">
        <v>3343</v>
      </c>
      <c r="AC645">
        <v>4</v>
      </c>
      <c r="AD645" t="s">
        <v>56</v>
      </c>
      <c r="AE645" t="s">
        <v>3336</v>
      </c>
      <c r="AF645" t="s">
        <v>140</v>
      </c>
      <c r="AG645" t="s">
        <v>85</v>
      </c>
      <c r="AH645" s="1">
        <v>45079</v>
      </c>
      <c r="AI645" s="1">
        <v>45082</v>
      </c>
      <c r="AJ645" s="1">
        <v>45088</v>
      </c>
      <c r="AK645" t="s">
        <v>3646</v>
      </c>
      <c r="AL645" t="s">
        <v>2287</v>
      </c>
    </row>
    <row r="646" spans="1:38" x14ac:dyDescent="0.35">
      <c r="A646" t="s">
        <v>2289</v>
      </c>
      <c r="B646" t="s">
        <v>656</v>
      </c>
      <c r="C646" t="s">
        <v>89</v>
      </c>
      <c r="D646" t="s">
        <v>317</v>
      </c>
      <c r="E646" t="s">
        <v>77</v>
      </c>
      <c r="F646" t="s">
        <v>46</v>
      </c>
      <c r="G646" t="s">
        <v>176</v>
      </c>
      <c r="H646">
        <v>29900</v>
      </c>
      <c r="I646">
        <f>Sales_Transactions_Raw[[#This Row],[Unit_Price]]*Sales_Transactions_Raw[[#This Row],[Quantity]]</f>
        <v>119600</v>
      </c>
      <c r="J646">
        <v>4</v>
      </c>
      <c r="K646">
        <v>0</v>
      </c>
      <c r="L646">
        <v>0</v>
      </c>
      <c r="M646">
        <v>119600</v>
      </c>
      <c r="N646">
        <v>18</v>
      </c>
      <c r="O646">
        <v>21528</v>
      </c>
      <c r="P646">
        <v>0</v>
      </c>
      <c r="Q646">
        <v>141128</v>
      </c>
      <c r="R646" t="s">
        <v>79</v>
      </c>
      <c r="S646" t="s">
        <v>125</v>
      </c>
      <c r="T646" t="s">
        <v>213</v>
      </c>
      <c r="U646" t="s">
        <v>196</v>
      </c>
      <c r="V646" t="s">
        <v>297</v>
      </c>
      <c r="W646" t="s">
        <v>52</v>
      </c>
      <c r="X646" t="s">
        <v>204</v>
      </c>
      <c r="Y646" t="s">
        <v>118</v>
      </c>
      <c r="Z646" t="s">
        <v>70</v>
      </c>
      <c r="AA646" t="s">
        <v>2291</v>
      </c>
      <c r="AB646" t="s">
        <v>3341</v>
      </c>
      <c r="AC646">
        <v>4</v>
      </c>
      <c r="AD646" t="s">
        <v>179</v>
      </c>
      <c r="AE646" t="s">
        <v>3336</v>
      </c>
      <c r="AF646" t="s">
        <v>262</v>
      </c>
      <c r="AG646" t="s">
        <v>58</v>
      </c>
      <c r="AH646" s="1">
        <v>45066</v>
      </c>
      <c r="AI646" s="1">
        <v>45082</v>
      </c>
      <c r="AJ646" s="1">
        <v>45074</v>
      </c>
      <c r="AK646" t="s">
        <v>3662</v>
      </c>
      <c r="AL646" t="s">
        <v>2290</v>
      </c>
    </row>
    <row r="647" spans="1:38" x14ac:dyDescent="0.35">
      <c r="A647" t="s">
        <v>2292</v>
      </c>
      <c r="B647" t="s">
        <v>1296</v>
      </c>
      <c r="C647" t="s">
        <v>43</v>
      </c>
      <c r="D647" t="s">
        <v>350</v>
      </c>
      <c r="E647" t="s">
        <v>351</v>
      </c>
      <c r="F647" t="s">
        <v>211</v>
      </c>
      <c r="G647" t="s">
        <v>352</v>
      </c>
      <c r="H647">
        <v>46450</v>
      </c>
      <c r="I647">
        <f>Sales_Transactions_Raw[[#This Row],[Unit_Price]]*Sales_Transactions_Raw[[#This Row],[Quantity]]</f>
        <v>185800</v>
      </c>
      <c r="J647">
        <v>4</v>
      </c>
      <c r="K647">
        <v>15</v>
      </c>
      <c r="L647">
        <v>27870</v>
      </c>
      <c r="M647">
        <v>157930</v>
      </c>
      <c r="N647">
        <v>5</v>
      </c>
      <c r="O647">
        <v>7896.5</v>
      </c>
      <c r="P647">
        <v>0</v>
      </c>
      <c r="Q647">
        <v>165826.5</v>
      </c>
      <c r="R647" t="s">
        <v>64</v>
      </c>
      <c r="S647" t="s">
        <v>65</v>
      </c>
      <c r="T647" t="s">
        <v>66</v>
      </c>
      <c r="U647" t="s">
        <v>50</v>
      </c>
      <c r="V647" t="s">
        <v>51</v>
      </c>
      <c r="W647" t="s">
        <v>52</v>
      </c>
      <c r="X647" t="s">
        <v>611</v>
      </c>
      <c r="Y647" t="s">
        <v>97</v>
      </c>
      <c r="Z647" t="s">
        <v>95</v>
      </c>
      <c r="AB647" t="s">
        <v>3335</v>
      </c>
      <c r="AC647">
        <v>4</v>
      </c>
      <c r="AD647" t="s">
        <v>56</v>
      </c>
      <c r="AE647" t="s">
        <v>3336</v>
      </c>
      <c r="AF647" t="s">
        <v>217</v>
      </c>
      <c r="AG647" t="s">
        <v>58</v>
      </c>
      <c r="AH647" s="1">
        <v>45228</v>
      </c>
      <c r="AI647" s="1">
        <v>45231</v>
      </c>
      <c r="AJ647" s="1">
        <v>45240</v>
      </c>
      <c r="AK647" t="s">
        <v>3549</v>
      </c>
      <c r="AL647" t="s">
        <v>2293</v>
      </c>
    </row>
    <row r="648" spans="1:38" x14ac:dyDescent="0.35">
      <c r="A648" t="s">
        <v>2294</v>
      </c>
      <c r="B648" t="s">
        <v>41</v>
      </c>
      <c r="C648" t="s">
        <v>43</v>
      </c>
      <c r="D648" t="s">
        <v>667</v>
      </c>
      <c r="E648" t="s">
        <v>668</v>
      </c>
      <c r="F648" t="s">
        <v>146</v>
      </c>
      <c r="G648" t="s">
        <v>195</v>
      </c>
      <c r="H648">
        <v>9520</v>
      </c>
      <c r="I648">
        <f>Sales_Transactions_Raw[[#This Row],[Unit_Price]]*Sales_Transactions_Raw[[#This Row],[Quantity]]</f>
        <v>19040</v>
      </c>
      <c r="J648">
        <v>2</v>
      </c>
      <c r="K648">
        <v>0</v>
      </c>
      <c r="L648">
        <v>0</v>
      </c>
      <c r="M648">
        <v>19040</v>
      </c>
      <c r="N648">
        <v>12</v>
      </c>
      <c r="O648">
        <v>2284.8000000000002</v>
      </c>
      <c r="P648">
        <v>0</v>
      </c>
      <c r="Q648">
        <v>21324.799999999999</v>
      </c>
      <c r="R648" t="s">
        <v>48</v>
      </c>
      <c r="S648" t="s">
        <v>93</v>
      </c>
      <c r="T648" t="s">
        <v>115</v>
      </c>
      <c r="U648" t="s">
        <v>161</v>
      </c>
      <c r="V648" t="s">
        <v>197</v>
      </c>
      <c r="W648" t="s">
        <v>68</v>
      </c>
      <c r="X648" t="s">
        <v>578</v>
      </c>
      <c r="Y648" t="s">
        <v>54</v>
      </c>
      <c r="Z648" t="s">
        <v>70</v>
      </c>
      <c r="AA648" t="s">
        <v>2296</v>
      </c>
      <c r="AB648" t="s">
        <v>3335</v>
      </c>
      <c r="AC648">
        <v>5</v>
      </c>
      <c r="AD648" t="s">
        <v>179</v>
      </c>
      <c r="AE648" t="s">
        <v>3336</v>
      </c>
      <c r="AF648" t="s">
        <v>99</v>
      </c>
      <c r="AG648" t="s">
        <v>3337</v>
      </c>
      <c r="AH648" s="1">
        <v>45332</v>
      </c>
      <c r="AI648" s="1">
        <v>45231</v>
      </c>
      <c r="AJ648" s="1">
        <v>45346</v>
      </c>
      <c r="AK648" t="s">
        <v>3663</v>
      </c>
      <c r="AL648" t="s">
        <v>2295</v>
      </c>
    </row>
    <row r="649" spans="1:38" x14ac:dyDescent="0.35">
      <c r="A649" t="s">
        <v>2297</v>
      </c>
      <c r="B649" t="s">
        <v>687</v>
      </c>
      <c r="C649" t="s">
        <v>43</v>
      </c>
      <c r="D649" t="s">
        <v>420</v>
      </c>
      <c r="E649" t="s">
        <v>421</v>
      </c>
      <c r="F649" t="s">
        <v>134</v>
      </c>
      <c r="G649" t="s">
        <v>135</v>
      </c>
      <c r="H649">
        <v>29347.846790890268</v>
      </c>
      <c r="I649">
        <f>Sales_Transactions_Raw[[#This Row],[Unit_Price]]*Sales_Transactions_Raw[[#This Row],[Quantity]]</f>
        <v>440217.70186335401</v>
      </c>
      <c r="J649">
        <v>15</v>
      </c>
      <c r="K649">
        <v>0</v>
      </c>
      <c r="L649">
        <v>0</v>
      </c>
      <c r="M649">
        <v>49050</v>
      </c>
      <c r="N649">
        <v>5</v>
      </c>
      <c r="O649">
        <v>2452.5</v>
      </c>
      <c r="P649">
        <v>0</v>
      </c>
      <c r="Q649">
        <v>51502.5</v>
      </c>
      <c r="R649" t="s">
        <v>92</v>
      </c>
      <c r="S649" t="s">
        <v>49</v>
      </c>
      <c r="T649" t="s">
        <v>66</v>
      </c>
      <c r="U649" t="s">
        <v>196</v>
      </c>
      <c r="V649" t="s">
        <v>224</v>
      </c>
      <c r="W649" t="s">
        <v>95</v>
      </c>
      <c r="X649" t="s">
        <v>357</v>
      </c>
      <c r="Y649" t="s">
        <v>358</v>
      </c>
      <c r="Z649" t="s">
        <v>95</v>
      </c>
      <c r="AA649" t="s">
        <v>2299</v>
      </c>
      <c r="AB649" t="s">
        <v>3335</v>
      </c>
      <c r="AC649">
        <v>5</v>
      </c>
      <c r="AD649" t="s">
        <v>56</v>
      </c>
      <c r="AE649" t="s">
        <v>3336</v>
      </c>
      <c r="AF649" t="s">
        <v>279</v>
      </c>
      <c r="AG649" t="s">
        <v>3342</v>
      </c>
      <c r="AH649" s="1">
        <v>45333</v>
      </c>
      <c r="AI649" s="1">
        <v>45334</v>
      </c>
      <c r="AJ649" s="1">
        <v>45340</v>
      </c>
      <c r="AK649" t="s">
        <v>3492</v>
      </c>
      <c r="AL649" t="s">
        <v>2298</v>
      </c>
    </row>
    <row r="650" spans="1:38" x14ac:dyDescent="0.35">
      <c r="A650" t="s">
        <v>2300</v>
      </c>
      <c r="B650" t="s">
        <v>559</v>
      </c>
      <c r="C650" t="s">
        <v>157</v>
      </c>
      <c r="D650" t="s">
        <v>303</v>
      </c>
      <c r="E650" t="s">
        <v>304</v>
      </c>
      <c r="F650" t="s">
        <v>134</v>
      </c>
      <c r="G650" t="s">
        <v>305</v>
      </c>
      <c r="H650">
        <v>40560</v>
      </c>
      <c r="I650">
        <f>Sales_Transactions_Raw[[#This Row],[Unit_Price]]*Sales_Transactions_Raw[[#This Row],[Quantity]]</f>
        <v>202800</v>
      </c>
      <c r="J650">
        <v>5</v>
      </c>
      <c r="K650">
        <v>0</v>
      </c>
      <c r="L650">
        <v>0</v>
      </c>
      <c r="M650">
        <v>202800</v>
      </c>
      <c r="N650">
        <v>5</v>
      </c>
      <c r="O650">
        <v>10140</v>
      </c>
      <c r="P650">
        <v>0</v>
      </c>
      <c r="Q650">
        <v>212940</v>
      </c>
      <c r="R650" t="s">
        <v>48</v>
      </c>
      <c r="S650" t="s">
        <v>93</v>
      </c>
      <c r="T650" t="s">
        <v>148</v>
      </c>
      <c r="U650" t="s">
        <v>196</v>
      </c>
      <c r="V650" t="s">
        <v>177</v>
      </c>
      <c r="W650" t="s">
        <v>81</v>
      </c>
      <c r="X650" t="s">
        <v>480</v>
      </c>
      <c r="Y650" t="s">
        <v>481</v>
      </c>
      <c r="Z650" t="s">
        <v>52</v>
      </c>
      <c r="AA650" t="s">
        <v>2302</v>
      </c>
      <c r="AB650" t="s">
        <v>3335</v>
      </c>
      <c r="AC650">
        <v>4</v>
      </c>
      <c r="AD650" t="s">
        <v>56</v>
      </c>
      <c r="AE650" t="s">
        <v>3336</v>
      </c>
      <c r="AF650" t="s">
        <v>217</v>
      </c>
      <c r="AG650" t="s">
        <v>85</v>
      </c>
      <c r="AH650" s="1">
        <v>45097</v>
      </c>
      <c r="AI650" s="1">
        <v>45098</v>
      </c>
      <c r="AJ650" s="1">
        <v>45103</v>
      </c>
      <c r="AK650" t="s">
        <v>3536</v>
      </c>
      <c r="AL650" t="s">
        <v>2301</v>
      </c>
    </row>
    <row r="651" spans="1:38" x14ac:dyDescent="0.35">
      <c r="A651" t="s">
        <v>2303</v>
      </c>
      <c r="B651" t="s">
        <v>687</v>
      </c>
      <c r="C651" t="s">
        <v>43</v>
      </c>
      <c r="D651" t="s">
        <v>122</v>
      </c>
      <c r="E651" t="s">
        <v>123</v>
      </c>
      <c r="F651" t="s">
        <v>46</v>
      </c>
      <c r="G651" t="s">
        <v>63</v>
      </c>
      <c r="H651">
        <v>53360</v>
      </c>
      <c r="I651">
        <f>Sales_Transactions_Raw[[#This Row],[Unit_Price]]*Sales_Transactions_Raw[[#This Row],[Quantity]]</f>
        <v>160080</v>
      </c>
      <c r="J651">
        <v>3</v>
      </c>
      <c r="K651">
        <v>0</v>
      </c>
      <c r="L651">
        <v>0</v>
      </c>
      <c r="M651">
        <v>160080</v>
      </c>
      <c r="N651">
        <v>18</v>
      </c>
      <c r="O651">
        <v>28814.400000000001</v>
      </c>
      <c r="P651">
        <v>0</v>
      </c>
      <c r="Q651">
        <v>188894.4</v>
      </c>
      <c r="R651" t="s">
        <v>124</v>
      </c>
      <c r="S651" t="s">
        <v>125</v>
      </c>
      <c r="T651" t="s">
        <v>66</v>
      </c>
      <c r="U651" t="s">
        <v>161</v>
      </c>
      <c r="V651" t="s">
        <v>116</v>
      </c>
      <c r="W651" t="s">
        <v>70</v>
      </c>
      <c r="X651" t="s">
        <v>393</v>
      </c>
      <c r="Y651" t="s">
        <v>393</v>
      </c>
      <c r="Z651" t="s">
        <v>70</v>
      </c>
      <c r="AA651" t="s">
        <v>2305</v>
      </c>
      <c r="AB651" t="s">
        <v>3335</v>
      </c>
      <c r="AC651">
        <v>4</v>
      </c>
      <c r="AD651" t="s">
        <v>56</v>
      </c>
      <c r="AE651" t="s">
        <v>3336</v>
      </c>
      <c r="AF651" t="s">
        <v>153</v>
      </c>
      <c r="AG651" t="s">
        <v>58</v>
      </c>
      <c r="AH651" s="1">
        <v>45156</v>
      </c>
      <c r="AI651" s="1">
        <v>45161</v>
      </c>
      <c r="AJ651" s="1">
        <v>45164</v>
      </c>
      <c r="AK651" t="s">
        <v>3664</v>
      </c>
      <c r="AL651" t="s">
        <v>2304</v>
      </c>
    </row>
    <row r="652" spans="1:38" x14ac:dyDescent="0.35">
      <c r="A652" t="s">
        <v>2306</v>
      </c>
      <c r="B652" t="s">
        <v>155</v>
      </c>
      <c r="C652" t="s">
        <v>131</v>
      </c>
      <c r="D652" t="s">
        <v>158</v>
      </c>
      <c r="E652" t="s">
        <v>159</v>
      </c>
      <c r="F652" t="s">
        <v>46</v>
      </c>
      <c r="G652" t="s">
        <v>105</v>
      </c>
      <c r="H652">
        <v>51490</v>
      </c>
      <c r="I652">
        <f>Sales_Transactions_Raw[[#This Row],[Unit_Price]]*Sales_Transactions_Raw[[#This Row],[Quantity]]</f>
        <v>154470</v>
      </c>
      <c r="J652">
        <v>3</v>
      </c>
      <c r="K652">
        <v>0</v>
      </c>
      <c r="L652">
        <v>0</v>
      </c>
      <c r="M652">
        <v>154470</v>
      </c>
      <c r="N652">
        <v>18</v>
      </c>
      <c r="O652">
        <v>27804.6</v>
      </c>
      <c r="P652">
        <v>0</v>
      </c>
      <c r="Q652">
        <v>182274.6</v>
      </c>
      <c r="R652" t="s">
        <v>92</v>
      </c>
      <c r="S652" t="s">
        <v>107</v>
      </c>
      <c r="T652" t="s">
        <v>115</v>
      </c>
      <c r="U652" t="s">
        <v>161</v>
      </c>
      <c r="V652" t="s">
        <v>80</v>
      </c>
      <c r="W652" t="s">
        <v>81</v>
      </c>
      <c r="X652" t="s">
        <v>150</v>
      </c>
      <c r="Y652" t="s">
        <v>151</v>
      </c>
      <c r="Z652" t="s">
        <v>81</v>
      </c>
      <c r="AA652" t="s">
        <v>2308</v>
      </c>
      <c r="AB652" t="s">
        <v>3340</v>
      </c>
      <c r="AC652">
        <v>4</v>
      </c>
      <c r="AD652" t="s">
        <v>56</v>
      </c>
      <c r="AE652" t="s">
        <v>3336</v>
      </c>
      <c r="AF652" t="s">
        <v>279</v>
      </c>
      <c r="AG652" t="s">
        <v>3342</v>
      </c>
      <c r="AH652" s="1">
        <v>44985</v>
      </c>
      <c r="AI652" s="1">
        <v>44988</v>
      </c>
      <c r="AJ652" s="1">
        <v>44998</v>
      </c>
      <c r="AK652" t="s">
        <v>3354</v>
      </c>
      <c r="AL652" t="s">
        <v>2307</v>
      </c>
    </row>
    <row r="653" spans="1:38" x14ac:dyDescent="0.35">
      <c r="A653" t="s">
        <v>2309</v>
      </c>
      <c r="B653" t="s">
        <v>1078</v>
      </c>
      <c r="C653" t="s">
        <v>89</v>
      </c>
      <c r="D653" t="s">
        <v>432</v>
      </c>
      <c r="E653" t="s">
        <v>433</v>
      </c>
      <c r="F653" t="s">
        <v>146</v>
      </c>
      <c r="G653" t="s">
        <v>296</v>
      </c>
      <c r="H653">
        <v>4820</v>
      </c>
      <c r="I653">
        <f>Sales_Transactions_Raw[[#This Row],[Unit_Price]]*Sales_Transactions_Raw[[#This Row],[Quantity]]</f>
        <v>9640</v>
      </c>
      <c r="J653">
        <v>2</v>
      </c>
      <c r="K653">
        <v>5</v>
      </c>
      <c r="L653">
        <v>482</v>
      </c>
      <c r="M653">
        <v>9158</v>
      </c>
      <c r="N653">
        <v>12</v>
      </c>
      <c r="O653">
        <v>1098.96</v>
      </c>
      <c r="P653">
        <v>0</v>
      </c>
      <c r="Q653">
        <v>10256.959999999999</v>
      </c>
      <c r="R653" t="s">
        <v>48</v>
      </c>
      <c r="S653" t="s">
        <v>49</v>
      </c>
      <c r="T653" t="s">
        <v>115</v>
      </c>
      <c r="U653" t="s">
        <v>161</v>
      </c>
      <c r="V653" t="s">
        <v>177</v>
      </c>
      <c r="W653" t="s">
        <v>81</v>
      </c>
      <c r="X653" t="s">
        <v>556</v>
      </c>
      <c r="Y653" t="s">
        <v>481</v>
      </c>
      <c r="Z653" t="s">
        <v>52</v>
      </c>
      <c r="AA653" t="s">
        <v>2311</v>
      </c>
      <c r="AB653" t="s">
        <v>3335</v>
      </c>
      <c r="AC653">
        <v>5</v>
      </c>
      <c r="AD653" t="s">
        <v>56</v>
      </c>
      <c r="AE653" t="s">
        <v>3336</v>
      </c>
      <c r="AF653" t="s">
        <v>72</v>
      </c>
      <c r="AG653" t="s">
        <v>3337</v>
      </c>
      <c r="AH653" s="1">
        <v>45144</v>
      </c>
      <c r="AI653" s="1">
        <v>45150</v>
      </c>
      <c r="AJ653" s="1">
        <v>45155</v>
      </c>
      <c r="AK653" t="s">
        <v>3530</v>
      </c>
      <c r="AL653" t="s">
        <v>2310</v>
      </c>
    </row>
    <row r="654" spans="1:38" x14ac:dyDescent="0.35">
      <c r="A654" t="s">
        <v>1209</v>
      </c>
      <c r="B654" t="s">
        <v>753</v>
      </c>
      <c r="C654" t="s">
        <v>43</v>
      </c>
      <c r="D654" t="s">
        <v>704</v>
      </c>
      <c r="E654" t="s">
        <v>705</v>
      </c>
      <c r="F654" t="s">
        <v>285</v>
      </c>
      <c r="G654" t="s">
        <v>706</v>
      </c>
      <c r="H654">
        <v>300</v>
      </c>
      <c r="I654">
        <f>Sales_Transactions_Raw[[#This Row],[Unit_Price]]*Sales_Transactions_Raw[[#This Row],[Quantity]]</f>
        <v>300</v>
      </c>
      <c r="J654">
        <v>1</v>
      </c>
      <c r="K654">
        <v>0</v>
      </c>
      <c r="L654">
        <v>0</v>
      </c>
      <c r="M654">
        <v>300</v>
      </c>
      <c r="N654">
        <v>5</v>
      </c>
      <c r="O654">
        <v>15</v>
      </c>
      <c r="P654">
        <v>99</v>
      </c>
      <c r="Q654">
        <v>315</v>
      </c>
      <c r="R654" t="s">
        <v>106</v>
      </c>
      <c r="S654" t="s">
        <v>65</v>
      </c>
      <c r="T654" t="s">
        <v>115</v>
      </c>
      <c r="U654" t="s">
        <v>161</v>
      </c>
      <c r="V654" t="s">
        <v>242</v>
      </c>
      <c r="W654" t="s">
        <v>70</v>
      </c>
      <c r="X654" t="s">
        <v>381</v>
      </c>
      <c r="Y654" t="s">
        <v>199</v>
      </c>
      <c r="Z654" t="s">
        <v>52</v>
      </c>
      <c r="AA654" t="s">
        <v>2313</v>
      </c>
      <c r="AB654" t="s">
        <v>3335</v>
      </c>
      <c r="AC654">
        <v>4</v>
      </c>
      <c r="AD654" t="s">
        <v>56</v>
      </c>
      <c r="AE654" t="s">
        <v>3336</v>
      </c>
      <c r="AF654" t="s">
        <v>262</v>
      </c>
      <c r="AG654" t="s">
        <v>85</v>
      </c>
      <c r="AH654" s="1">
        <v>45334</v>
      </c>
      <c r="AI654" s="1">
        <v>45337</v>
      </c>
      <c r="AJ654" s="1">
        <v>45342</v>
      </c>
      <c r="AK654" t="s">
        <v>3535</v>
      </c>
      <c r="AL654" t="s">
        <v>2312</v>
      </c>
    </row>
    <row r="655" spans="1:38" x14ac:dyDescent="0.35">
      <c r="A655" t="s">
        <v>2314</v>
      </c>
      <c r="B655" t="s">
        <v>624</v>
      </c>
      <c r="C655" t="s">
        <v>43</v>
      </c>
      <c r="D655" t="s">
        <v>667</v>
      </c>
      <c r="E655" t="s">
        <v>668</v>
      </c>
      <c r="F655" t="s">
        <v>146</v>
      </c>
      <c r="G655" t="s">
        <v>195</v>
      </c>
      <c r="H655">
        <v>9610</v>
      </c>
      <c r="I655">
        <f>Sales_Transactions_Raw[[#This Row],[Unit_Price]]*Sales_Transactions_Raw[[#This Row],[Quantity]]</f>
        <v>67270</v>
      </c>
      <c r="J655">
        <v>7</v>
      </c>
      <c r="K655">
        <v>5</v>
      </c>
      <c r="L655">
        <v>3363.5</v>
      </c>
      <c r="M655">
        <v>63906.5</v>
      </c>
      <c r="N655">
        <v>12</v>
      </c>
      <c r="O655">
        <v>7668.78</v>
      </c>
      <c r="P655">
        <v>0</v>
      </c>
      <c r="Q655">
        <v>71575.28</v>
      </c>
      <c r="R655" t="s">
        <v>92</v>
      </c>
      <c r="S655" t="s">
        <v>93</v>
      </c>
      <c r="T655" t="s">
        <v>66</v>
      </c>
      <c r="U655" t="s">
        <v>161</v>
      </c>
      <c r="V655" t="s">
        <v>67</v>
      </c>
      <c r="W655" t="s">
        <v>68</v>
      </c>
      <c r="X655" t="s">
        <v>69</v>
      </c>
      <c r="Y655" t="s">
        <v>54</v>
      </c>
      <c r="Z655" t="s">
        <v>70</v>
      </c>
      <c r="AA655" t="s">
        <v>2316</v>
      </c>
      <c r="AB655" t="s">
        <v>3339</v>
      </c>
      <c r="AC655">
        <v>4</v>
      </c>
      <c r="AD655" t="s">
        <v>56</v>
      </c>
      <c r="AE655" t="s">
        <v>3336</v>
      </c>
      <c r="AF655" t="s">
        <v>217</v>
      </c>
      <c r="AG655" t="s">
        <v>58</v>
      </c>
      <c r="AH655" s="1">
        <v>45472</v>
      </c>
      <c r="AI655" s="1">
        <v>45476</v>
      </c>
      <c r="AJ655" s="1">
        <v>45484</v>
      </c>
      <c r="AK655" t="s">
        <v>3665</v>
      </c>
      <c r="AL655" t="s">
        <v>2315</v>
      </c>
    </row>
    <row r="656" spans="1:38" x14ac:dyDescent="0.35">
      <c r="A656" t="s">
        <v>2317</v>
      </c>
      <c r="B656" t="s">
        <v>508</v>
      </c>
      <c r="C656" t="s">
        <v>43</v>
      </c>
      <c r="D656" t="s">
        <v>956</v>
      </c>
      <c r="E656" t="s">
        <v>957</v>
      </c>
      <c r="F656" t="s">
        <v>46</v>
      </c>
      <c r="G656" t="s">
        <v>147</v>
      </c>
      <c r="H656">
        <v>9040</v>
      </c>
      <c r="I656">
        <f>Sales_Transactions_Raw[[#This Row],[Unit_Price]]*Sales_Transactions_Raw[[#This Row],[Quantity]]</f>
        <v>81360</v>
      </c>
      <c r="J656">
        <v>9</v>
      </c>
      <c r="K656">
        <v>0</v>
      </c>
      <c r="L656">
        <v>0</v>
      </c>
      <c r="M656">
        <v>81360</v>
      </c>
      <c r="N656">
        <v>18</v>
      </c>
      <c r="O656">
        <v>14644.8</v>
      </c>
      <c r="P656">
        <v>0</v>
      </c>
      <c r="Q656">
        <v>96004.800000000003</v>
      </c>
      <c r="R656" t="s">
        <v>106</v>
      </c>
      <c r="S656" t="s">
        <v>125</v>
      </c>
      <c r="T656" t="s">
        <v>115</v>
      </c>
      <c r="U656" t="s">
        <v>214</v>
      </c>
      <c r="V656" t="s">
        <v>51</v>
      </c>
      <c r="W656" t="s">
        <v>52</v>
      </c>
      <c r="X656" t="s">
        <v>96</v>
      </c>
      <c r="Y656" t="s">
        <v>97</v>
      </c>
      <c r="Z656" t="s">
        <v>95</v>
      </c>
      <c r="AA656" t="s">
        <v>2319</v>
      </c>
      <c r="AB656" t="s">
        <v>3335</v>
      </c>
      <c r="AC656">
        <v>4</v>
      </c>
      <c r="AD656" t="s">
        <v>56</v>
      </c>
      <c r="AE656" t="s">
        <v>3336</v>
      </c>
      <c r="AF656" t="s">
        <v>84</v>
      </c>
      <c r="AG656" t="s">
        <v>3342</v>
      </c>
      <c r="AH656" s="1">
        <v>45256</v>
      </c>
      <c r="AI656" s="1">
        <v>45260</v>
      </c>
      <c r="AJ656" s="1">
        <v>45267</v>
      </c>
      <c r="AK656" t="s">
        <v>3666</v>
      </c>
      <c r="AL656" t="s">
        <v>2318</v>
      </c>
    </row>
    <row r="657" spans="1:38" x14ac:dyDescent="0.35">
      <c r="A657" t="s">
        <v>2320</v>
      </c>
      <c r="B657" t="s">
        <v>875</v>
      </c>
      <c r="C657" t="s">
        <v>43</v>
      </c>
      <c r="D657" t="s">
        <v>867</v>
      </c>
      <c r="E657" t="s">
        <v>868</v>
      </c>
      <c r="F657" t="s">
        <v>285</v>
      </c>
      <c r="G657" t="s">
        <v>869</v>
      </c>
      <c r="H657">
        <v>190</v>
      </c>
      <c r="I657">
        <f>Sales_Transactions_Raw[[#This Row],[Unit_Price]]*Sales_Transactions_Raw[[#This Row],[Quantity]]</f>
        <v>950</v>
      </c>
      <c r="J657">
        <v>5</v>
      </c>
      <c r="K657">
        <v>5</v>
      </c>
      <c r="L657">
        <v>47.5</v>
      </c>
      <c r="M657">
        <v>902.5</v>
      </c>
      <c r="N657">
        <v>5</v>
      </c>
      <c r="O657">
        <v>45.12</v>
      </c>
      <c r="P657">
        <v>49</v>
      </c>
      <c r="Q657">
        <v>947.62</v>
      </c>
      <c r="R657" t="s">
        <v>92</v>
      </c>
      <c r="S657" t="s">
        <v>65</v>
      </c>
      <c r="T657" t="s">
        <v>136</v>
      </c>
      <c r="U657" t="s">
        <v>161</v>
      </c>
      <c r="V657" t="s">
        <v>269</v>
      </c>
      <c r="W657" t="s">
        <v>70</v>
      </c>
      <c r="X657" t="s">
        <v>551</v>
      </c>
      <c r="Y657" t="s">
        <v>138</v>
      </c>
      <c r="Z657" t="s">
        <v>81</v>
      </c>
      <c r="AA657" t="s">
        <v>2322</v>
      </c>
      <c r="AB657" t="s">
        <v>3339</v>
      </c>
      <c r="AC657">
        <v>5</v>
      </c>
      <c r="AD657" t="s">
        <v>56</v>
      </c>
      <c r="AE657" t="s">
        <v>3336</v>
      </c>
      <c r="AF657" t="s">
        <v>99</v>
      </c>
      <c r="AG657" t="s">
        <v>85</v>
      </c>
      <c r="AH657" s="1">
        <v>44994</v>
      </c>
      <c r="AI657" s="1">
        <v>45001</v>
      </c>
      <c r="AJ657" s="1">
        <v>45003</v>
      </c>
      <c r="AK657" t="s">
        <v>3497</v>
      </c>
      <c r="AL657" t="s">
        <v>2321</v>
      </c>
    </row>
    <row r="658" spans="1:38" x14ac:dyDescent="0.35">
      <c r="A658" t="s">
        <v>2323</v>
      </c>
      <c r="B658" t="s">
        <v>333</v>
      </c>
      <c r="C658" t="s">
        <v>89</v>
      </c>
      <c r="D658" t="s">
        <v>335</v>
      </c>
      <c r="E658" t="s">
        <v>336</v>
      </c>
      <c r="F658" t="s">
        <v>134</v>
      </c>
      <c r="G658" t="s">
        <v>135</v>
      </c>
      <c r="H658">
        <v>10790</v>
      </c>
      <c r="I658">
        <f>Sales_Transactions_Raw[[#This Row],[Unit_Price]]*Sales_Transactions_Raw[[#This Row],[Quantity]]</f>
        <v>97110</v>
      </c>
      <c r="J658">
        <v>9</v>
      </c>
      <c r="K658">
        <v>20</v>
      </c>
      <c r="L658">
        <v>19422</v>
      </c>
      <c r="M658">
        <v>77688</v>
      </c>
      <c r="N658">
        <v>5</v>
      </c>
      <c r="O658">
        <v>3884.4</v>
      </c>
      <c r="P658">
        <v>0</v>
      </c>
      <c r="Q658">
        <v>81572.399999999994</v>
      </c>
      <c r="R658" t="s">
        <v>64</v>
      </c>
      <c r="S658" t="s">
        <v>107</v>
      </c>
      <c r="T658" t="s">
        <v>66</v>
      </c>
      <c r="U658" t="s">
        <v>196</v>
      </c>
      <c r="V658" t="s">
        <v>149</v>
      </c>
      <c r="W658" t="s">
        <v>81</v>
      </c>
      <c r="X658" t="s">
        <v>340</v>
      </c>
      <c r="Y658" t="s">
        <v>169</v>
      </c>
      <c r="Z658" t="s">
        <v>95</v>
      </c>
      <c r="AA658" t="s">
        <v>2325</v>
      </c>
      <c r="AB658" t="s">
        <v>3335</v>
      </c>
      <c r="AC658">
        <v>4</v>
      </c>
      <c r="AD658" t="s">
        <v>56</v>
      </c>
      <c r="AE658" t="s">
        <v>3336</v>
      </c>
      <c r="AF658" t="s">
        <v>262</v>
      </c>
      <c r="AG658" t="s">
        <v>445</v>
      </c>
      <c r="AH658" s="1">
        <v>45458</v>
      </c>
      <c r="AI658" s="1">
        <v>45461</v>
      </c>
      <c r="AJ658" s="1">
        <v>45471</v>
      </c>
      <c r="AK658" t="s">
        <v>3375</v>
      </c>
      <c r="AL658" t="s">
        <v>2324</v>
      </c>
    </row>
    <row r="659" spans="1:38" x14ac:dyDescent="0.35">
      <c r="A659" t="s">
        <v>2192</v>
      </c>
      <c r="B659" t="s">
        <v>379</v>
      </c>
      <c r="C659" t="s">
        <v>43</v>
      </c>
      <c r="D659" t="s">
        <v>221</v>
      </c>
      <c r="E659" t="s">
        <v>222</v>
      </c>
      <c r="F659" t="s">
        <v>146</v>
      </c>
      <c r="G659" t="s">
        <v>223</v>
      </c>
      <c r="H659">
        <v>2670</v>
      </c>
      <c r="I659">
        <f>Sales_Transactions_Raw[[#This Row],[Unit_Price]]*Sales_Transactions_Raw[[#This Row],[Quantity]]</f>
        <v>10680</v>
      </c>
      <c r="J659">
        <v>4</v>
      </c>
      <c r="K659">
        <v>0</v>
      </c>
      <c r="L659">
        <v>0</v>
      </c>
      <c r="M659">
        <v>10680</v>
      </c>
      <c r="N659">
        <v>12</v>
      </c>
      <c r="O659">
        <v>1281.5999999999999</v>
      </c>
      <c r="P659">
        <v>0</v>
      </c>
      <c r="Q659">
        <v>11961.6</v>
      </c>
      <c r="R659" t="s">
        <v>106</v>
      </c>
      <c r="S659" t="s">
        <v>107</v>
      </c>
      <c r="T659" t="s">
        <v>115</v>
      </c>
      <c r="U659" t="s">
        <v>196</v>
      </c>
      <c r="V659" t="s">
        <v>197</v>
      </c>
      <c r="W659" t="s">
        <v>68</v>
      </c>
      <c r="X659" t="s">
        <v>469</v>
      </c>
      <c r="Y659" t="s">
        <v>244</v>
      </c>
      <c r="Z659" t="s">
        <v>70</v>
      </c>
      <c r="AA659" t="s">
        <v>2327</v>
      </c>
      <c r="AB659" t="s">
        <v>3341</v>
      </c>
      <c r="AC659">
        <v>4</v>
      </c>
      <c r="AD659" t="s">
        <v>179</v>
      </c>
      <c r="AE659" t="s">
        <v>3336</v>
      </c>
      <c r="AF659" t="s">
        <v>57</v>
      </c>
      <c r="AG659" t="s">
        <v>58</v>
      </c>
      <c r="AH659" s="1">
        <v>45288</v>
      </c>
      <c r="AI659" s="1">
        <v>45461</v>
      </c>
      <c r="AJ659" s="1">
        <v>45293</v>
      </c>
      <c r="AK659" t="s">
        <v>3462</v>
      </c>
      <c r="AL659" t="s">
        <v>2326</v>
      </c>
    </row>
    <row r="660" spans="1:38" x14ac:dyDescent="0.35">
      <c r="A660" t="s">
        <v>2328</v>
      </c>
      <c r="B660" t="s">
        <v>461</v>
      </c>
      <c r="C660" t="s">
        <v>89</v>
      </c>
      <c r="D660" t="s">
        <v>630</v>
      </c>
      <c r="E660" t="s">
        <v>450</v>
      </c>
      <c r="F660" t="s">
        <v>134</v>
      </c>
      <c r="G660" t="s">
        <v>497</v>
      </c>
      <c r="H660">
        <v>50760</v>
      </c>
      <c r="I660">
        <f>Sales_Transactions_Raw[[#This Row],[Unit_Price]]*Sales_Transactions_Raw[[#This Row],[Quantity]]</f>
        <v>101520</v>
      </c>
      <c r="J660">
        <v>2</v>
      </c>
      <c r="K660">
        <v>0</v>
      </c>
      <c r="L660">
        <v>0</v>
      </c>
      <c r="M660">
        <v>101520</v>
      </c>
      <c r="N660">
        <v>5</v>
      </c>
      <c r="O660">
        <v>5076</v>
      </c>
      <c r="P660">
        <v>0</v>
      </c>
      <c r="Q660">
        <v>106596</v>
      </c>
      <c r="R660" t="s">
        <v>48</v>
      </c>
      <c r="S660" t="s">
        <v>93</v>
      </c>
      <c r="T660" t="s">
        <v>115</v>
      </c>
      <c r="U660" t="s">
        <v>196</v>
      </c>
      <c r="V660" t="s">
        <v>94</v>
      </c>
      <c r="W660" t="s">
        <v>95</v>
      </c>
      <c r="X660" t="s">
        <v>53</v>
      </c>
      <c r="Y660" t="s">
        <v>54</v>
      </c>
      <c r="Z660" t="s">
        <v>70</v>
      </c>
      <c r="AA660" t="s">
        <v>2330</v>
      </c>
      <c r="AB660" t="s">
        <v>3343</v>
      </c>
      <c r="AC660">
        <v>4</v>
      </c>
      <c r="AD660" t="s">
        <v>56</v>
      </c>
      <c r="AE660" t="s">
        <v>3336</v>
      </c>
      <c r="AF660" t="s">
        <v>164</v>
      </c>
      <c r="AG660" t="s">
        <v>3337</v>
      </c>
      <c r="AH660" s="1">
        <v>45034</v>
      </c>
      <c r="AI660" s="1">
        <v>45037</v>
      </c>
      <c r="AJ660" s="1">
        <v>45040</v>
      </c>
      <c r="AK660" t="s">
        <v>3483</v>
      </c>
      <c r="AL660" t="s">
        <v>2329</v>
      </c>
    </row>
    <row r="661" spans="1:38" x14ac:dyDescent="0.35">
      <c r="A661" t="s">
        <v>2331</v>
      </c>
      <c r="B661" t="s">
        <v>646</v>
      </c>
      <c r="C661" t="s">
        <v>157</v>
      </c>
      <c r="D661" t="s">
        <v>971</v>
      </c>
      <c r="E661" t="s">
        <v>972</v>
      </c>
      <c r="F661" t="s">
        <v>146</v>
      </c>
      <c r="G661" t="s">
        <v>195</v>
      </c>
      <c r="H661">
        <v>1710</v>
      </c>
      <c r="I661">
        <f>Sales_Transactions_Raw[[#This Row],[Unit_Price]]*Sales_Transactions_Raw[[#This Row],[Quantity]]</f>
        <v>1710</v>
      </c>
      <c r="J661">
        <v>1</v>
      </c>
      <c r="K661">
        <v>0</v>
      </c>
      <c r="L661">
        <v>0</v>
      </c>
      <c r="M661">
        <v>1710</v>
      </c>
      <c r="N661">
        <v>12</v>
      </c>
      <c r="O661">
        <v>205.2</v>
      </c>
      <c r="P661">
        <v>149</v>
      </c>
      <c r="Q661">
        <v>1915.2</v>
      </c>
      <c r="R661" t="s">
        <v>92</v>
      </c>
      <c r="S661" t="s">
        <v>125</v>
      </c>
      <c r="T661" t="s">
        <v>66</v>
      </c>
      <c r="U661" t="s">
        <v>196</v>
      </c>
      <c r="V661" t="s">
        <v>80</v>
      </c>
      <c r="W661" t="s">
        <v>81</v>
      </c>
      <c r="X661" t="s">
        <v>480</v>
      </c>
      <c r="Y661" t="s">
        <v>481</v>
      </c>
      <c r="Z661" t="s">
        <v>52</v>
      </c>
      <c r="AA661" t="s">
        <v>2333</v>
      </c>
      <c r="AB661" t="s">
        <v>3335</v>
      </c>
      <c r="AC661">
        <v>4</v>
      </c>
      <c r="AD661" t="s">
        <v>56</v>
      </c>
      <c r="AE661" t="s">
        <v>3336</v>
      </c>
      <c r="AF661" t="s">
        <v>262</v>
      </c>
      <c r="AG661" t="s">
        <v>58</v>
      </c>
      <c r="AH661" s="1">
        <v>45188</v>
      </c>
      <c r="AI661" s="1">
        <v>45191</v>
      </c>
      <c r="AJ661" s="1">
        <v>45199</v>
      </c>
      <c r="AK661" t="s">
        <v>3432</v>
      </c>
      <c r="AL661" t="s">
        <v>2332</v>
      </c>
    </row>
    <row r="662" spans="1:38" x14ac:dyDescent="0.35">
      <c r="A662" t="s">
        <v>2334</v>
      </c>
      <c r="B662" t="s">
        <v>258</v>
      </c>
      <c r="C662" t="s">
        <v>89</v>
      </c>
      <c r="D662" t="s">
        <v>303</v>
      </c>
      <c r="E662" t="s">
        <v>304</v>
      </c>
      <c r="F662" t="s">
        <v>134</v>
      </c>
      <c r="G662" t="s">
        <v>305</v>
      </c>
      <c r="H662">
        <v>39340</v>
      </c>
      <c r="I662">
        <f>Sales_Transactions_Raw[[#This Row],[Unit_Price]]*Sales_Transactions_Raw[[#This Row],[Quantity]]</f>
        <v>39340</v>
      </c>
      <c r="J662">
        <v>1</v>
      </c>
      <c r="K662">
        <v>20</v>
      </c>
      <c r="L662">
        <v>7868</v>
      </c>
      <c r="M662">
        <v>31472</v>
      </c>
      <c r="N662">
        <v>5</v>
      </c>
      <c r="O662">
        <v>1573.6</v>
      </c>
      <c r="P662">
        <v>0</v>
      </c>
      <c r="Q662">
        <v>33045.599999999999</v>
      </c>
      <c r="R662" t="s">
        <v>48</v>
      </c>
      <c r="S662" t="s">
        <v>49</v>
      </c>
      <c r="T662" t="s">
        <v>115</v>
      </c>
      <c r="U662" t="s">
        <v>50</v>
      </c>
      <c r="V662" t="s">
        <v>177</v>
      </c>
      <c r="W662" t="s">
        <v>81</v>
      </c>
      <c r="X662" t="s">
        <v>626</v>
      </c>
      <c r="Y662" t="s">
        <v>289</v>
      </c>
      <c r="Z662" t="s">
        <v>52</v>
      </c>
      <c r="AA662" t="s">
        <v>2336</v>
      </c>
      <c r="AB662" t="s">
        <v>3344</v>
      </c>
      <c r="AC662">
        <v>5</v>
      </c>
      <c r="AD662" t="s">
        <v>56</v>
      </c>
      <c r="AE662" t="s">
        <v>3336</v>
      </c>
      <c r="AF662" t="s">
        <v>262</v>
      </c>
      <c r="AG662" t="s">
        <v>3342</v>
      </c>
      <c r="AH662" s="1">
        <v>45244</v>
      </c>
      <c r="AI662" s="1">
        <v>45249</v>
      </c>
      <c r="AJ662" s="1">
        <v>45257</v>
      </c>
      <c r="AK662" t="s">
        <v>3667</v>
      </c>
      <c r="AL662" t="s">
        <v>2335</v>
      </c>
    </row>
    <row r="663" spans="1:38" x14ac:dyDescent="0.35">
      <c r="A663" t="s">
        <v>2337</v>
      </c>
      <c r="B663" t="s">
        <v>166</v>
      </c>
      <c r="C663" t="s">
        <v>43</v>
      </c>
      <c r="D663" t="s">
        <v>713</v>
      </c>
      <c r="E663" t="s">
        <v>714</v>
      </c>
      <c r="F663" t="s">
        <v>46</v>
      </c>
      <c r="G663" t="s">
        <v>47</v>
      </c>
      <c r="H663">
        <v>17170</v>
      </c>
      <c r="I663">
        <f>Sales_Transactions_Raw[[#This Row],[Unit_Price]]*Sales_Transactions_Raw[[#This Row],[Quantity]]</f>
        <v>85850</v>
      </c>
      <c r="J663">
        <v>5</v>
      </c>
      <c r="K663">
        <v>5</v>
      </c>
      <c r="L663">
        <v>4292.5</v>
      </c>
      <c r="M663">
        <v>81557.5</v>
      </c>
      <c r="N663">
        <v>18</v>
      </c>
      <c r="O663">
        <v>14680.35</v>
      </c>
      <c r="P663">
        <v>0</v>
      </c>
      <c r="Q663">
        <v>96237.85</v>
      </c>
      <c r="R663" t="s">
        <v>64</v>
      </c>
      <c r="S663" t="s">
        <v>49</v>
      </c>
      <c r="T663" t="s">
        <v>66</v>
      </c>
      <c r="U663" t="s">
        <v>214</v>
      </c>
      <c r="V663" t="s">
        <v>297</v>
      </c>
      <c r="W663" t="s">
        <v>52</v>
      </c>
      <c r="X663" t="s">
        <v>437</v>
      </c>
      <c r="Y663" t="s">
        <v>319</v>
      </c>
      <c r="Z663" t="s">
        <v>95</v>
      </c>
      <c r="AA663" t="s">
        <v>2339</v>
      </c>
      <c r="AB663" t="s">
        <v>3344</v>
      </c>
      <c r="AC663">
        <v>5</v>
      </c>
      <c r="AD663" t="s">
        <v>56</v>
      </c>
      <c r="AE663" t="s">
        <v>3336</v>
      </c>
      <c r="AF663" t="s">
        <v>262</v>
      </c>
      <c r="AG663" t="s">
        <v>85</v>
      </c>
      <c r="AH663" s="1">
        <v>45242</v>
      </c>
      <c r="AI663" s="1">
        <v>45278</v>
      </c>
      <c r="AJ663" s="1">
        <v>45285</v>
      </c>
      <c r="AK663" t="s">
        <v>3568</v>
      </c>
      <c r="AL663" t="s">
        <v>2338</v>
      </c>
    </row>
    <row r="664" spans="1:38" x14ac:dyDescent="0.35">
      <c r="A664" t="s">
        <v>2340</v>
      </c>
      <c r="B664" t="s">
        <v>687</v>
      </c>
      <c r="C664" t="s">
        <v>89</v>
      </c>
      <c r="D664" t="s">
        <v>667</v>
      </c>
      <c r="E664" t="s">
        <v>668</v>
      </c>
      <c r="F664" t="s">
        <v>146</v>
      </c>
      <c r="G664" t="s">
        <v>195</v>
      </c>
      <c r="H664">
        <v>8410</v>
      </c>
      <c r="I664">
        <f>Sales_Transactions_Raw[[#This Row],[Unit_Price]]*Sales_Transactions_Raw[[#This Row],[Quantity]]</f>
        <v>8410</v>
      </c>
      <c r="J664">
        <v>1</v>
      </c>
      <c r="K664">
        <v>5</v>
      </c>
      <c r="L664">
        <v>420.5</v>
      </c>
      <c r="M664">
        <v>7989.5</v>
      </c>
      <c r="N664">
        <v>12</v>
      </c>
      <c r="O664">
        <v>958.74</v>
      </c>
      <c r="P664">
        <v>0</v>
      </c>
      <c r="Q664">
        <v>8948.24</v>
      </c>
      <c r="R664" t="s">
        <v>160</v>
      </c>
      <c r="S664" t="s">
        <v>49</v>
      </c>
      <c r="T664" t="s">
        <v>136</v>
      </c>
      <c r="U664" t="s">
        <v>50</v>
      </c>
      <c r="V664" t="s">
        <v>94</v>
      </c>
      <c r="W664" t="s">
        <v>95</v>
      </c>
      <c r="X664" t="s">
        <v>480</v>
      </c>
      <c r="Y664" t="s">
        <v>481</v>
      </c>
      <c r="Z664" t="s">
        <v>52</v>
      </c>
      <c r="AA664" t="s">
        <v>2342</v>
      </c>
      <c r="AB664" t="s">
        <v>3340</v>
      </c>
      <c r="AC664">
        <v>4</v>
      </c>
      <c r="AD664" t="s">
        <v>56</v>
      </c>
      <c r="AE664" t="s">
        <v>3336</v>
      </c>
      <c r="AF664" t="s">
        <v>227</v>
      </c>
      <c r="AG664" t="s">
        <v>85</v>
      </c>
      <c r="AH664" s="1">
        <v>45445</v>
      </c>
      <c r="AI664" s="1">
        <v>45450</v>
      </c>
      <c r="AJ664" s="1">
        <v>45457</v>
      </c>
      <c r="AK664" t="s">
        <v>3664</v>
      </c>
      <c r="AL664" t="s">
        <v>2341</v>
      </c>
    </row>
    <row r="665" spans="1:38" x14ac:dyDescent="0.35">
      <c r="A665" t="s">
        <v>2343</v>
      </c>
      <c r="B665" t="s">
        <v>373</v>
      </c>
      <c r="C665" t="s">
        <v>157</v>
      </c>
      <c r="D665" t="s">
        <v>449</v>
      </c>
      <c r="E665" t="s">
        <v>450</v>
      </c>
      <c r="F665" t="s">
        <v>46</v>
      </c>
      <c r="G665" t="s">
        <v>78</v>
      </c>
      <c r="H665">
        <v>39890</v>
      </c>
      <c r="I665">
        <f>Sales_Transactions_Raw[[#This Row],[Unit_Price]]*Sales_Transactions_Raw[[#This Row],[Quantity]]</f>
        <v>39890</v>
      </c>
      <c r="J665">
        <v>1</v>
      </c>
      <c r="K665">
        <v>15</v>
      </c>
      <c r="L665">
        <v>5983.5</v>
      </c>
      <c r="M665">
        <v>33906.5</v>
      </c>
      <c r="N665">
        <v>18</v>
      </c>
      <c r="O665">
        <v>6103.17</v>
      </c>
      <c r="P665">
        <v>0</v>
      </c>
      <c r="Q665">
        <v>40009.67</v>
      </c>
      <c r="R665" t="s">
        <v>124</v>
      </c>
      <c r="S665" t="s">
        <v>125</v>
      </c>
      <c r="T665" t="s">
        <v>115</v>
      </c>
      <c r="U665" t="s">
        <v>214</v>
      </c>
      <c r="V665" t="s">
        <v>287</v>
      </c>
      <c r="W665" t="s">
        <v>95</v>
      </c>
      <c r="X665" t="s">
        <v>126</v>
      </c>
      <c r="Y665" t="s">
        <v>127</v>
      </c>
      <c r="Z665" t="s">
        <v>68</v>
      </c>
      <c r="AA665" t="s">
        <v>2345</v>
      </c>
      <c r="AB665" t="s">
        <v>3335</v>
      </c>
      <c r="AC665">
        <v>2</v>
      </c>
      <c r="AD665" t="s">
        <v>56</v>
      </c>
      <c r="AE665" t="s">
        <v>3336</v>
      </c>
      <c r="AF665" t="s">
        <v>326</v>
      </c>
      <c r="AG665" t="s">
        <v>58</v>
      </c>
      <c r="AH665" s="1">
        <v>45165</v>
      </c>
      <c r="AI665" s="1">
        <v>45168</v>
      </c>
      <c r="AJ665" s="1">
        <v>45178</v>
      </c>
      <c r="AK665" t="s">
        <v>3668</v>
      </c>
      <c r="AL665" t="s">
        <v>2344</v>
      </c>
    </row>
    <row r="666" spans="1:38" x14ac:dyDescent="0.35">
      <c r="A666" t="s">
        <v>2346</v>
      </c>
      <c r="B666" t="s">
        <v>472</v>
      </c>
      <c r="C666" t="s">
        <v>157</v>
      </c>
      <c r="D666" t="s">
        <v>495</v>
      </c>
      <c r="E666" t="s">
        <v>496</v>
      </c>
      <c r="F666" t="s">
        <v>134</v>
      </c>
      <c r="G666" t="s">
        <v>497</v>
      </c>
      <c r="H666">
        <v>31380</v>
      </c>
      <c r="I666">
        <f>Sales_Transactions_Raw[[#This Row],[Unit_Price]]*Sales_Transactions_Raw[[#This Row],[Quantity]]</f>
        <v>31380</v>
      </c>
      <c r="J666">
        <v>1</v>
      </c>
      <c r="K666">
        <v>15</v>
      </c>
      <c r="L666">
        <v>4707</v>
      </c>
      <c r="M666">
        <v>26673</v>
      </c>
      <c r="N666">
        <v>5</v>
      </c>
      <c r="O666">
        <v>1333.65</v>
      </c>
      <c r="P666">
        <v>0</v>
      </c>
      <c r="Q666">
        <v>28006.65</v>
      </c>
      <c r="R666" t="s">
        <v>106</v>
      </c>
      <c r="S666" t="s">
        <v>107</v>
      </c>
      <c r="T666" t="s">
        <v>136</v>
      </c>
      <c r="U666" t="s">
        <v>50</v>
      </c>
      <c r="V666" t="s">
        <v>80</v>
      </c>
      <c r="W666" t="s">
        <v>81</v>
      </c>
      <c r="X666" t="s">
        <v>232</v>
      </c>
      <c r="Y666" t="s">
        <v>82</v>
      </c>
      <c r="Z666" t="s">
        <v>52</v>
      </c>
      <c r="AA666" t="s">
        <v>2348</v>
      </c>
      <c r="AB666" t="s">
        <v>3335</v>
      </c>
      <c r="AC666">
        <v>1</v>
      </c>
      <c r="AD666" t="s">
        <v>179</v>
      </c>
      <c r="AE666" t="s">
        <v>3336</v>
      </c>
      <c r="AF666" t="s">
        <v>326</v>
      </c>
      <c r="AG666" t="s">
        <v>3342</v>
      </c>
      <c r="AH666" s="1">
        <v>45127</v>
      </c>
      <c r="AI666" s="1">
        <v>45132</v>
      </c>
      <c r="AJ666" s="1">
        <v>45138</v>
      </c>
      <c r="AK666" t="s">
        <v>3508</v>
      </c>
      <c r="AL666" t="s">
        <v>2347</v>
      </c>
    </row>
    <row r="667" spans="1:38" x14ac:dyDescent="0.35">
      <c r="A667" t="s">
        <v>2349</v>
      </c>
      <c r="B667" t="s">
        <v>254</v>
      </c>
      <c r="C667" t="s">
        <v>43</v>
      </c>
      <c r="D667" t="s">
        <v>221</v>
      </c>
      <c r="E667" t="s">
        <v>222</v>
      </c>
      <c r="F667" t="s">
        <v>146</v>
      </c>
      <c r="G667" t="s">
        <v>223</v>
      </c>
      <c r="H667">
        <v>2870</v>
      </c>
      <c r="I667">
        <f>Sales_Transactions_Raw[[#This Row],[Unit_Price]]*Sales_Transactions_Raw[[#This Row],[Quantity]]</f>
        <v>11480</v>
      </c>
      <c r="J667">
        <v>4</v>
      </c>
      <c r="K667">
        <v>15</v>
      </c>
      <c r="L667">
        <v>1722</v>
      </c>
      <c r="M667">
        <v>9758</v>
      </c>
      <c r="N667">
        <v>12</v>
      </c>
      <c r="O667">
        <v>1170.96</v>
      </c>
      <c r="P667">
        <v>0</v>
      </c>
      <c r="Q667">
        <v>10928.96</v>
      </c>
      <c r="R667" t="s">
        <v>106</v>
      </c>
      <c r="S667" t="s">
        <v>93</v>
      </c>
      <c r="T667" t="s">
        <v>115</v>
      </c>
      <c r="U667" t="s">
        <v>50</v>
      </c>
      <c r="V667" t="s">
        <v>224</v>
      </c>
      <c r="W667" t="s">
        <v>95</v>
      </c>
      <c r="X667" t="s">
        <v>491</v>
      </c>
      <c r="Y667" t="s">
        <v>358</v>
      </c>
      <c r="Z667" t="s">
        <v>95</v>
      </c>
      <c r="AA667" t="s">
        <v>2351</v>
      </c>
      <c r="AB667" t="s">
        <v>3335</v>
      </c>
      <c r="AC667">
        <v>4</v>
      </c>
      <c r="AD667" t="s">
        <v>56</v>
      </c>
      <c r="AE667" t="s">
        <v>3336</v>
      </c>
      <c r="AF667" t="s">
        <v>217</v>
      </c>
      <c r="AG667" t="s">
        <v>85</v>
      </c>
      <c r="AH667" s="1">
        <v>45260</v>
      </c>
      <c r="AI667" s="1">
        <v>45266</v>
      </c>
      <c r="AJ667" s="1">
        <v>45275</v>
      </c>
      <c r="AK667" t="s">
        <v>3631</v>
      </c>
      <c r="AL667" t="s">
        <v>2350</v>
      </c>
    </row>
    <row r="668" spans="1:38" x14ac:dyDescent="0.35">
      <c r="A668" t="s">
        <v>2352</v>
      </c>
      <c r="B668" t="s">
        <v>343</v>
      </c>
      <c r="C668" t="s">
        <v>43</v>
      </c>
      <c r="D668" t="s">
        <v>62</v>
      </c>
      <c r="E668" t="s">
        <v>45</v>
      </c>
      <c r="F668" t="s">
        <v>46</v>
      </c>
      <c r="G668" t="s">
        <v>63</v>
      </c>
      <c r="H668">
        <v>63260</v>
      </c>
      <c r="I668">
        <f>Sales_Transactions_Raw[[#This Row],[Unit_Price]]*Sales_Transactions_Raw[[#This Row],[Quantity]]</f>
        <v>126520</v>
      </c>
      <c r="J668">
        <v>2</v>
      </c>
      <c r="K668">
        <v>0</v>
      </c>
      <c r="L668">
        <v>0</v>
      </c>
      <c r="M668">
        <v>126520</v>
      </c>
      <c r="N668">
        <v>18</v>
      </c>
      <c r="O668">
        <v>22773.599999999999</v>
      </c>
      <c r="P668">
        <v>0</v>
      </c>
      <c r="Q668">
        <v>149293.6</v>
      </c>
      <c r="R668" t="s">
        <v>106</v>
      </c>
      <c r="S668" t="s">
        <v>107</v>
      </c>
      <c r="T668" t="s">
        <v>115</v>
      </c>
      <c r="U668" t="s">
        <v>196</v>
      </c>
      <c r="V668" t="s">
        <v>94</v>
      </c>
      <c r="W668" t="s">
        <v>95</v>
      </c>
      <c r="X668" t="s">
        <v>480</v>
      </c>
      <c r="Y668" t="s">
        <v>481</v>
      </c>
      <c r="Z668" t="s">
        <v>52</v>
      </c>
      <c r="AA668" t="s">
        <v>2354</v>
      </c>
      <c r="AB668" t="s">
        <v>3339</v>
      </c>
      <c r="AC668">
        <v>4</v>
      </c>
      <c r="AD668" t="s">
        <v>56</v>
      </c>
      <c r="AE668" t="s">
        <v>3336</v>
      </c>
      <c r="AF668" t="s">
        <v>164</v>
      </c>
      <c r="AG668" t="s">
        <v>3342</v>
      </c>
      <c r="AH668" s="1">
        <v>45282</v>
      </c>
      <c r="AI668" s="1">
        <v>45288</v>
      </c>
      <c r="AJ668" s="1">
        <v>45290</v>
      </c>
      <c r="AK668" t="s">
        <v>3429</v>
      </c>
      <c r="AL668" t="s">
        <v>2353</v>
      </c>
    </row>
    <row r="669" spans="1:38" x14ac:dyDescent="0.35">
      <c r="A669" t="s">
        <v>2355</v>
      </c>
      <c r="B669" t="s">
        <v>60</v>
      </c>
      <c r="C669" t="s">
        <v>43</v>
      </c>
      <c r="D669" t="s">
        <v>221</v>
      </c>
      <c r="E669" t="s">
        <v>222</v>
      </c>
      <c r="F669" t="s">
        <v>146</v>
      </c>
      <c r="G669" t="s">
        <v>223</v>
      </c>
      <c r="H669">
        <v>2580</v>
      </c>
      <c r="I669">
        <f>Sales_Transactions_Raw[[#This Row],[Unit_Price]]*Sales_Transactions_Raw[[#This Row],[Quantity]]</f>
        <v>2580</v>
      </c>
      <c r="J669">
        <v>1</v>
      </c>
      <c r="K669">
        <v>0</v>
      </c>
      <c r="L669">
        <v>0</v>
      </c>
      <c r="M669">
        <v>2580</v>
      </c>
      <c r="N669">
        <v>12</v>
      </c>
      <c r="O669">
        <v>309.60000000000002</v>
      </c>
      <c r="P669">
        <v>149</v>
      </c>
      <c r="Q669">
        <v>2889.6</v>
      </c>
      <c r="R669" t="s">
        <v>79</v>
      </c>
      <c r="S669" t="s">
        <v>125</v>
      </c>
      <c r="T669" t="s">
        <v>115</v>
      </c>
      <c r="U669" t="s">
        <v>214</v>
      </c>
      <c r="V669" t="s">
        <v>276</v>
      </c>
      <c r="W669" t="s">
        <v>95</v>
      </c>
      <c r="X669" t="s">
        <v>187</v>
      </c>
      <c r="Y669" t="s">
        <v>188</v>
      </c>
      <c r="Z669" t="s">
        <v>68</v>
      </c>
      <c r="AA669" t="s">
        <v>2357</v>
      </c>
      <c r="AB669" t="s">
        <v>3344</v>
      </c>
      <c r="AC669">
        <v>5</v>
      </c>
      <c r="AD669" t="s">
        <v>56</v>
      </c>
      <c r="AE669" t="s">
        <v>3336</v>
      </c>
      <c r="AF669" t="s">
        <v>217</v>
      </c>
      <c r="AG669" t="s">
        <v>58</v>
      </c>
      <c r="AH669" s="1">
        <v>45297</v>
      </c>
      <c r="AI669" s="1">
        <v>45302</v>
      </c>
      <c r="AJ669" s="1">
        <v>45304</v>
      </c>
      <c r="AK669" t="s">
        <v>3410</v>
      </c>
      <c r="AL669" t="s">
        <v>2356</v>
      </c>
    </row>
    <row r="670" spans="1:38" x14ac:dyDescent="0.35">
      <c r="A670" t="s">
        <v>2358</v>
      </c>
      <c r="B670" t="s">
        <v>191</v>
      </c>
      <c r="C670" t="s">
        <v>43</v>
      </c>
      <c r="D670" t="s">
        <v>329</v>
      </c>
      <c r="E670" t="s">
        <v>250</v>
      </c>
      <c r="F670" t="s">
        <v>134</v>
      </c>
      <c r="G670" t="s">
        <v>330</v>
      </c>
      <c r="H670">
        <v>21700</v>
      </c>
      <c r="I670">
        <f>Sales_Transactions_Raw[[#This Row],[Unit_Price]]*Sales_Transactions_Raw[[#This Row],[Quantity]]</f>
        <v>21700</v>
      </c>
      <c r="J670">
        <v>1</v>
      </c>
      <c r="K670">
        <v>5</v>
      </c>
      <c r="L670">
        <v>1085</v>
      </c>
      <c r="M670">
        <v>20615</v>
      </c>
      <c r="N670">
        <v>5</v>
      </c>
      <c r="O670">
        <v>1030.75</v>
      </c>
      <c r="P670">
        <v>0</v>
      </c>
      <c r="Q670">
        <v>21645.75</v>
      </c>
      <c r="R670" t="s">
        <v>124</v>
      </c>
      <c r="S670" t="s">
        <v>49</v>
      </c>
      <c r="T670" t="s">
        <v>115</v>
      </c>
      <c r="U670" t="s">
        <v>196</v>
      </c>
      <c r="V670" t="s">
        <v>67</v>
      </c>
      <c r="W670" t="s">
        <v>68</v>
      </c>
      <c r="X670" t="s">
        <v>357</v>
      </c>
      <c r="Y670" t="s">
        <v>358</v>
      </c>
      <c r="Z670" t="s">
        <v>95</v>
      </c>
      <c r="AA670" t="s">
        <v>2360</v>
      </c>
      <c r="AB670" t="s">
        <v>3335</v>
      </c>
      <c r="AC670">
        <v>3</v>
      </c>
      <c r="AD670" t="s">
        <v>56</v>
      </c>
      <c r="AE670" t="s">
        <v>3336</v>
      </c>
      <c r="AF670" t="s">
        <v>140</v>
      </c>
      <c r="AG670" t="s">
        <v>3342</v>
      </c>
      <c r="AH670" s="1">
        <v>44971</v>
      </c>
      <c r="AI670" s="1">
        <v>44973</v>
      </c>
      <c r="AJ670" s="1">
        <v>44978</v>
      </c>
      <c r="AK670" t="s">
        <v>3358</v>
      </c>
      <c r="AL670" t="s">
        <v>2359</v>
      </c>
    </row>
    <row r="671" spans="1:38" x14ac:dyDescent="0.35">
      <c r="A671" t="s">
        <v>2361</v>
      </c>
      <c r="B671" t="s">
        <v>1107</v>
      </c>
      <c r="C671" t="s">
        <v>157</v>
      </c>
      <c r="D671" t="s">
        <v>158</v>
      </c>
      <c r="E671" t="s">
        <v>159</v>
      </c>
      <c r="F671" t="s">
        <v>46</v>
      </c>
      <c r="G671" t="s">
        <v>105</v>
      </c>
      <c r="H671">
        <v>50500</v>
      </c>
      <c r="I671">
        <f>Sales_Transactions_Raw[[#This Row],[Unit_Price]]*Sales_Transactions_Raw[[#This Row],[Quantity]]</f>
        <v>151500</v>
      </c>
      <c r="J671">
        <v>3</v>
      </c>
      <c r="K671">
        <v>0</v>
      </c>
      <c r="L671">
        <v>0</v>
      </c>
      <c r="M671">
        <v>151500</v>
      </c>
      <c r="N671">
        <v>18</v>
      </c>
      <c r="O671">
        <v>27270</v>
      </c>
      <c r="P671">
        <v>0</v>
      </c>
      <c r="Q671">
        <v>178770</v>
      </c>
      <c r="R671" t="s">
        <v>92</v>
      </c>
      <c r="S671" t="s">
        <v>93</v>
      </c>
      <c r="T671" t="s">
        <v>148</v>
      </c>
      <c r="U671" t="s">
        <v>108</v>
      </c>
      <c r="V671" t="s">
        <v>224</v>
      </c>
      <c r="W671" t="s">
        <v>95</v>
      </c>
      <c r="X671" t="s">
        <v>137</v>
      </c>
      <c r="Y671" t="s">
        <v>138</v>
      </c>
      <c r="Z671" t="s">
        <v>81</v>
      </c>
      <c r="AA671" t="s">
        <v>2363</v>
      </c>
      <c r="AB671" t="s">
        <v>3335</v>
      </c>
      <c r="AC671">
        <v>4</v>
      </c>
      <c r="AD671" t="s">
        <v>56</v>
      </c>
      <c r="AE671" t="s">
        <v>3336</v>
      </c>
      <c r="AF671" t="s">
        <v>140</v>
      </c>
      <c r="AG671" t="s">
        <v>445</v>
      </c>
      <c r="AH671" s="1">
        <v>45306</v>
      </c>
      <c r="AI671" s="1">
        <v>45309</v>
      </c>
      <c r="AJ671" s="1">
        <v>45319</v>
      </c>
      <c r="AK671" t="s">
        <v>3514</v>
      </c>
      <c r="AL671" t="s">
        <v>2362</v>
      </c>
    </row>
    <row r="672" spans="1:38" x14ac:dyDescent="0.35">
      <c r="A672" t="s">
        <v>2364</v>
      </c>
      <c r="B672" t="s">
        <v>418</v>
      </c>
      <c r="C672" t="s">
        <v>157</v>
      </c>
      <c r="D672" t="s">
        <v>630</v>
      </c>
      <c r="E672" t="s">
        <v>450</v>
      </c>
      <c r="F672" t="s">
        <v>134</v>
      </c>
      <c r="G672" t="s">
        <v>497</v>
      </c>
      <c r="H672">
        <v>44570</v>
      </c>
      <c r="I672">
        <f>Sales_Transactions_Raw[[#This Row],[Unit_Price]]*Sales_Transactions_Raw[[#This Row],[Quantity]]</f>
        <v>178280</v>
      </c>
      <c r="J672">
        <v>4</v>
      </c>
      <c r="K672">
        <v>10</v>
      </c>
      <c r="L672">
        <v>17828</v>
      </c>
      <c r="M672">
        <v>160452</v>
      </c>
      <c r="N672">
        <v>5</v>
      </c>
      <c r="O672">
        <v>8022.6</v>
      </c>
      <c r="P672">
        <v>0</v>
      </c>
      <c r="Q672">
        <v>168474.6</v>
      </c>
      <c r="R672" t="s">
        <v>92</v>
      </c>
      <c r="S672" t="s">
        <v>65</v>
      </c>
      <c r="T672" t="s">
        <v>115</v>
      </c>
      <c r="U672" t="s">
        <v>161</v>
      </c>
      <c r="V672" t="s">
        <v>149</v>
      </c>
      <c r="W672" t="s">
        <v>81</v>
      </c>
      <c r="X672" t="s">
        <v>215</v>
      </c>
      <c r="Y672" t="s">
        <v>169</v>
      </c>
      <c r="Z672" t="s">
        <v>95</v>
      </c>
      <c r="AA672" t="s">
        <v>2366</v>
      </c>
      <c r="AB672" t="s">
        <v>3338</v>
      </c>
      <c r="AC672">
        <v>4</v>
      </c>
      <c r="AD672" t="s">
        <v>56</v>
      </c>
      <c r="AE672" t="s">
        <v>3336</v>
      </c>
      <c r="AF672" t="s">
        <v>57</v>
      </c>
      <c r="AG672" t="s">
        <v>58</v>
      </c>
      <c r="AH672" s="1">
        <v>45304</v>
      </c>
      <c r="AI672" s="1">
        <v>45310</v>
      </c>
      <c r="AJ672" s="1">
        <v>45316</v>
      </c>
      <c r="AK672" t="s">
        <v>3401</v>
      </c>
      <c r="AL672" t="s">
        <v>2365</v>
      </c>
    </row>
    <row r="673" spans="1:38" x14ac:dyDescent="0.35">
      <c r="A673" t="s">
        <v>2367</v>
      </c>
      <c r="B673" t="s">
        <v>624</v>
      </c>
      <c r="C673" t="s">
        <v>43</v>
      </c>
      <c r="D673" t="s">
        <v>221</v>
      </c>
      <c r="E673" t="s">
        <v>222</v>
      </c>
      <c r="F673" t="s">
        <v>146</v>
      </c>
      <c r="G673" t="s">
        <v>223</v>
      </c>
      <c r="H673">
        <v>29347.846790890268</v>
      </c>
      <c r="I673">
        <f>Sales_Transactions_Raw[[#This Row],[Unit_Price]]*Sales_Transactions_Raw[[#This Row],[Quantity]]</f>
        <v>117391.38716356107</v>
      </c>
      <c r="J673">
        <v>4</v>
      </c>
      <c r="K673">
        <v>10</v>
      </c>
      <c r="L673">
        <v>1044</v>
      </c>
      <c r="M673">
        <v>9396</v>
      </c>
      <c r="N673">
        <v>12</v>
      </c>
      <c r="O673">
        <v>1127.52</v>
      </c>
      <c r="P673">
        <v>0</v>
      </c>
      <c r="Q673">
        <v>10523.52</v>
      </c>
      <c r="R673" t="s">
        <v>124</v>
      </c>
      <c r="S673" t="s">
        <v>125</v>
      </c>
      <c r="T673" t="s">
        <v>719</v>
      </c>
      <c r="U673" t="s">
        <v>161</v>
      </c>
      <c r="V673" t="s">
        <v>197</v>
      </c>
      <c r="W673" t="s">
        <v>68</v>
      </c>
      <c r="X673" t="s">
        <v>243</v>
      </c>
      <c r="Y673" t="s">
        <v>244</v>
      </c>
      <c r="Z673" t="s">
        <v>70</v>
      </c>
      <c r="AA673" t="s">
        <v>2369</v>
      </c>
      <c r="AB673" t="s">
        <v>3339</v>
      </c>
      <c r="AC673">
        <v>4</v>
      </c>
      <c r="AD673" t="s">
        <v>56</v>
      </c>
      <c r="AE673" t="s">
        <v>3336</v>
      </c>
      <c r="AF673" t="s">
        <v>72</v>
      </c>
      <c r="AG673" t="s">
        <v>445</v>
      </c>
      <c r="AH673" s="1">
        <v>45314</v>
      </c>
      <c r="AI673" s="1">
        <v>45319</v>
      </c>
      <c r="AJ673" s="1">
        <v>45329</v>
      </c>
      <c r="AK673" t="s">
        <v>3444</v>
      </c>
      <c r="AL673" t="s">
        <v>2368</v>
      </c>
    </row>
    <row r="674" spans="1:38" x14ac:dyDescent="0.35">
      <c r="A674" t="s">
        <v>2370</v>
      </c>
      <c r="B674" t="s">
        <v>2260</v>
      </c>
      <c r="C674" t="s">
        <v>43</v>
      </c>
      <c r="D674" t="s">
        <v>704</v>
      </c>
      <c r="E674" t="s">
        <v>705</v>
      </c>
      <c r="F674" t="s">
        <v>285</v>
      </c>
      <c r="G674" t="s">
        <v>706</v>
      </c>
      <c r="H674">
        <v>280</v>
      </c>
      <c r="I674">
        <f>Sales_Transactions_Raw[[#This Row],[Unit_Price]]*Sales_Transactions_Raw[[#This Row],[Quantity]]</f>
        <v>280</v>
      </c>
      <c r="J674">
        <v>1</v>
      </c>
      <c r="K674">
        <v>20</v>
      </c>
      <c r="L674">
        <v>56</v>
      </c>
      <c r="M674">
        <v>224</v>
      </c>
      <c r="N674">
        <v>5</v>
      </c>
      <c r="O674">
        <v>11.2</v>
      </c>
      <c r="P674">
        <v>79</v>
      </c>
      <c r="Q674">
        <v>235.2</v>
      </c>
      <c r="R674" t="s">
        <v>79</v>
      </c>
      <c r="S674" t="s">
        <v>107</v>
      </c>
      <c r="T674" t="s">
        <v>115</v>
      </c>
      <c r="U674" t="s">
        <v>108</v>
      </c>
      <c r="V674" t="s">
        <v>116</v>
      </c>
      <c r="W674" t="s">
        <v>70</v>
      </c>
      <c r="X674" t="s">
        <v>393</v>
      </c>
      <c r="Y674" t="s">
        <v>393</v>
      </c>
      <c r="Z674" t="s">
        <v>70</v>
      </c>
      <c r="AA674" t="s">
        <v>2372</v>
      </c>
      <c r="AB674" t="s">
        <v>3335</v>
      </c>
      <c r="AC674">
        <v>2</v>
      </c>
      <c r="AD674" t="s">
        <v>56</v>
      </c>
      <c r="AE674" t="s">
        <v>3336</v>
      </c>
      <c r="AF674" t="s">
        <v>164</v>
      </c>
      <c r="AG674" t="s">
        <v>3342</v>
      </c>
      <c r="AH674" s="1">
        <v>45373</v>
      </c>
      <c r="AI674" s="1">
        <v>45378</v>
      </c>
      <c r="AJ674" s="1">
        <v>45380</v>
      </c>
      <c r="AK674" t="s">
        <v>3669</v>
      </c>
      <c r="AL674" t="s">
        <v>2371</v>
      </c>
    </row>
    <row r="675" spans="1:38" x14ac:dyDescent="0.35">
      <c r="A675" t="s">
        <v>2373</v>
      </c>
      <c r="B675" t="s">
        <v>617</v>
      </c>
      <c r="C675" t="s">
        <v>89</v>
      </c>
      <c r="D675" t="s">
        <v>350</v>
      </c>
      <c r="E675" t="s">
        <v>351</v>
      </c>
      <c r="F675" t="s">
        <v>211</v>
      </c>
      <c r="G675" t="s">
        <v>352</v>
      </c>
      <c r="H675">
        <v>42470</v>
      </c>
      <c r="I675">
        <f>Sales_Transactions_Raw[[#This Row],[Unit_Price]]*Sales_Transactions_Raw[[#This Row],[Quantity]]</f>
        <v>212350</v>
      </c>
      <c r="J675">
        <v>5</v>
      </c>
      <c r="K675">
        <v>5</v>
      </c>
      <c r="L675">
        <v>10617.5</v>
      </c>
      <c r="M675">
        <v>201732.5</v>
      </c>
      <c r="N675">
        <v>5</v>
      </c>
      <c r="O675">
        <v>10086.620000000001</v>
      </c>
      <c r="P675">
        <v>0</v>
      </c>
      <c r="Q675">
        <v>211819.12</v>
      </c>
      <c r="R675" t="s">
        <v>106</v>
      </c>
      <c r="S675" t="s">
        <v>65</v>
      </c>
      <c r="T675" t="s">
        <v>136</v>
      </c>
      <c r="U675" t="s">
        <v>214</v>
      </c>
      <c r="V675" t="s">
        <v>242</v>
      </c>
      <c r="W675" t="s">
        <v>70</v>
      </c>
      <c r="X675" t="s">
        <v>599</v>
      </c>
      <c r="Y675" t="s">
        <v>319</v>
      </c>
      <c r="Z675" t="s">
        <v>95</v>
      </c>
      <c r="AA675" t="s">
        <v>2375</v>
      </c>
      <c r="AB675" t="s">
        <v>3344</v>
      </c>
      <c r="AC675">
        <v>3</v>
      </c>
      <c r="AD675" t="s">
        <v>56</v>
      </c>
      <c r="AE675" t="s">
        <v>3336</v>
      </c>
      <c r="AF675" t="s">
        <v>279</v>
      </c>
      <c r="AG675" t="s">
        <v>58</v>
      </c>
      <c r="AH675" s="1">
        <v>45297</v>
      </c>
      <c r="AI675" s="1">
        <v>45301</v>
      </c>
      <c r="AJ675" s="1">
        <v>45304</v>
      </c>
      <c r="AK675" t="s">
        <v>3670</v>
      </c>
      <c r="AL675" t="s">
        <v>2374</v>
      </c>
    </row>
    <row r="676" spans="1:38" x14ac:dyDescent="0.35">
      <c r="A676" t="s">
        <v>2376</v>
      </c>
      <c r="B676" t="s">
        <v>292</v>
      </c>
      <c r="C676" t="s">
        <v>43</v>
      </c>
      <c r="D676" t="s">
        <v>274</v>
      </c>
      <c r="E676" t="s">
        <v>275</v>
      </c>
      <c r="F676" t="s">
        <v>211</v>
      </c>
      <c r="G676" t="s">
        <v>268</v>
      </c>
      <c r="H676">
        <v>15190</v>
      </c>
      <c r="I676">
        <f>Sales_Transactions_Raw[[#This Row],[Unit_Price]]*Sales_Transactions_Raw[[#This Row],[Quantity]]</f>
        <v>30380</v>
      </c>
      <c r="J676">
        <v>2</v>
      </c>
      <c r="K676">
        <v>5</v>
      </c>
      <c r="L676">
        <v>1519</v>
      </c>
      <c r="M676">
        <v>28861</v>
      </c>
      <c r="N676">
        <v>5</v>
      </c>
      <c r="O676">
        <v>1443.05</v>
      </c>
      <c r="P676">
        <v>0</v>
      </c>
      <c r="Q676">
        <v>30304.05</v>
      </c>
      <c r="R676" t="s">
        <v>92</v>
      </c>
      <c r="S676" t="s">
        <v>49</v>
      </c>
      <c r="T676" t="s">
        <v>115</v>
      </c>
      <c r="U676" t="s">
        <v>108</v>
      </c>
      <c r="V676" t="s">
        <v>297</v>
      </c>
      <c r="W676" t="s">
        <v>52</v>
      </c>
      <c r="X676" t="s">
        <v>150</v>
      </c>
      <c r="Y676" t="s">
        <v>151</v>
      </c>
      <c r="Z676" t="s">
        <v>81</v>
      </c>
      <c r="AA676" t="s">
        <v>2378</v>
      </c>
      <c r="AB676" t="s">
        <v>3340</v>
      </c>
      <c r="AC676">
        <v>4</v>
      </c>
      <c r="AD676" t="s">
        <v>56</v>
      </c>
      <c r="AE676" t="s">
        <v>3336</v>
      </c>
      <c r="AF676" t="s">
        <v>140</v>
      </c>
      <c r="AG676" t="s">
        <v>3342</v>
      </c>
      <c r="AH676" s="1">
        <v>45241</v>
      </c>
      <c r="AI676" s="1">
        <v>45243</v>
      </c>
      <c r="AJ676" s="1">
        <v>45253</v>
      </c>
      <c r="AK676" t="s">
        <v>3430</v>
      </c>
      <c r="AL676" t="s">
        <v>2377</v>
      </c>
    </row>
    <row r="677" spans="1:38" x14ac:dyDescent="0.35">
      <c r="A677" t="s">
        <v>2379</v>
      </c>
      <c r="B677" t="s">
        <v>207</v>
      </c>
      <c r="C677" t="s">
        <v>89</v>
      </c>
      <c r="D677" t="s">
        <v>90</v>
      </c>
      <c r="E677" t="s">
        <v>91</v>
      </c>
      <c r="F677" t="s">
        <v>46</v>
      </c>
      <c r="G677" t="s">
        <v>78</v>
      </c>
      <c r="H677">
        <v>95060</v>
      </c>
      <c r="I677">
        <f>Sales_Transactions_Raw[[#This Row],[Unit_Price]]*Sales_Transactions_Raw[[#This Row],[Quantity]]</f>
        <v>95060</v>
      </c>
      <c r="J677">
        <v>1</v>
      </c>
      <c r="K677">
        <v>0</v>
      </c>
      <c r="L677">
        <v>0</v>
      </c>
      <c r="M677">
        <v>95060</v>
      </c>
      <c r="N677">
        <v>18</v>
      </c>
      <c r="O677">
        <v>17110.8</v>
      </c>
      <c r="P677">
        <v>0</v>
      </c>
      <c r="Q677">
        <v>112170.8</v>
      </c>
      <c r="R677" t="s">
        <v>124</v>
      </c>
      <c r="S677" t="s">
        <v>107</v>
      </c>
      <c r="T677" t="s">
        <v>66</v>
      </c>
      <c r="U677" t="s">
        <v>50</v>
      </c>
      <c r="V677" t="s">
        <v>80</v>
      </c>
      <c r="W677" t="s">
        <v>81</v>
      </c>
      <c r="X677" t="s">
        <v>486</v>
      </c>
      <c r="Y677" t="s">
        <v>138</v>
      </c>
      <c r="Z677" t="s">
        <v>81</v>
      </c>
      <c r="AA677" t="s">
        <v>2381</v>
      </c>
      <c r="AB677" t="s">
        <v>3341</v>
      </c>
      <c r="AC677">
        <v>2</v>
      </c>
      <c r="AD677" t="s">
        <v>56</v>
      </c>
      <c r="AE677" t="s">
        <v>3336</v>
      </c>
      <c r="AF677" t="s">
        <v>140</v>
      </c>
      <c r="AG677" t="s">
        <v>3342</v>
      </c>
      <c r="AH677" s="1">
        <v>45210</v>
      </c>
      <c r="AI677" s="1">
        <v>45217</v>
      </c>
      <c r="AJ677" s="1">
        <v>45227</v>
      </c>
      <c r="AK677" t="s">
        <v>3671</v>
      </c>
      <c r="AL677" t="s">
        <v>2380</v>
      </c>
    </row>
    <row r="678" spans="1:38" x14ac:dyDescent="0.35">
      <c r="A678" t="s">
        <v>2382</v>
      </c>
      <c r="B678" t="s">
        <v>1107</v>
      </c>
      <c r="C678" t="s">
        <v>43</v>
      </c>
      <c r="D678" t="s">
        <v>345</v>
      </c>
      <c r="E678" t="s">
        <v>346</v>
      </c>
      <c r="F678" t="s">
        <v>46</v>
      </c>
      <c r="G678" t="s">
        <v>63</v>
      </c>
      <c r="H678">
        <v>133000</v>
      </c>
      <c r="I678">
        <f>Sales_Transactions_Raw[[#This Row],[Unit_Price]]*Sales_Transactions_Raw[[#This Row],[Quantity]]</f>
        <v>399000</v>
      </c>
      <c r="J678">
        <v>3</v>
      </c>
      <c r="K678">
        <v>5</v>
      </c>
      <c r="L678">
        <v>19950</v>
      </c>
      <c r="M678">
        <v>379050</v>
      </c>
      <c r="N678">
        <v>18</v>
      </c>
      <c r="O678">
        <v>68229</v>
      </c>
      <c r="P678">
        <v>0</v>
      </c>
      <c r="Q678">
        <v>447279</v>
      </c>
      <c r="R678" t="s">
        <v>92</v>
      </c>
      <c r="S678" t="s">
        <v>107</v>
      </c>
      <c r="T678" t="s">
        <v>115</v>
      </c>
      <c r="U678" t="s">
        <v>108</v>
      </c>
      <c r="V678" t="s">
        <v>149</v>
      </c>
      <c r="W678" t="s">
        <v>81</v>
      </c>
      <c r="X678" t="s">
        <v>393</v>
      </c>
      <c r="Y678" t="s">
        <v>393</v>
      </c>
      <c r="Z678" t="s">
        <v>70</v>
      </c>
      <c r="AA678" t="s">
        <v>2384</v>
      </c>
      <c r="AB678" t="s">
        <v>3341</v>
      </c>
      <c r="AC678">
        <v>3</v>
      </c>
      <c r="AD678" t="s">
        <v>56</v>
      </c>
      <c r="AE678" t="s">
        <v>3336</v>
      </c>
      <c r="AF678" t="s">
        <v>57</v>
      </c>
      <c r="AG678" t="s">
        <v>3337</v>
      </c>
      <c r="AH678" s="1">
        <v>45265</v>
      </c>
      <c r="AI678" s="1">
        <v>45269</v>
      </c>
      <c r="AJ678" s="1">
        <v>45276</v>
      </c>
      <c r="AK678" t="s">
        <v>3619</v>
      </c>
      <c r="AL678" t="s">
        <v>2383</v>
      </c>
    </row>
    <row r="679" spans="1:38" x14ac:dyDescent="0.35">
      <c r="A679" t="s">
        <v>2385</v>
      </c>
      <c r="B679" t="s">
        <v>235</v>
      </c>
      <c r="C679" t="s">
        <v>43</v>
      </c>
      <c r="D679" t="s">
        <v>230</v>
      </c>
      <c r="E679" t="s">
        <v>231</v>
      </c>
      <c r="F679" t="s">
        <v>46</v>
      </c>
      <c r="G679" t="s">
        <v>63</v>
      </c>
      <c r="H679">
        <v>117010</v>
      </c>
      <c r="I679">
        <f>Sales_Transactions_Raw[[#This Row],[Unit_Price]]*Sales_Transactions_Raw[[#This Row],[Quantity]]</f>
        <v>702060</v>
      </c>
      <c r="J679">
        <v>6</v>
      </c>
      <c r="K679">
        <v>10</v>
      </c>
      <c r="L679">
        <v>70206</v>
      </c>
      <c r="M679">
        <v>631854</v>
      </c>
      <c r="N679">
        <v>18</v>
      </c>
      <c r="O679">
        <v>113733.72</v>
      </c>
      <c r="P679">
        <v>0</v>
      </c>
      <c r="Q679">
        <v>745587.72</v>
      </c>
      <c r="R679" t="s">
        <v>64</v>
      </c>
      <c r="S679" t="s">
        <v>65</v>
      </c>
      <c r="T679" t="s">
        <v>213</v>
      </c>
      <c r="U679" t="s">
        <v>214</v>
      </c>
      <c r="V679" t="s">
        <v>116</v>
      </c>
      <c r="W679" t="s">
        <v>70</v>
      </c>
      <c r="X679" t="s">
        <v>551</v>
      </c>
      <c r="Y679" t="s">
        <v>138</v>
      </c>
      <c r="Z679" t="s">
        <v>81</v>
      </c>
      <c r="AA679" t="s">
        <v>2387</v>
      </c>
      <c r="AB679" t="s">
        <v>3343</v>
      </c>
      <c r="AC679">
        <v>4</v>
      </c>
      <c r="AD679" t="s">
        <v>179</v>
      </c>
      <c r="AE679" t="s">
        <v>206</v>
      </c>
      <c r="AF679" t="s">
        <v>262</v>
      </c>
      <c r="AG679" t="s">
        <v>111</v>
      </c>
      <c r="AH679" s="1">
        <v>45464</v>
      </c>
      <c r="AI679" s="1">
        <v>45471</v>
      </c>
      <c r="AJ679" s="1">
        <v>45474</v>
      </c>
      <c r="AK679" t="s">
        <v>3525</v>
      </c>
      <c r="AL679" t="s">
        <v>2386</v>
      </c>
    </row>
    <row r="680" spans="1:38" x14ac:dyDescent="0.35">
      <c r="A680" t="s">
        <v>2388</v>
      </c>
      <c r="B680" t="s">
        <v>832</v>
      </c>
      <c r="C680" t="s">
        <v>43</v>
      </c>
      <c r="D680" t="s">
        <v>426</v>
      </c>
      <c r="E680" t="s">
        <v>427</v>
      </c>
      <c r="F680" t="s">
        <v>134</v>
      </c>
      <c r="G680" t="s">
        <v>305</v>
      </c>
      <c r="H680">
        <v>48480</v>
      </c>
      <c r="I680">
        <f>Sales_Transactions_Raw[[#This Row],[Unit_Price]]*Sales_Transactions_Raw[[#This Row],[Quantity]]</f>
        <v>48480</v>
      </c>
      <c r="J680">
        <v>1</v>
      </c>
      <c r="K680">
        <v>0</v>
      </c>
      <c r="L680">
        <v>0</v>
      </c>
      <c r="M680">
        <v>48480</v>
      </c>
      <c r="N680">
        <v>5</v>
      </c>
      <c r="O680">
        <v>2424</v>
      </c>
      <c r="P680">
        <v>0</v>
      </c>
      <c r="Q680">
        <v>50904</v>
      </c>
      <c r="R680" t="s">
        <v>64</v>
      </c>
      <c r="S680" t="s">
        <v>125</v>
      </c>
      <c r="T680" t="s">
        <v>115</v>
      </c>
      <c r="U680" t="s">
        <v>214</v>
      </c>
      <c r="V680" t="s">
        <v>149</v>
      </c>
      <c r="W680" t="s">
        <v>81</v>
      </c>
      <c r="X680" t="s">
        <v>288</v>
      </c>
      <c r="Y680" t="s">
        <v>289</v>
      </c>
      <c r="Z680" t="s">
        <v>52</v>
      </c>
      <c r="AA680" t="s">
        <v>2389</v>
      </c>
      <c r="AB680" t="s">
        <v>3338</v>
      </c>
      <c r="AC680">
        <v>3</v>
      </c>
      <c r="AD680" t="s">
        <v>56</v>
      </c>
      <c r="AE680" t="s">
        <v>3336</v>
      </c>
      <c r="AF680" t="s">
        <v>84</v>
      </c>
      <c r="AG680" t="s">
        <v>58</v>
      </c>
      <c r="AH680" s="1">
        <v>45100</v>
      </c>
      <c r="AI680" s="1">
        <v>45102</v>
      </c>
      <c r="AJ680" s="1">
        <v>45107</v>
      </c>
      <c r="AK680" t="s">
        <v>3543</v>
      </c>
      <c r="AL680" t="s">
        <v>3745</v>
      </c>
    </row>
    <row r="681" spans="1:38" x14ac:dyDescent="0.35">
      <c r="A681" t="s">
        <v>2390</v>
      </c>
      <c r="B681" t="s">
        <v>832</v>
      </c>
      <c r="C681" t="s">
        <v>157</v>
      </c>
      <c r="D681" t="s">
        <v>274</v>
      </c>
      <c r="E681" t="s">
        <v>275</v>
      </c>
      <c r="F681" t="s">
        <v>211</v>
      </c>
      <c r="G681" t="s">
        <v>268</v>
      </c>
      <c r="H681">
        <v>14840</v>
      </c>
      <c r="I681">
        <f>Sales_Transactions_Raw[[#This Row],[Unit_Price]]*Sales_Transactions_Raw[[#This Row],[Quantity]]</f>
        <v>59360</v>
      </c>
      <c r="J681">
        <v>4</v>
      </c>
      <c r="K681">
        <v>5</v>
      </c>
      <c r="L681">
        <v>2968</v>
      </c>
      <c r="M681">
        <v>56392</v>
      </c>
      <c r="N681">
        <v>5</v>
      </c>
      <c r="O681">
        <v>2819.6</v>
      </c>
      <c r="P681">
        <v>0</v>
      </c>
      <c r="Q681">
        <v>59211.6</v>
      </c>
      <c r="R681" t="s">
        <v>48</v>
      </c>
      <c r="S681" t="s">
        <v>107</v>
      </c>
      <c r="T681" t="s">
        <v>136</v>
      </c>
      <c r="U681" t="s">
        <v>196</v>
      </c>
      <c r="V681" t="s">
        <v>94</v>
      </c>
      <c r="W681" t="s">
        <v>95</v>
      </c>
      <c r="X681" t="s">
        <v>243</v>
      </c>
      <c r="Y681" t="s">
        <v>244</v>
      </c>
      <c r="Z681" t="s">
        <v>70</v>
      </c>
      <c r="AA681" t="s">
        <v>2392</v>
      </c>
      <c r="AB681" t="s">
        <v>3335</v>
      </c>
      <c r="AC681">
        <v>5</v>
      </c>
      <c r="AD681" t="s">
        <v>56</v>
      </c>
      <c r="AE681" t="s">
        <v>3336</v>
      </c>
      <c r="AF681" t="s">
        <v>140</v>
      </c>
      <c r="AG681" t="s">
        <v>85</v>
      </c>
      <c r="AH681" s="1">
        <v>45270</v>
      </c>
      <c r="AI681" s="1">
        <v>45273</v>
      </c>
      <c r="AJ681" s="1">
        <v>45276</v>
      </c>
      <c r="AK681" t="s">
        <v>3533</v>
      </c>
      <c r="AL681" t="s">
        <v>2391</v>
      </c>
    </row>
    <row r="682" spans="1:38" x14ac:dyDescent="0.35">
      <c r="A682" t="s">
        <v>2393</v>
      </c>
      <c r="B682" t="s">
        <v>559</v>
      </c>
      <c r="C682" t="s">
        <v>157</v>
      </c>
      <c r="D682" t="s">
        <v>420</v>
      </c>
      <c r="E682" t="s">
        <v>421</v>
      </c>
      <c r="F682" t="s">
        <v>134</v>
      </c>
      <c r="G682" t="s">
        <v>135</v>
      </c>
      <c r="H682">
        <v>3400</v>
      </c>
      <c r="I682">
        <f>Sales_Transactions_Raw[[#This Row],[Unit_Price]]*Sales_Transactions_Raw[[#This Row],[Quantity]]</f>
        <v>3400</v>
      </c>
      <c r="J682">
        <v>1</v>
      </c>
      <c r="K682">
        <v>0</v>
      </c>
      <c r="L682">
        <v>0</v>
      </c>
      <c r="M682">
        <v>3400</v>
      </c>
      <c r="N682">
        <v>5</v>
      </c>
      <c r="O682">
        <v>170</v>
      </c>
      <c r="P682">
        <v>49</v>
      </c>
      <c r="Q682">
        <v>3570</v>
      </c>
      <c r="R682" t="s">
        <v>106</v>
      </c>
      <c r="S682" t="s">
        <v>65</v>
      </c>
      <c r="T682" t="s">
        <v>136</v>
      </c>
      <c r="U682" t="s">
        <v>108</v>
      </c>
      <c r="V682" t="s">
        <v>242</v>
      </c>
      <c r="W682" t="s">
        <v>70</v>
      </c>
      <c r="X682" t="s">
        <v>480</v>
      </c>
      <c r="Y682" t="s">
        <v>481</v>
      </c>
      <c r="Z682" t="s">
        <v>52</v>
      </c>
      <c r="AA682" t="s">
        <v>2395</v>
      </c>
      <c r="AB682" t="s">
        <v>3335</v>
      </c>
      <c r="AC682">
        <v>2</v>
      </c>
      <c r="AD682" t="s">
        <v>56</v>
      </c>
      <c r="AE682" t="s">
        <v>3336</v>
      </c>
      <c r="AF682" t="s">
        <v>326</v>
      </c>
      <c r="AG682" t="s">
        <v>58</v>
      </c>
      <c r="AH682" s="1">
        <v>45121</v>
      </c>
      <c r="AI682" s="1">
        <v>45126</v>
      </c>
      <c r="AJ682" s="1">
        <v>45129</v>
      </c>
      <c r="AK682" t="s">
        <v>3487</v>
      </c>
      <c r="AL682" t="s">
        <v>2394</v>
      </c>
    </row>
    <row r="683" spans="1:38" x14ac:dyDescent="0.35">
      <c r="A683" t="s">
        <v>2396</v>
      </c>
      <c r="B683" t="s">
        <v>524</v>
      </c>
      <c r="C683" t="s">
        <v>43</v>
      </c>
      <c r="D683" t="s">
        <v>490</v>
      </c>
      <c r="E683" t="s">
        <v>91</v>
      </c>
      <c r="F683" t="s">
        <v>46</v>
      </c>
      <c r="G683" t="s">
        <v>369</v>
      </c>
      <c r="H683">
        <v>70230</v>
      </c>
      <c r="I683">
        <f>Sales_Transactions_Raw[[#This Row],[Unit_Price]]*Sales_Transactions_Raw[[#This Row],[Quantity]]</f>
        <v>70230</v>
      </c>
      <c r="J683">
        <v>1</v>
      </c>
      <c r="K683">
        <v>5</v>
      </c>
      <c r="L683">
        <v>3511.5</v>
      </c>
      <c r="M683">
        <v>66718.5</v>
      </c>
      <c r="N683">
        <v>18</v>
      </c>
      <c r="O683">
        <v>12009.33</v>
      </c>
      <c r="P683">
        <v>0</v>
      </c>
      <c r="Q683">
        <v>78727.83</v>
      </c>
      <c r="R683" t="s">
        <v>106</v>
      </c>
      <c r="S683" t="s">
        <v>49</v>
      </c>
      <c r="T683" t="s">
        <v>148</v>
      </c>
      <c r="U683" t="s">
        <v>214</v>
      </c>
      <c r="V683" t="s">
        <v>116</v>
      </c>
      <c r="W683" t="s">
        <v>70</v>
      </c>
      <c r="X683" t="s">
        <v>204</v>
      </c>
      <c r="Y683" t="s">
        <v>118</v>
      </c>
      <c r="Z683" t="s">
        <v>70</v>
      </c>
      <c r="AA683" t="s">
        <v>2398</v>
      </c>
      <c r="AB683" t="s">
        <v>3338</v>
      </c>
      <c r="AC683">
        <v>4</v>
      </c>
      <c r="AD683" t="s">
        <v>56</v>
      </c>
      <c r="AE683" t="s">
        <v>3336</v>
      </c>
      <c r="AF683" t="s">
        <v>217</v>
      </c>
      <c r="AG683" t="s">
        <v>3337</v>
      </c>
      <c r="AH683" s="1">
        <v>45122</v>
      </c>
      <c r="AI683" s="1">
        <v>45126</v>
      </c>
      <c r="AJ683" s="1">
        <v>45133</v>
      </c>
      <c r="AK683" t="s">
        <v>3620</v>
      </c>
      <c r="AL683" t="s">
        <v>2397</v>
      </c>
    </row>
    <row r="684" spans="1:38" x14ac:dyDescent="0.35">
      <c r="A684" t="s">
        <v>2399</v>
      </c>
      <c r="B684" t="s">
        <v>559</v>
      </c>
      <c r="C684" t="s">
        <v>43</v>
      </c>
      <c r="D684" t="s">
        <v>420</v>
      </c>
      <c r="E684" t="s">
        <v>421</v>
      </c>
      <c r="F684" t="s">
        <v>134</v>
      </c>
      <c r="G684" t="s">
        <v>135</v>
      </c>
      <c r="H684">
        <v>3240</v>
      </c>
      <c r="I684">
        <f>Sales_Transactions_Raw[[#This Row],[Unit_Price]]*Sales_Transactions_Raw[[#This Row],[Quantity]]</f>
        <v>3240</v>
      </c>
      <c r="J684">
        <v>1</v>
      </c>
      <c r="K684">
        <v>10</v>
      </c>
      <c r="L684">
        <v>324</v>
      </c>
      <c r="M684">
        <v>2916</v>
      </c>
      <c r="N684">
        <v>5</v>
      </c>
      <c r="O684">
        <v>145.80000000000001</v>
      </c>
      <c r="P684">
        <v>79</v>
      </c>
      <c r="Q684">
        <v>3061.8</v>
      </c>
      <c r="R684" t="s">
        <v>106</v>
      </c>
      <c r="S684" t="s">
        <v>65</v>
      </c>
      <c r="T684" t="s">
        <v>136</v>
      </c>
      <c r="U684" t="s">
        <v>108</v>
      </c>
      <c r="V684" t="s">
        <v>177</v>
      </c>
      <c r="W684" t="s">
        <v>81</v>
      </c>
      <c r="X684" t="s">
        <v>215</v>
      </c>
      <c r="Y684" t="s">
        <v>169</v>
      </c>
      <c r="Z684" t="s">
        <v>95</v>
      </c>
      <c r="AA684" t="s">
        <v>2401</v>
      </c>
      <c r="AB684" t="s">
        <v>3341</v>
      </c>
      <c r="AC684">
        <v>5</v>
      </c>
      <c r="AD684" t="s">
        <v>56</v>
      </c>
      <c r="AE684" t="s">
        <v>3336</v>
      </c>
      <c r="AF684" t="s">
        <v>326</v>
      </c>
      <c r="AG684" t="s">
        <v>85</v>
      </c>
      <c r="AH684" s="1">
        <v>44980</v>
      </c>
      <c r="AI684" s="1">
        <v>44985</v>
      </c>
      <c r="AJ684" s="1">
        <v>44994</v>
      </c>
      <c r="AK684" t="s">
        <v>3522</v>
      </c>
      <c r="AL684" t="s">
        <v>2400</v>
      </c>
    </row>
    <row r="685" spans="1:38" x14ac:dyDescent="0.35">
      <c r="A685" t="s">
        <v>2402</v>
      </c>
      <c r="B685" t="s">
        <v>101</v>
      </c>
      <c r="C685" t="s">
        <v>89</v>
      </c>
      <c r="D685" t="s">
        <v>375</v>
      </c>
      <c r="E685" t="s">
        <v>376</v>
      </c>
      <c r="F685" t="s">
        <v>146</v>
      </c>
      <c r="G685" t="s">
        <v>147</v>
      </c>
      <c r="H685">
        <v>9670</v>
      </c>
      <c r="I685">
        <f>Sales_Transactions_Raw[[#This Row],[Unit_Price]]*Sales_Transactions_Raw[[#This Row],[Quantity]]</f>
        <v>29010</v>
      </c>
      <c r="J685">
        <v>3</v>
      </c>
      <c r="K685">
        <v>10</v>
      </c>
      <c r="L685">
        <v>2901</v>
      </c>
      <c r="M685">
        <v>26109</v>
      </c>
      <c r="N685">
        <v>12</v>
      </c>
      <c r="O685">
        <v>3133.08</v>
      </c>
      <c r="P685">
        <v>0</v>
      </c>
      <c r="Q685">
        <v>29242.080000000002</v>
      </c>
      <c r="R685" t="s">
        <v>124</v>
      </c>
      <c r="S685" t="s">
        <v>107</v>
      </c>
      <c r="T685" t="s">
        <v>136</v>
      </c>
      <c r="U685" t="s">
        <v>161</v>
      </c>
      <c r="V685" t="s">
        <v>197</v>
      </c>
      <c r="W685" t="s">
        <v>68</v>
      </c>
      <c r="X685" t="s">
        <v>505</v>
      </c>
      <c r="Y685" t="s">
        <v>118</v>
      </c>
      <c r="Z685" t="s">
        <v>70</v>
      </c>
      <c r="AB685" t="s">
        <v>3335</v>
      </c>
      <c r="AC685">
        <v>4</v>
      </c>
      <c r="AD685" t="s">
        <v>56</v>
      </c>
      <c r="AE685" t="s">
        <v>3336</v>
      </c>
      <c r="AF685" t="s">
        <v>217</v>
      </c>
      <c r="AG685" t="s">
        <v>3342</v>
      </c>
      <c r="AH685" s="1">
        <v>45479</v>
      </c>
      <c r="AI685" s="1">
        <v>45632</v>
      </c>
      <c r="AJ685" s="1">
        <v>45460</v>
      </c>
      <c r="AK685" t="s">
        <v>3357</v>
      </c>
      <c r="AL685" t="s">
        <v>2403</v>
      </c>
    </row>
    <row r="686" spans="1:38" x14ac:dyDescent="0.35">
      <c r="A686" t="s">
        <v>2404</v>
      </c>
      <c r="B686" t="s">
        <v>699</v>
      </c>
      <c r="C686" t="s">
        <v>43</v>
      </c>
      <c r="D686" t="s">
        <v>402</v>
      </c>
      <c r="E686" t="s">
        <v>403</v>
      </c>
      <c r="F686" t="s">
        <v>146</v>
      </c>
      <c r="G686" t="s">
        <v>223</v>
      </c>
      <c r="H686">
        <v>2060</v>
      </c>
      <c r="I686">
        <f>Sales_Transactions_Raw[[#This Row],[Unit_Price]]*Sales_Transactions_Raw[[#This Row],[Quantity]]</f>
        <v>6180</v>
      </c>
      <c r="J686">
        <v>3</v>
      </c>
      <c r="K686">
        <v>5</v>
      </c>
      <c r="L686">
        <v>309</v>
      </c>
      <c r="M686">
        <v>5871</v>
      </c>
      <c r="N686">
        <v>12</v>
      </c>
      <c r="O686">
        <v>704.52</v>
      </c>
      <c r="P686">
        <v>0</v>
      </c>
      <c r="Q686">
        <v>6575.52</v>
      </c>
      <c r="R686" t="s">
        <v>48</v>
      </c>
      <c r="S686" t="s">
        <v>107</v>
      </c>
      <c r="T686" t="s">
        <v>136</v>
      </c>
      <c r="U686" t="s">
        <v>108</v>
      </c>
      <c r="V686" t="s">
        <v>224</v>
      </c>
      <c r="W686" t="s">
        <v>696</v>
      </c>
      <c r="X686" t="s">
        <v>306</v>
      </c>
      <c r="Y686" t="s">
        <v>97</v>
      </c>
      <c r="Z686" t="s">
        <v>95</v>
      </c>
      <c r="AA686" t="s">
        <v>2406</v>
      </c>
      <c r="AB686" t="s">
        <v>3344</v>
      </c>
      <c r="AC686">
        <v>5</v>
      </c>
      <c r="AD686" t="s">
        <v>56</v>
      </c>
      <c r="AE686" t="s">
        <v>3336</v>
      </c>
      <c r="AF686" t="s">
        <v>227</v>
      </c>
      <c r="AG686" t="s">
        <v>58</v>
      </c>
      <c r="AH686" s="1">
        <v>45336</v>
      </c>
      <c r="AI686" s="1">
        <v>45338</v>
      </c>
      <c r="AJ686" s="1">
        <v>45345</v>
      </c>
      <c r="AK686" t="s">
        <v>3605</v>
      </c>
      <c r="AL686" t="s">
        <v>2405</v>
      </c>
    </row>
    <row r="687" spans="1:38" x14ac:dyDescent="0.35">
      <c r="A687" t="s">
        <v>2407</v>
      </c>
      <c r="B687" t="s">
        <v>656</v>
      </c>
      <c r="C687" t="s">
        <v>157</v>
      </c>
      <c r="D687" t="s">
        <v>406</v>
      </c>
      <c r="E687" t="s">
        <v>231</v>
      </c>
      <c r="F687" t="s">
        <v>46</v>
      </c>
      <c r="G687" t="s">
        <v>369</v>
      </c>
      <c r="H687">
        <v>96070</v>
      </c>
      <c r="I687">
        <f>Sales_Transactions_Raw[[#This Row],[Unit_Price]]*Sales_Transactions_Raw[[#This Row],[Quantity]]</f>
        <v>192140</v>
      </c>
      <c r="J687">
        <v>2</v>
      </c>
      <c r="K687">
        <v>0</v>
      </c>
      <c r="L687">
        <v>0</v>
      </c>
      <c r="M687">
        <v>192140</v>
      </c>
      <c r="N687">
        <v>18</v>
      </c>
      <c r="O687">
        <v>34585.199999999997</v>
      </c>
      <c r="P687">
        <v>0</v>
      </c>
      <c r="Q687">
        <v>226725.2</v>
      </c>
      <c r="R687" t="s">
        <v>48</v>
      </c>
      <c r="S687" t="s">
        <v>93</v>
      </c>
      <c r="T687" t="s">
        <v>115</v>
      </c>
      <c r="U687" t="s">
        <v>161</v>
      </c>
      <c r="V687" t="s">
        <v>149</v>
      </c>
      <c r="W687" t="s">
        <v>81</v>
      </c>
      <c r="X687" t="s">
        <v>422</v>
      </c>
      <c r="Y687" t="s">
        <v>319</v>
      </c>
      <c r="Z687" t="s">
        <v>95</v>
      </c>
      <c r="AA687" t="s">
        <v>2409</v>
      </c>
      <c r="AB687" t="s">
        <v>3335</v>
      </c>
      <c r="AC687">
        <v>5</v>
      </c>
      <c r="AD687" t="s">
        <v>56</v>
      </c>
      <c r="AE687" t="s">
        <v>3336</v>
      </c>
      <c r="AF687" t="s">
        <v>217</v>
      </c>
      <c r="AG687" t="s">
        <v>111</v>
      </c>
      <c r="AH687" s="1">
        <v>44958</v>
      </c>
      <c r="AI687" s="1">
        <v>44961</v>
      </c>
      <c r="AJ687" s="1">
        <v>44964</v>
      </c>
      <c r="AK687" t="s">
        <v>3672</v>
      </c>
      <c r="AL687" t="s">
        <v>2408</v>
      </c>
    </row>
    <row r="688" spans="1:38" x14ac:dyDescent="0.35">
      <c r="A688" t="s">
        <v>2410</v>
      </c>
      <c r="B688" t="s">
        <v>656</v>
      </c>
      <c r="C688" t="s">
        <v>43</v>
      </c>
      <c r="D688" t="s">
        <v>391</v>
      </c>
      <c r="E688" t="s">
        <v>392</v>
      </c>
      <c r="F688" t="s">
        <v>46</v>
      </c>
      <c r="G688" t="s">
        <v>176</v>
      </c>
      <c r="H688">
        <v>9290</v>
      </c>
      <c r="I688">
        <f>Sales_Transactions_Raw[[#This Row],[Unit_Price]]*Sales_Transactions_Raw[[#This Row],[Quantity]]</f>
        <v>92900</v>
      </c>
      <c r="J688">
        <v>10</v>
      </c>
      <c r="K688">
        <v>5</v>
      </c>
      <c r="L688">
        <v>4645</v>
      </c>
      <c r="M688">
        <v>88255</v>
      </c>
      <c r="N688">
        <v>18</v>
      </c>
      <c r="O688">
        <v>15885.9</v>
      </c>
      <c r="P688">
        <v>0</v>
      </c>
      <c r="Q688">
        <v>104140.9</v>
      </c>
      <c r="R688" t="s">
        <v>106</v>
      </c>
      <c r="S688" t="s">
        <v>107</v>
      </c>
      <c r="T688" t="s">
        <v>136</v>
      </c>
      <c r="U688" t="s">
        <v>196</v>
      </c>
      <c r="V688" t="s">
        <v>116</v>
      </c>
      <c r="W688" t="s">
        <v>70</v>
      </c>
      <c r="X688" t="s">
        <v>53</v>
      </c>
      <c r="Y688" t="s">
        <v>54</v>
      </c>
      <c r="Z688" t="s">
        <v>70</v>
      </c>
      <c r="AA688" t="s">
        <v>2412</v>
      </c>
      <c r="AB688" t="s">
        <v>3335</v>
      </c>
      <c r="AC688">
        <v>5</v>
      </c>
      <c r="AD688" t="s">
        <v>56</v>
      </c>
      <c r="AE688" t="s">
        <v>3336</v>
      </c>
      <c r="AF688" t="s">
        <v>279</v>
      </c>
      <c r="AG688" t="s">
        <v>3337</v>
      </c>
      <c r="AH688" s="1">
        <v>44943</v>
      </c>
      <c r="AI688" s="1">
        <v>44948</v>
      </c>
      <c r="AJ688" s="1">
        <v>44958</v>
      </c>
      <c r="AK688" t="s">
        <v>3433</v>
      </c>
      <c r="AL688" t="s">
        <v>2411</v>
      </c>
    </row>
    <row r="689" spans="1:38" x14ac:dyDescent="0.35">
      <c r="A689" t="s">
        <v>2413</v>
      </c>
      <c r="B689" t="s">
        <v>832</v>
      </c>
      <c r="C689" t="s">
        <v>43</v>
      </c>
      <c r="D689" t="s">
        <v>391</v>
      </c>
      <c r="E689" t="s">
        <v>392</v>
      </c>
      <c r="F689" t="s">
        <v>46</v>
      </c>
      <c r="G689" t="s">
        <v>176</v>
      </c>
      <c r="H689">
        <v>9310</v>
      </c>
      <c r="I689">
        <f>Sales_Transactions_Raw[[#This Row],[Unit_Price]]*Sales_Transactions_Raw[[#This Row],[Quantity]]</f>
        <v>18620</v>
      </c>
      <c r="J689">
        <v>2</v>
      </c>
      <c r="K689">
        <v>0</v>
      </c>
      <c r="L689">
        <v>0</v>
      </c>
      <c r="M689">
        <v>18620</v>
      </c>
      <c r="N689">
        <v>18</v>
      </c>
      <c r="O689">
        <v>3351.6</v>
      </c>
      <c r="P689">
        <v>0</v>
      </c>
      <c r="Q689">
        <v>21971.599999999999</v>
      </c>
      <c r="R689" t="s">
        <v>106</v>
      </c>
      <c r="S689" t="s">
        <v>93</v>
      </c>
      <c r="T689" t="s">
        <v>115</v>
      </c>
      <c r="U689" t="s">
        <v>108</v>
      </c>
      <c r="V689" t="s">
        <v>51</v>
      </c>
      <c r="W689" t="s">
        <v>52</v>
      </c>
      <c r="X689" t="s">
        <v>750</v>
      </c>
      <c r="Y689" t="s">
        <v>127</v>
      </c>
      <c r="Z689" t="s">
        <v>68</v>
      </c>
      <c r="AA689" t="s">
        <v>2415</v>
      </c>
      <c r="AB689" t="s">
        <v>3340</v>
      </c>
      <c r="AC689">
        <v>4</v>
      </c>
      <c r="AD689" t="s">
        <v>56</v>
      </c>
      <c r="AE689" t="s">
        <v>3336</v>
      </c>
      <c r="AF689" t="s">
        <v>217</v>
      </c>
      <c r="AG689" t="s">
        <v>85</v>
      </c>
      <c r="AH689" s="1">
        <v>45241</v>
      </c>
      <c r="AI689" s="1">
        <v>45244</v>
      </c>
      <c r="AJ689" s="1">
        <v>45248</v>
      </c>
      <c r="AK689" t="s">
        <v>3533</v>
      </c>
      <c r="AL689" t="s">
        <v>2414</v>
      </c>
    </row>
    <row r="690" spans="1:38" x14ac:dyDescent="0.35">
      <c r="A690" t="s">
        <v>2416</v>
      </c>
      <c r="B690" t="s">
        <v>478</v>
      </c>
      <c r="C690" t="s">
        <v>43</v>
      </c>
      <c r="D690" t="s">
        <v>449</v>
      </c>
      <c r="E690" t="s">
        <v>450</v>
      </c>
      <c r="F690" t="s">
        <v>46</v>
      </c>
      <c r="G690" t="s">
        <v>78</v>
      </c>
      <c r="H690">
        <v>44020</v>
      </c>
      <c r="I690">
        <f>Sales_Transactions_Raw[[#This Row],[Unit_Price]]*Sales_Transactions_Raw[[#This Row],[Quantity]]</f>
        <v>132060</v>
      </c>
      <c r="J690">
        <v>3</v>
      </c>
      <c r="K690">
        <v>0</v>
      </c>
      <c r="L690">
        <v>0</v>
      </c>
      <c r="M690">
        <v>132060</v>
      </c>
      <c r="N690">
        <v>18</v>
      </c>
      <c r="O690">
        <v>23770.799999999999</v>
      </c>
      <c r="P690">
        <v>0</v>
      </c>
      <c r="Q690">
        <v>155830.79999999999</v>
      </c>
      <c r="R690" t="s">
        <v>48</v>
      </c>
      <c r="S690" t="s">
        <v>65</v>
      </c>
      <c r="T690" t="s">
        <v>115</v>
      </c>
      <c r="U690" t="s">
        <v>196</v>
      </c>
      <c r="V690" t="s">
        <v>242</v>
      </c>
      <c r="W690" t="s">
        <v>70</v>
      </c>
      <c r="X690" t="s">
        <v>578</v>
      </c>
      <c r="Y690" t="s">
        <v>54</v>
      </c>
      <c r="Z690" t="s">
        <v>70</v>
      </c>
      <c r="AA690" t="s">
        <v>2418</v>
      </c>
      <c r="AB690" t="s">
        <v>3344</v>
      </c>
      <c r="AC690">
        <v>4</v>
      </c>
      <c r="AD690" t="s">
        <v>56</v>
      </c>
      <c r="AE690" t="s">
        <v>3336</v>
      </c>
      <c r="AF690" t="s">
        <v>140</v>
      </c>
      <c r="AG690" t="s">
        <v>85</v>
      </c>
      <c r="AH690" s="1">
        <v>45013</v>
      </c>
      <c r="AI690" s="1">
        <v>45018</v>
      </c>
      <c r="AJ690" s="1">
        <v>45023</v>
      </c>
      <c r="AK690" t="s">
        <v>3398</v>
      </c>
      <c r="AL690" t="s">
        <v>2417</v>
      </c>
    </row>
    <row r="691" spans="1:38" x14ac:dyDescent="0.35">
      <c r="A691" t="s">
        <v>2419</v>
      </c>
      <c r="B691" t="s">
        <v>247</v>
      </c>
      <c r="C691" t="s">
        <v>89</v>
      </c>
      <c r="D691" t="s">
        <v>867</v>
      </c>
      <c r="E691" t="s">
        <v>868</v>
      </c>
      <c r="F691" t="s">
        <v>285</v>
      </c>
      <c r="G691" t="s">
        <v>869</v>
      </c>
      <c r="H691">
        <v>170</v>
      </c>
      <c r="I691">
        <f>Sales_Transactions_Raw[[#This Row],[Unit_Price]]*Sales_Transactions_Raw[[#This Row],[Quantity]]</f>
        <v>340</v>
      </c>
      <c r="J691">
        <v>2</v>
      </c>
      <c r="K691">
        <v>5</v>
      </c>
      <c r="L691">
        <v>17</v>
      </c>
      <c r="M691">
        <v>323</v>
      </c>
      <c r="N691">
        <v>5</v>
      </c>
      <c r="O691">
        <v>16.149999999999999</v>
      </c>
      <c r="P691">
        <v>99</v>
      </c>
      <c r="Q691">
        <v>339.15</v>
      </c>
      <c r="R691" t="s">
        <v>124</v>
      </c>
      <c r="S691" t="s">
        <v>65</v>
      </c>
      <c r="T691" t="s">
        <v>148</v>
      </c>
      <c r="U691" t="s">
        <v>214</v>
      </c>
      <c r="V691" t="s">
        <v>242</v>
      </c>
      <c r="W691" t="s">
        <v>70</v>
      </c>
      <c r="X691" t="s">
        <v>53</v>
      </c>
      <c r="Y691" t="s">
        <v>54</v>
      </c>
      <c r="Z691" t="s">
        <v>70</v>
      </c>
      <c r="AA691" t="s">
        <v>2421</v>
      </c>
      <c r="AB691" t="s">
        <v>3339</v>
      </c>
      <c r="AC691">
        <v>4</v>
      </c>
      <c r="AD691" t="s">
        <v>179</v>
      </c>
      <c r="AE691" t="s">
        <v>818</v>
      </c>
      <c r="AF691" t="s">
        <v>57</v>
      </c>
      <c r="AG691" t="s">
        <v>58</v>
      </c>
      <c r="AH691" s="1">
        <v>45114</v>
      </c>
      <c r="AI691" s="1">
        <v>45118</v>
      </c>
      <c r="AJ691" s="1">
        <v>45121</v>
      </c>
      <c r="AK691" t="s">
        <v>3673</v>
      </c>
      <c r="AL691" t="s">
        <v>2420</v>
      </c>
    </row>
    <row r="692" spans="1:38" x14ac:dyDescent="0.35">
      <c r="A692" t="s">
        <v>2422</v>
      </c>
      <c r="B692" t="s">
        <v>944</v>
      </c>
      <c r="C692" t="s">
        <v>43</v>
      </c>
      <c r="D692" t="s">
        <v>44</v>
      </c>
      <c r="E692" t="s">
        <v>45</v>
      </c>
      <c r="F692" t="s">
        <v>46</v>
      </c>
      <c r="G692" t="s">
        <v>47</v>
      </c>
      <c r="H692">
        <v>12090</v>
      </c>
      <c r="I692">
        <f>Sales_Transactions_Raw[[#This Row],[Unit_Price]]*Sales_Transactions_Raw[[#This Row],[Quantity]]</f>
        <v>60450</v>
      </c>
      <c r="J692">
        <v>5</v>
      </c>
      <c r="K692">
        <v>0</v>
      </c>
      <c r="L692">
        <v>0</v>
      </c>
      <c r="M692">
        <v>60450</v>
      </c>
      <c r="N692">
        <v>18</v>
      </c>
      <c r="O692">
        <v>10881</v>
      </c>
      <c r="P692">
        <v>0</v>
      </c>
      <c r="Q692">
        <v>71331</v>
      </c>
      <c r="R692" t="s">
        <v>64</v>
      </c>
      <c r="S692" t="s">
        <v>93</v>
      </c>
      <c r="T692" t="s">
        <v>115</v>
      </c>
      <c r="U692" t="s">
        <v>50</v>
      </c>
      <c r="V692" t="s">
        <v>197</v>
      </c>
      <c r="W692" t="s">
        <v>68</v>
      </c>
      <c r="X692" t="s">
        <v>137</v>
      </c>
      <c r="Y692" t="s">
        <v>138</v>
      </c>
      <c r="Z692" t="s">
        <v>81</v>
      </c>
      <c r="AA692" t="s">
        <v>2424</v>
      </c>
      <c r="AB692" t="s">
        <v>3339</v>
      </c>
      <c r="AC692">
        <v>5</v>
      </c>
      <c r="AD692" t="s">
        <v>56</v>
      </c>
      <c r="AE692" t="s">
        <v>3336</v>
      </c>
      <c r="AF692" t="s">
        <v>57</v>
      </c>
      <c r="AG692" t="s">
        <v>58</v>
      </c>
      <c r="AH692" s="1">
        <v>45244</v>
      </c>
      <c r="AI692" s="1">
        <v>45118</v>
      </c>
      <c r="AJ692" s="1">
        <v>45251</v>
      </c>
      <c r="AK692" t="s">
        <v>3490</v>
      </c>
      <c r="AL692" t="s">
        <v>2423</v>
      </c>
    </row>
    <row r="693" spans="1:38" x14ac:dyDescent="0.35">
      <c r="A693" t="s">
        <v>2425</v>
      </c>
      <c r="B693" t="s">
        <v>646</v>
      </c>
      <c r="C693" t="s">
        <v>43</v>
      </c>
      <c r="D693" t="s">
        <v>294</v>
      </c>
      <c r="E693" t="s">
        <v>295</v>
      </c>
      <c r="F693" t="s">
        <v>146</v>
      </c>
      <c r="G693" t="s">
        <v>296</v>
      </c>
      <c r="H693">
        <v>14150</v>
      </c>
      <c r="I693">
        <f>Sales_Transactions_Raw[[#This Row],[Unit_Price]]*Sales_Transactions_Raw[[#This Row],[Quantity]]</f>
        <v>70750</v>
      </c>
      <c r="J693">
        <v>5</v>
      </c>
      <c r="K693">
        <v>10</v>
      </c>
      <c r="L693">
        <v>7075</v>
      </c>
      <c r="M693">
        <v>63675</v>
      </c>
      <c r="N693">
        <v>12</v>
      </c>
      <c r="O693">
        <v>7641</v>
      </c>
      <c r="P693">
        <v>0</v>
      </c>
      <c r="Q693">
        <v>71316</v>
      </c>
      <c r="R693" t="s">
        <v>92</v>
      </c>
      <c r="S693" t="s">
        <v>107</v>
      </c>
      <c r="T693" t="s">
        <v>115</v>
      </c>
      <c r="U693" t="s">
        <v>108</v>
      </c>
      <c r="V693" t="s">
        <v>80</v>
      </c>
      <c r="W693" t="s">
        <v>81</v>
      </c>
      <c r="X693" t="s">
        <v>53</v>
      </c>
      <c r="Y693" t="s">
        <v>54</v>
      </c>
      <c r="Z693" t="s">
        <v>70</v>
      </c>
      <c r="AA693" t="s">
        <v>2427</v>
      </c>
      <c r="AB693" t="s">
        <v>3341</v>
      </c>
      <c r="AC693">
        <v>4</v>
      </c>
      <c r="AD693" t="s">
        <v>56</v>
      </c>
      <c r="AE693" t="s">
        <v>3336</v>
      </c>
      <c r="AF693" t="s">
        <v>326</v>
      </c>
      <c r="AG693" t="s">
        <v>58</v>
      </c>
      <c r="AH693" s="1">
        <v>45242</v>
      </c>
      <c r="AI693" s="1">
        <v>45249</v>
      </c>
      <c r="AJ693" s="1">
        <v>45257</v>
      </c>
      <c r="AK693" t="s">
        <v>3432</v>
      </c>
      <c r="AL693" t="s">
        <v>2426</v>
      </c>
    </row>
    <row r="694" spans="1:38" x14ac:dyDescent="0.35">
      <c r="A694" t="s">
        <v>2428</v>
      </c>
      <c r="B694" t="s">
        <v>333</v>
      </c>
      <c r="C694" t="s">
        <v>43</v>
      </c>
      <c r="D694" t="s">
        <v>432</v>
      </c>
      <c r="E694" t="s">
        <v>433</v>
      </c>
      <c r="F694" t="s">
        <v>146</v>
      </c>
      <c r="G694" t="s">
        <v>296</v>
      </c>
      <c r="H694">
        <v>4760</v>
      </c>
      <c r="I694">
        <f>Sales_Transactions_Raw[[#This Row],[Unit_Price]]*Sales_Transactions_Raw[[#This Row],[Quantity]]</f>
        <v>9520</v>
      </c>
      <c r="J694">
        <v>2</v>
      </c>
      <c r="K694">
        <v>15</v>
      </c>
      <c r="L694">
        <v>1428</v>
      </c>
      <c r="M694">
        <v>8092</v>
      </c>
      <c r="N694">
        <v>12</v>
      </c>
      <c r="O694">
        <v>971.04</v>
      </c>
      <c r="P694">
        <v>0</v>
      </c>
      <c r="Q694">
        <v>9063.0400000000009</v>
      </c>
      <c r="R694" t="s">
        <v>124</v>
      </c>
      <c r="S694" t="s">
        <v>93</v>
      </c>
      <c r="T694" t="s">
        <v>115</v>
      </c>
      <c r="U694" t="s">
        <v>196</v>
      </c>
      <c r="V694" t="s">
        <v>287</v>
      </c>
      <c r="W694" t="s">
        <v>95</v>
      </c>
      <c r="X694" t="s">
        <v>486</v>
      </c>
      <c r="Y694" t="s">
        <v>138</v>
      </c>
      <c r="Z694" t="s">
        <v>81</v>
      </c>
      <c r="AA694" t="s">
        <v>2430</v>
      </c>
      <c r="AB694" t="s">
        <v>3339</v>
      </c>
      <c r="AC694">
        <v>5</v>
      </c>
      <c r="AD694" t="s">
        <v>56</v>
      </c>
      <c r="AE694" t="s">
        <v>3336</v>
      </c>
      <c r="AF694" t="s">
        <v>217</v>
      </c>
      <c r="AG694" t="s">
        <v>85</v>
      </c>
      <c r="AH694" s="1">
        <v>45178</v>
      </c>
      <c r="AI694" s="1">
        <v>45269</v>
      </c>
      <c r="AJ694" s="1">
        <v>45186</v>
      </c>
      <c r="AK694" t="s">
        <v>3461</v>
      </c>
      <c r="AL694" t="s">
        <v>2429</v>
      </c>
    </row>
    <row r="695" spans="1:38" x14ac:dyDescent="0.35">
      <c r="A695" t="s">
        <v>2431</v>
      </c>
      <c r="B695" t="s">
        <v>624</v>
      </c>
      <c r="C695" t="s">
        <v>89</v>
      </c>
      <c r="D695" t="s">
        <v>317</v>
      </c>
      <c r="E695" t="s">
        <v>77</v>
      </c>
      <c r="F695" t="s">
        <v>46</v>
      </c>
      <c r="G695" t="s">
        <v>176</v>
      </c>
      <c r="H695">
        <v>28110</v>
      </c>
      <c r="I695">
        <f>Sales_Transactions_Raw[[#This Row],[Unit_Price]]*Sales_Transactions_Raw[[#This Row],[Quantity]]</f>
        <v>168660</v>
      </c>
      <c r="J695">
        <v>6</v>
      </c>
      <c r="K695">
        <v>10</v>
      </c>
      <c r="L695">
        <v>16866</v>
      </c>
      <c r="M695">
        <v>151794</v>
      </c>
      <c r="N695">
        <v>18</v>
      </c>
      <c r="O695">
        <v>27322.92</v>
      </c>
      <c r="P695">
        <v>0</v>
      </c>
      <c r="Q695">
        <v>179116.91999999998</v>
      </c>
      <c r="R695" t="s">
        <v>160</v>
      </c>
      <c r="S695" t="s">
        <v>107</v>
      </c>
      <c r="T695" t="s">
        <v>66</v>
      </c>
      <c r="U695" t="s">
        <v>50</v>
      </c>
      <c r="V695" t="s">
        <v>177</v>
      </c>
      <c r="W695" t="s">
        <v>81</v>
      </c>
      <c r="X695" t="s">
        <v>198</v>
      </c>
      <c r="Y695" t="s">
        <v>199</v>
      </c>
      <c r="Z695" t="s">
        <v>52</v>
      </c>
      <c r="AA695" t="s">
        <v>2433</v>
      </c>
      <c r="AB695" t="s">
        <v>3338</v>
      </c>
      <c r="AC695">
        <v>2</v>
      </c>
      <c r="AD695" t="s">
        <v>56</v>
      </c>
      <c r="AE695" t="s">
        <v>3336</v>
      </c>
      <c r="AF695" t="s">
        <v>140</v>
      </c>
      <c r="AG695" t="s">
        <v>111</v>
      </c>
      <c r="AH695" s="1">
        <v>45066</v>
      </c>
      <c r="AI695" s="1">
        <v>45069</v>
      </c>
      <c r="AJ695" s="1">
        <v>45077</v>
      </c>
      <c r="AK695" t="s">
        <v>3444</v>
      </c>
      <c r="AL695" t="s">
        <v>2432</v>
      </c>
    </row>
    <row r="696" spans="1:38" x14ac:dyDescent="0.35">
      <c r="A696" t="s">
        <v>2434</v>
      </c>
      <c r="B696" t="s">
        <v>543</v>
      </c>
      <c r="C696" t="s">
        <v>43</v>
      </c>
      <c r="D696" t="s">
        <v>441</v>
      </c>
      <c r="E696" t="s">
        <v>442</v>
      </c>
      <c r="F696" t="s">
        <v>46</v>
      </c>
      <c r="G696" t="s">
        <v>369</v>
      </c>
      <c r="H696">
        <v>68000</v>
      </c>
      <c r="I696">
        <f>Sales_Transactions_Raw[[#This Row],[Unit_Price]]*Sales_Transactions_Raw[[#This Row],[Quantity]]</f>
        <v>136000</v>
      </c>
      <c r="J696">
        <v>2</v>
      </c>
      <c r="K696">
        <v>15</v>
      </c>
      <c r="L696">
        <v>20400</v>
      </c>
      <c r="M696">
        <v>115600</v>
      </c>
      <c r="N696">
        <v>18</v>
      </c>
      <c r="O696">
        <v>20808</v>
      </c>
      <c r="P696">
        <v>0</v>
      </c>
      <c r="Q696">
        <v>136408</v>
      </c>
      <c r="R696" t="s">
        <v>92</v>
      </c>
      <c r="S696" t="s">
        <v>49</v>
      </c>
      <c r="T696" t="s">
        <v>213</v>
      </c>
      <c r="U696" t="s">
        <v>196</v>
      </c>
      <c r="V696" t="s">
        <v>149</v>
      </c>
      <c r="W696" t="s">
        <v>81</v>
      </c>
      <c r="X696" t="s">
        <v>340</v>
      </c>
      <c r="Y696" t="s">
        <v>169</v>
      </c>
      <c r="Z696" t="s">
        <v>95</v>
      </c>
      <c r="AA696" t="s">
        <v>2436</v>
      </c>
      <c r="AB696" t="s">
        <v>3335</v>
      </c>
      <c r="AC696">
        <v>4</v>
      </c>
      <c r="AD696" t="s">
        <v>179</v>
      </c>
      <c r="AE696" t="s">
        <v>3336</v>
      </c>
      <c r="AF696" t="s">
        <v>99</v>
      </c>
      <c r="AG696" t="s">
        <v>85</v>
      </c>
      <c r="AH696" s="1">
        <v>45447</v>
      </c>
      <c r="AI696" s="1">
        <v>45448</v>
      </c>
      <c r="AJ696" s="1">
        <v>45457</v>
      </c>
      <c r="AK696" t="s">
        <v>3674</v>
      </c>
      <c r="AL696" t="s">
        <v>2435</v>
      </c>
    </row>
    <row r="697" spans="1:38" x14ac:dyDescent="0.35">
      <c r="A697" t="s">
        <v>641</v>
      </c>
      <c r="B697" t="s">
        <v>549</v>
      </c>
      <c r="C697" t="s">
        <v>157</v>
      </c>
      <c r="D697" t="s">
        <v>230</v>
      </c>
      <c r="E697" t="s">
        <v>231</v>
      </c>
      <c r="F697" t="s">
        <v>46</v>
      </c>
      <c r="G697" t="s">
        <v>63</v>
      </c>
      <c r="H697">
        <v>120600</v>
      </c>
      <c r="I697">
        <f>Sales_Transactions_Raw[[#This Row],[Unit_Price]]*Sales_Transactions_Raw[[#This Row],[Quantity]]</f>
        <v>241200</v>
      </c>
      <c r="J697">
        <v>2</v>
      </c>
      <c r="K697">
        <v>5</v>
      </c>
      <c r="L697">
        <v>12060</v>
      </c>
      <c r="M697">
        <v>229140</v>
      </c>
      <c r="N697">
        <v>18</v>
      </c>
      <c r="O697">
        <v>41245.199999999997</v>
      </c>
      <c r="P697">
        <v>0</v>
      </c>
      <c r="Q697">
        <v>270385.2</v>
      </c>
      <c r="R697" t="s">
        <v>124</v>
      </c>
      <c r="S697" t="s">
        <v>65</v>
      </c>
      <c r="T697" t="s">
        <v>115</v>
      </c>
      <c r="U697" t="s">
        <v>108</v>
      </c>
      <c r="V697" t="s">
        <v>67</v>
      </c>
      <c r="W697" t="s">
        <v>68</v>
      </c>
      <c r="X697" t="s">
        <v>137</v>
      </c>
      <c r="Y697" t="s">
        <v>138</v>
      </c>
      <c r="Z697" t="s">
        <v>81</v>
      </c>
      <c r="AA697" t="s">
        <v>2438</v>
      </c>
      <c r="AB697" t="s">
        <v>3335</v>
      </c>
      <c r="AC697">
        <v>4</v>
      </c>
      <c r="AD697" t="s">
        <v>56</v>
      </c>
      <c r="AE697" t="s">
        <v>3336</v>
      </c>
      <c r="AF697" t="s">
        <v>164</v>
      </c>
      <c r="AG697" t="s">
        <v>111</v>
      </c>
      <c r="AH697" s="1">
        <v>45187</v>
      </c>
      <c r="AI697" s="1">
        <v>45188</v>
      </c>
      <c r="AJ697" s="1">
        <v>45197</v>
      </c>
      <c r="AK697" t="s">
        <v>3675</v>
      </c>
      <c r="AL697" t="s">
        <v>2437</v>
      </c>
    </row>
    <row r="698" spans="1:38" x14ac:dyDescent="0.35">
      <c r="A698" t="s">
        <v>2439</v>
      </c>
      <c r="B698" t="s">
        <v>343</v>
      </c>
      <c r="C698" t="s">
        <v>43</v>
      </c>
      <c r="D698" t="s">
        <v>329</v>
      </c>
      <c r="E698" t="s">
        <v>250</v>
      </c>
      <c r="F698" t="s">
        <v>134</v>
      </c>
      <c r="G698" t="s">
        <v>330</v>
      </c>
      <c r="H698">
        <v>23440</v>
      </c>
      <c r="I698">
        <f>Sales_Transactions_Raw[[#This Row],[Unit_Price]]*Sales_Transactions_Raw[[#This Row],[Quantity]]</f>
        <v>46880</v>
      </c>
      <c r="J698">
        <v>2</v>
      </c>
      <c r="K698">
        <v>10</v>
      </c>
      <c r="L698">
        <v>4688</v>
      </c>
      <c r="M698">
        <v>42192</v>
      </c>
      <c r="N698">
        <v>5</v>
      </c>
      <c r="O698">
        <v>2109.6</v>
      </c>
      <c r="P698">
        <v>0</v>
      </c>
      <c r="Q698">
        <v>44301.599999999999</v>
      </c>
      <c r="R698" t="s">
        <v>92</v>
      </c>
      <c r="S698" t="s">
        <v>125</v>
      </c>
      <c r="T698" t="s">
        <v>66</v>
      </c>
      <c r="U698" t="s">
        <v>50</v>
      </c>
      <c r="V698" t="s">
        <v>224</v>
      </c>
      <c r="W698" t="s">
        <v>95</v>
      </c>
      <c r="X698" t="s">
        <v>362</v>
      </c>
      <c r="Y698" t="s">
        <v>118</v>
      </c>
      <c r="Z698" t="s">
        <v>70</v>
      </c>
      <c r="AA698" t="s">
        <v>2441</v>
      </c>
      <c r="AB698" t="s">
        <v>3344</v>
      </c>
      <c r="AC698">
        <v>4</v>
      </c>
      <c r="AD698" t="s">
        <v>56</v>
      </c>
      <c r="AE698" t="s">
        <v>3336</v>
      </c>
      <c r="AF698" t="s">
        <v>164</v>
      </c>
      <c r="AG698" t="s">
        <v>85</v>
      </c>
      <c r="AH698" s="1">
        <v>45175</v>
      </c>
      <c r="AI698" s="1">
        <v>45179</v>
      </c>
      <c r="AJ698" s="1">
        <v>45182</v>
      </c>
      <c r="AK698" t="s">
        <v>3377</v>
      </c>
      <c r="AL698" t="s">
        <v>2440</v>
      </c>
    </row>
    <row r="699" spans="1:38" x14ac:dyDescent="0.35">
      <c r="A699" t="s">
        <v>2442</v>
      </c>
      <c r="B699" t="s">
        <v>624</v>
      </c>
      <c r="C699" t="s">
        <v>43</v>
      </c>
      <c r="D699" t="s">
        <v>122</v>
      </c>
      <c r="E699" t="s">
        <v>123</v>
      </c>
      <c r="F699" t="s">
        <v>46</v>
      </c>
      <c r="G699" t="s">
        <v>63</v>
      </c>
      <c r="H699">
        <v>53510</v>
      </c>
      <c r="I699">
        <f>Sales_Transactions_Raw[[#This Row],[Unit_Price]]*Sales_Transactions_Raw[[#This Row],[Quantity]]</f>
        <v>53510</v>
      </c>
      <c r="J699">
        <v>1</v>
      </c>
      <c r="K699">
        <v>0</v>
      </c>
      <c r="L699">
        <v>0</v>
      </c>
      <c r="M699">
        <v>53510</v>
      </c>
      <c r="N699">
        <v>18</v>
      </c>
      <c r="O699">
        <v>9631.7999999999993</v>
      </c>
      <c r="P699">
        <v>0</v>
      </c>
      <c r="Q699">
        <v>63141.8</v>
      </c>
      <c r="R699" t="s">
        <v>106</v>
      </c>
      <c r="S699" t="s">
        <v>49</v>
      </c>
      <c r="T699" t="s">
        <v>115</v>
      </c>
      <c r="U699" t="s">
        <v>50</v>
      </c>
      <c r="V699" t="s">
        <v>80</v>
      </c>
      <c r="W699" t="s">
        <v>81</v>
      </c>
      <c r="X699" t="s">
        <v>243</v>
      </c>
      <c r="Y699" t="s">
        <v>244</v>
      </c>
      <c r="Z699" t="s">
        <v>70</v>
      </c>
      <c r="AA699" t="s">
        <v>2444</v>
      </c>
      <c r="AB699" t="s">
        <v>3335</v>
      </c>
      <c r="AC699">
        <v>4</v>
      </c>
      <c r="AD699" t="s">
        <v>56</v>
      </c>
      <c r="AE699" t="s">
        <v>3336</v>
      </c>
      <c r="AF699" t="s">
        <v>326</v>
      </c>
      <c r="AG699" t="s">
        <v>58</v>
      </c>
      <c r="AH699" s="1">
        <v>45313</v>
      </c>
      <c r="AI699" s="1">
        <v>45315</v>
      </c>
      <c r="AJ699" s="1">
        <v>45325</v>
      </c>
      <c r="AK699" t="s">
        <v>3665</v>
      </c>
      <c r="AL699" t="s">
        <v>2443</v>
      </c>
    </row>
    <row r="700" spans="1:38" x14ac:dyDescent="0.35">
      <c r="A700" t="s">
        <v>1537</v>
      </c>
      <c r="B700" t="s">
        <v>418</v>
      </c>
      <c r="C700" t="s">
        <v>43</v>
      </c>
      <c r="D700" t="s">
        <v>193</v>
      </c>
      <c r="E700" t="s">
        <v>194</v>
      </c>
      <c r="F700" t="s">
        <v>146</v>
      </c>
      <c r="G700" t="s">
        <v>195</v>
      </c>
      <c r="H700">
        <v>3070</v>
      </c>
      <c r="I700">
        <f>Sales_Transactions_Raw[[#This Row],[Unit_Price]]*Sales_Transactions_Raw[[#This Row],[Quantity]]</f>
        <v>9210</v>
      </c>
      <c r="J700">
        <v>3</v>
      </c>
      <c r="K700">
        <v>25</v>
      </c>
      <c r="L700">
        <v>2302.5</v>
      </c>
      <c r="M700">
        <v>6907.5</v>
      </c>
      <c r="N700">
        <v>12</v>
      </c>
      <c r="O700">
        <v>828.9</v>
      </c>
      <c r="P700">
        <v>0</v>
      </c>
      <c r="Q700">
        <v>7736.4</v>
      </c>
      <c r="R700" t="s">
        <v>160</v>
      </c>
      <c r="S700" t="s">
        <v>93</v>
      </c>
      <c r="T700" t="s">
        <v>115</v>
      </c>
      <c r="U700" t="s">
        <v>196</v>
      </c>
      <c r="V700" t="s">
        <v>197</v>
      </c>
      <c r="W700" t="s">
        <v>68</v>
      </c>
      <c r="X700" t="s">
        <v>168</v>
      </c>
      <c r="Y700" t="s">
        <v>169</v>
      </c>
      <c r="Z700" t="s">
        <v>95</v>
      </c>
      <c r="AA700" t="s">
        <v>2446</v>
      </c>
      <c r="AB700" t="s">
        <v>3341</v>
      </c>
      <c r="AC700">
        <v>5</v>
      </c>
      <c r="AD700" t="s">
        <v>56</v>
      </c>
      <c r="AE700" t="s">
        <v>3336</v>
      </c>
      <c r="AF700" t="s">
        <v>84</v>
      </c>
      <c r="AG700" t="s">
        <v>3342</v>
      </c>
      <c r="AH700" s="1">
        <v>45096</v>
      </c>
      <c r="AI700" s="1">
        <v>45097</v>
      </c>
      <c r="AJ700" s="1">
        <v>45103</v>
      </c>
      <c r="AK700" t="s">
        <v>3634</v>
      </c>
      <c r="AL700" t="s">
        <v>2445</v>
      </c>
    </row>
    <row r="701" spans="1:38" x14ac:dyDescent="0.35">
      <c r="A701" t="s">
        <v>2447</v>
      </c>
      <c r="B701" t="s">
        <v>453</v>
      </c>
      <c r="C701" t="s">
        <v>157</v>
      </c>
      <c r="D701" t="s">
        <v>266</v>
      </c>
      <c r="E701" t="s">
        <v>267</v>
      </c>
      <c r="F701" t="s">
        <v>211</v>
      </c>
      <c r="G701" t="s">
        <v>268</v>
      </c>
      <c r="H701">
        <v>56900</v>
      </c>
      <c r="I701">
        <f>Sales_Transactions_Raw[[#This Row],[Unit_Price]]*Sales_Transactions_Raw[[#This Row],[Quantity]]</f>
        <v>113800</v>
      </c>
      <c r="J701">
        <v>2</v>
      </c>
      <c r="K701">
        <v>0</v>
      </c>
      <c r="L701">
        <v>0</v>
      </c>
      <c r="M701">
        <v>113800</v>
      </c>
      <c r="N701">
        <v>5</v>
      </c>
      <c r="O701">
        <v>5690</v>
      </c>
      <c r="P701">
        <v>0</v>
      </c>
      <c r="Q701">
        <v>119490</v>
      </c>
      <c r="R701" t="s">
        <v>48</v>
      </c>
      <c r="S701" t="s">
        <v>49</v>
      </c>
      <c r="T701" t="s">
        <v>115</v>
      </c>
      <c r="U701" t="s">
        <v>108</v>
      </c>
      <c r="V701" t="s">
        <v>269</v>
      </c>
      <c r="W701" t="s">
        <v>70</v>
      </c>
      <c r="X701" t="s">
        <v>298</v>
      </c>
      <c r="Y701" t="s">
        <v>151</v>
      </c>
      <c r="Z701" t="s">
        <v>81</v>
      </c>
      <c r="AA701" t="s">
        <v>2449</v>
      </c>
      <c r="AB701" t="s">
        <v>3335</v>
      </c>
      <c r="AC701">
        <v>4</v>
      </c>
      <c r="AD701" t="s">
        <v>56</v>
      </c>
      <c r="AE701" t="s">
        <v>3336</v>
      </c>
      <c r="AF701" t="s">
        <v>262</v>
      </c>
      <c r="AG701" t="s">
        <v>85</v>
      </c>
      <c r="AH701" s="1">
        <v>45309</v>
      </c>
      <c r="AI701" s="1">
        <v>45314</v>
      </c>
      <c r="AJ701" s="1">
        <v>45316</v>
      </c>
      <c r="AK701" t="s">
        <v>3495</v>
      </c>
      <c r="AL701" t="s">
        <v>2448</v>
      </c>
    </row>
    <row r="702" spans="1:38" x14ac:dyDescent="0.35">
      <c r="A702" t="s">
        <v>2450</v>
      </c>
      <c r="B702" t="s">
        <v>960</v>
      </c>
      <c r="C702" t="s">
        <v>89</v>
      </c>
      <c r="D702" t="s">
        <v>294</v>
      </c>
      <c r="E702" t="s">
        <v>295</v>
      </c>
      <c r="F702" t="s">
        <v>146</v>
      </c>
      <c r="G702" t="s">
        <v>296</v>
      </c>
      <c r="H702">
        <v>12930</v>
      </c>
      <c r="I702">
        <f>Sales_Transactions_Raw[[#This Row],[Unit_Price]]*Sales_Transactions_Raw[[#This Row],[Quantity]]</f>
        <v>12930</v>
      </c>
      <c r="J702">
        <v>1</v>
      </c>
      <c r="K702">
        <v>5</v>
      </c>
      <c r="L702">
        <v>646.5</v>
      </c>
      <c r="M702">
        <v>12283.5</v>
      </c>
      <c r="N702">
        <v>12</v>
      </c>
      <c r="O702">
        <v>1474.02</v>
      </c>
      <c r="P702">
        <v>0</v>
      </c>
      <c r="Q702">
        <v>13757.52</v>
      </c>
      <c r="R702" t="s">
        <v>124</v>
      </c>
      <c r="S702" t="s">
        <v>93</v>
      </c>
      <c r="T702" t="s">
        <v>66</v>
      </c>
      <c r="U702" t="s">
        <v>196</v>
      </c>
      <c r="V702" t="s">
        <v>287</v>
      </c>
      <c r="W702" t="s">
        <v>95</v>
      </c>
      <c r="X702" t="s">
        <v>422</v>
      </c>
      <c r="Y702" t="s">
        <v>319</v>
      </c>
      <c r="Z702" t="s">
        <v>95</v>
      </c>
      <c r="AA702" t="s">
        <v>2452</v>
      </c>
      <c r="AB702" t="s">
        <v>3335</v>
      </c>
      <c r="AC702">
        <v>4</v>
      </c>
      <c r="AD702" t="s">
        <v>56</v>
      </c>
      <c r="AE702" t="s">
        <v>3336</v>
      </c>
      <c r="AF702" t="s">
        <v>164</v>
      </c>
      <c r="AG702" t="s">
        <v>85</v>
      </c>
      <c r="AH702" s="1">
        <v>45100</v>
      </c>
      <c r="AI702" s="1">
        <v>45107</v>
      </c>
      <c r="AJ702" s="1">
        <v>45113</v>
      </c>
      <c r="AK702" t="s">
        <v>3676</v>
      </c>
      <c r="AL702" t="s">
        <v>2451</v>
      </c>
    </row>
    <row r="703" spans="1:38" x14ac:dyDescent="0.35">
      <c r="A703" t="s">
        <v>2453</v>
      </c>
      <c r="B703" t="s">
        <v>207</v>
      </c>
      <c r="C703" t="s">
        <v>43</v>
      </c>
      <c r="D703" t="s">
        <v>956</v>
      </c>
      <c r="E703" t="s">
        <v>957</v>
      </c>
      <c r="F703" t="s">
        <v>46</v>
      </c>
      <c r="G703" t="s">
        <v>147</v>
      </c>
      <c r="H703">
        <v>8700</v>
      </c>
      <c r="I703">
        <f>Sales_Transactions_Raw[[#This Row],[Unit_Price]]*Sales_Transactions_Raw[[#This Row],[Quantity]]</f>
        <v>8700</v>
      </c>
      <c r="J703">
        <v>1</v>
      </c>
      <c r="K703">
        <v>20</v>
      </c>
      <c r="L703">
        <v>1740</v>
      </c>
      <c r="M703">
        <v>6960</v>
      </c>
      <c r="N703">
        <v>18</v>
      </c>
      <c r="O703">
        <v>1252.8</v>
      </c>
      <c r="P703">
        <v>0</v>
      </c>
      <c r="Q703">
        <v>8212.7999999999993</v>
      </c>
      <c r="R703" t="s">
        <v>92</v>
      </c>
      <c r="S703" t="s">
        <v>65</v>
      </c>
      <c r="T703" t="s">
        <v>148</v>
      </c>
      <c r="U703" t="s">
        <v>161</v>
      </c>
      <c r="V703" t="s">
        <v>80</v>
      </c>
      <c r="W703" t="s">
        <v>81</v>
      </c>
      <c r="X703" t="s">
        <v>357</v>
      </c>
      <c r="Y703" t="s">
        <v>358</v>
      </c>
      <c r="Z703" t="s">
        <v>95</v>
      </c>
      <c r="AA703" t="s">
        <v>2455</v>
      </c>
      <c r="AB703" t="s">
        <v>3335</v>
      </c>
      <c r="AC703">
        <v>3</v>
      </c>
      <c r="AD703" t="s">
        <v>179</v>
      </c>
      <c r="AE703" t="s">
        <v>206</v>
      </c>
      <c r="AF703" t="s">
        <v>164</v>
      </c>
      <c r="AG703" t="s">
        <v>3337</v>
      </c>
      <c r="AH703" s="1">
        <v>45035</v>
      </c>
      <c r="AI703" s="1">
        <v>45039</v>
      </c>
      <c r="AJ703" s="1">
        <v>45047</v>
      </c>
      <c r="AK703" t="s">
        <v>3360</v>
      </c>
      <c r="AL703" t="s">
        <v>2454</v>
      </c>
    </row>
    <row r="704" spans="1:38" x14ac:dyDescent="0.35">
      <c r="A704" t="s">
        <v>2456</v>
      </c>
      <c r="B704" t="s">
        <v>373</v>
      </c>
      <c r="C704" t="s">
        <v>43</v>
      </c>
      <c r="D704" t="s">
        <v>329</v>
      </c>
      <c r="E704" t="s">
        <v>250</v>
      </c>
      <c r="F704" t="s">
        <v>134</v>
      </c>
      <c r="G704" t="s">
        <v>330</v>
      </c>
      <c r="H704">
        <v>21780</v>
      </c>
      <c r="I704">
        <f>Sales_Transactions_Raw[[#This Row],[Unit_Price]]*Sales_Transactions_Raw[[#This Row],[Quantity]]</f>
        <v>326700</v>
      </c>
      <c r="J704">
        <v>15</v>
      </c>
      <c r="K704">
        <v>0</v>
      </c>
      <c r="L704">
        <v>0</v>
      </c>
      <c r="M704">
        <v>326700</v>
      </c>
      <c r="N704">
        <v>5</v>
      </c>
      <c r="O704">
        <v>16335</v>
      </c>
      <c r="P704">
        <v>0</v>
      </c>
      <c r="Q704">
        <v>343035</v>
      </c>
      <c r="R704" t="s">
        <v>92</v>
      </c>
      <c r="S704" t="s">
        <v>65</v>
      </c>
      <c r="T704" t="s">
        <v>115</v>
      </c>
      <c r="U704" t="s">
        <v>161</v>
      </c>
      <c r="V704" t="s">
        <v>224</v>
      </c>
      <c r="W704" t="s">
        <v>95</v>
      </c>
      <c r="X704" t="s">
        <v>150</v>
      </c>
      <c r="Y704" t="s">
        <v>151</v>
      </c>
      <c r="Z704" t="s">
        <v>81</v>
      </c>
      <c r="AA704" t="s">
        <v>2458</v>
      </c>
      <c r="AB704" t="s">
        <v>3335</v>
      </c>
      <c r="AC704">
        <v>4</v>
      </c>
      <c r="AD704" t="s">
        <v>56</v>
      </c>
      <c r="AE704" t="s">
        <v>3336</v>
      </c>
      <c r="AF704" t="s">
        <v>153</v>
      </c>
      <c r="AG704" t="s">
        <v>3342</v>
      </c>
      <c r="AH704" s="1">
        <v>45461</v>
      </c>
      <c r="AI704" s="1">
        <v>45463</v>
      </c>
      <c r="AJ704" s="1">
        <v>45469</v>
      </c>
      <c r="AK704" t="s">
        <v>3654</v>
      </c>
      <c r="AL704" t="s">
        <v>2457</v>
      </c>
    </row>
    <row r="705" spans="1:38" x14ac:dyDescent="0.35">
      <c r="A705" t="s">
        <v>2459</v>
      </c>
      <c r="B705" t="s">
        <v>2260</v>
      </c>
      <c r="C705" t="s">
        <v>43</v>
      </c>
      <c r="D705" t="s">
        <v>426</v>
      </c>
      <c r="E705" t="s">
        <v>427</v>
      </c>
      <c r="F705" t="s">
        <v>134</v>
      </c>
      <c r="G705" t="s">
        <v>305</v>
      </c>
      <c r="H705">
        <v>43890</v>
      </c>
      <c r="I705">
        <f>Sales_Transactions_Raw[[#This Row],[Unit_Price]]*Sales_Transactions_Raw[[#This Row],[Quantity]]</f>
        <v>219450</v>
      </c>
      <c r="J705">
        <v>5</v>
      </c>
      <c r="K705">
        <v>10</v>
      </c>
      <c r="L705">
        <v>21945</v>
      </c>
      <c r="M705">
        <v>197505</v>
      </c>
      <c r="N705">
        <v>5</v>
      </c>
      <c r="O705">
        <v>9875.25</v>
      </c>
      <c r="P705">
        <v>0</v>
      </c>
      <c r="Q705">
        <v>207380.25</v>
      </c>
      <c r="R705" t="s">
        <v>48</v>
      </c>
      <c r="S705" t="s">
        <v>65</v>
      </c>
      <c r="T705" t="s">
        <v>115</v>
      </c>
      <c r="U705" t="s">
        <v>214</v>
      </c>
      <c r="V705" t="s">
        <v>287</v>
      </c>
      <c r="W705" t="s">
        <v>95</v>
      </c>
      <c r="X705" t="s">
        <v>137</v>
      </c>
      <c r="Y705" t="s">
        <v>138</v>
      </c>
      <c r="Z705" t="s">
        <v>81</v>
      </c>
      <c r="AA705" t="s">
        <v>2461</v>
      </c>
      <c r="AB705" t="s">
        <v>3338</v>
      </c>
      <c r="AC705">
        <v>4</v>
      </c>
      <c r="AD705" t="s">
        <v>56</v>
      </c>
      <c r="AE705" t="s">
        <v>3336</v>
      </c>
      <c r="AF705" t="s">
        <v>164</v>
      </c>
      <c r="AG705" t="s">
        <v>58</v>
      </c>
      <c r="AH705" s="1">
        <v>44927</v>
      </c>
      <c r="AI705" s="1">
        <v>45139</v>
      </c>
      <c r="AJ705" s="1">
        <v>44941</v>
      </c>
      <c r="AK705" t="s">
        <v>3677</v>
      </c>
      <c r="AL705" t="s">
        <v>2460</v>
      </c>
    </row>
    <row r="706" spans="1:38" x14ac:dyDescent="0.35">
      <c r="A706" t="s">
        <v>2462</v>
      </c>
      <c r="B706" t="s">
        <v>365</v>
      </c>
      <c r="C706" t="s">
        <v>89</v>
      </c>
      <c r="D706" t="s">
        <v>350</v>
      </c>
      <c r="E706" t="s">
        <v>351</v>
      </c>
      <c r="F706" t="s">
        <v>211</v>
      </c>
      <c r="G706" t="s">
        <v>352</v>
      </c>
      <c r="H706">
        <v>47930</v>
      </c>
      <c r="I706">
        <f>Sales_Transactions_Raw[[#This Row],[Unit_Price]]*Sales_Transactions_Raw[[#This Row],[Quantity]]</f>
        <v>287580</v>
      </c>
      <c r="J706">
        <v>6</v>
      </c>
      <c r="K706">
        <v>20</v>
      </c>
      <c r="L706">
        <v>57516</v>
      </c>
      <c r="M706">
        <v>230064</v>
      </c>
      <c r="N706">
        <v>5</v>
      </c>
      <c r="O706">
        <v>11503.2</v>
      </c>
      <c r="P706">
        <v>0</v>
      </c>
      <c r="Q706">
        <v>241567.2</v>
      </c>
      <c r="R706" t="s">
        <v>106</v>
      </c>
      <c r="S706" t="s">
        <v>125</v>
      </c>
      <c r="T706" t="s">
        <v>66</v>
      </c>
      <c r="U706" t="s">
        <v>108</v>
      </c>
      <c r="V706" t="s">
        <v>51</v>
      </c>
      <c r="W706" t="s">
        <v>52</v>
      </c>
      <c r="X706" t="s">
        <v>491</v>
      </c>
      <c r="Y706" t="s">
        <v>358</v>
      </c>
      <c r="Z706" t="s">
        <v>95</v>
      </c>
      <c r="AA706" t="s">
        <v>2464</v>
      </c>
      <c r="AB706" t="s">
        <v>3344</v>
      </c>
      <c r="AC706">
        <v>1</v>
      </c>
      <c r="AD706" t="s">
        <v>56</v>
      </c>
      <c r="AE706" t="s">
        <v>3336</v>
      </c>
      <c r="AF706" t="s">
        <v>84</v>
      </c>
      <c r="AG706" t="s">
        <v>111</v>
      </c>
      <c r="AH706" s="1">
        <v>45442</v>
      </c>
      <c r="AI706" s="1">
        <v>45448</v>
      </c>
      <c r="AJ706" s="1">
        <v>45457</v>
      </c>
      <c r="AK706" t="s">
        <v>3601</v>
      </c>
      <c r="AL706" t="s">
        <v>2463</v>
      </c>
    </row>
    <row r="707" spans="1:38" x14ac:dyDescent="0.35">
      <c r="A707" t="s">
        <v>2465</v>
      </c>
      <c r="B707" t="s">
        <v>484</v>
      </c>
      <c r="C707" t="s">
        <v>43</v>
      </c>
      <c r="D707" t="s">
        <v>630</v>
      </c>
      <c r="E707" t="s">
        <v>450</v>
      </c>
      <c r="F707" t="s">
        <v>134</v>
      </c>
      <c r="G707" t="s">
        <v>497</v>
      </c>
      <c r="H707">
        <v>50770</v>
      </c>
      <c r="I707">
        <f>Sales_Transactions_Raw[[#This Row],[Unit_Price]]*Sales_Transactions_Raw[[#This Row],[Quantity]]</f>
        <v>50770</v>
      </c>
      <c r="J707">
        <v>1</v>
      </c>
      <c r="K707">
        <v>0</v>
      </c>
      <c r="L707">
        <v>0</v>
      </c>
      <c r="M707">
        <v>50770</v>
      </c>
      <c r="N707">
        <v>5</v>
      </c>
      <c r="O707">
        <v>2538.5</v>
      </c>
      <c r="P707">
        <v>0</v>
      </c>
      <c r="Q707">
        <v>53308.5</v>
      </c>
      <c r="R707" t="s">
        <v>92</v>
      </c>
      <c r="S707" t="s">
        <v>125</v>
      </c>
      <c r="T707" t="s">
        <v>66</v>
      </c>
      <c r="U707" t="s">
        <v>50</v>
      </c>
      <c r="V707" t="s">
        <v>197</v>
      </c>
      <c r="W707" t="s">
        <v>68</v>
      </c>
      <c r="X707" t="s">
        <v>480</v>
      </c>
      <c r="Y707" t="s">
        <v>481</v>
      </c>
      <c r="Z707" t="s">
        <v>52</v>
      </c>
      <c r="AA707" t="s">
        <v>2467</v>
      </c>
      <c r="AB707" t="s">
        <v>3338</v>
      </c>
      <c r="AC707">
        <v>5</v>
      </c>
      <c r="AD707" t="s">
        <v>56</v>
      </c>
      <c r="AE707" t="s">
        <v>3336</v>
      </c>
      <c r="AF707" t="s">
        <v>57</v>
      </c>
      <c r="AG707" t="s">
        <v>3342</v>
      </c>
      <c r="AH707" s="1">
        <v>44951</v>
      </c>
      <c r="AI707" s="1">
        <v>44952</v>
      </c>
      <c r="AJ707" s="1">
        <v>44961</v>
      </c>
      <c r="AK707" t="s">
        <v>3656</v>
      </c>
      <c r="AL707" t="s">
        <v>2466</v>
      </c>
    </row>
    <row r="708" spans="1:38" x14ac:dyDescent="0.35">
      <c r="A708" t="s">
        <v>2468</v>
      </c>
      <c r="B708" t="s">
        <v>691</v>
      </c>
      <c r="C708" t="s">
        <v>43</v>
      </c>
      <c r="D708" t="s">
        <v>441</v>
      </c>
      <c r="E708" t="s">
        <v>442</v>
      </c>
      <c r="F708" t="s">
        <v>46</v>
      </c>
      <c r="G708" t="s">
        <v>369</v>
      </c>
      <c r="H708">
        <v>68640</v>
      </c>
      <c r="I708">
        <f>Sales_Transactions_Raw[[#This Row],[Unit_Price]]*Sales_Transactions_Raw[[#This Row],[Quantity]]</f>
        <v>549120</v>
      </c>
      <c r="J708">
        <v>8</v>
      </c>
      <c r="K708">
        <v>0</v>
      </c>
      <c r="L708">
        <v>0</v>
      </c>
      <c r="M708">
        <v>549120</v>
      </c>
      <c r="N708">
        <v>18</v>
      </c>
      <c r="O708">
        <v>98841.600000000006</v>
      </c>
      <c r="P708">
        <v>0</v>
      </c>
      <c r="Q708">
        <v>647961.59999999998</v>
      </c>
      <c r="R708" t="s">
        <v>92</v>
      </c>
      <c r="S708" t="s">
        <v>125</v>
      </c>
      <c r="T708" t="s">
        <v>115</v>
      </c>
      <c r="U708" t="s">
        <v>214</v>
      </c>
      <c r="V708" t="s">
        <v>297</v>
      </c>
      <c r="W708" t="s">
        <v>52</v>
      </c>
      <c r="X708" t="s">
        <v>198</v>
      </c>
      <c r="Y708" t="s">
        <v>199</v>
      </c>
      <c r="Z708" t="s">
        <v>52</v>
      </c>
      <c r="AA708" t="s">
        <v>2470</v>
      </c>
      <c r="AB708" t="s">
        <v>3340</v>
      </c>
      <c r="AC708">
        <v>4</v>
      </c>
      <c r="AD708" t="s">
        <v>56</v>
      </c>
      <c r="AE708" t="s">
        <v>3336</v>
      </c>
      <c r="AF708" t="s">
        <v>227</v>
      </c>
      <c r="AG708" t="s">
        <v>111</v>
      </c>
      <c r="AH708" s="1">
        <v>45055</v>
      </c>
      <c r="AI708" s="1">
        <v>45056</v>
      </c>
      <c r="AJ708" s="1">
        <v>45066</v>
      </c>
      <c r="AK708" t="s">
        <v>3596</v>
      </c>
      <c r="AL708" t="s">
        <v>2469</v>
      </c>
    </row>
    <row r="709" spans="1:38" x14ac:dyDescent="0.35">
      <c r="A709" t="s">
        <v>2471</v>
      </c>
      <c r="B709" t="s">
        <v>1107</v>
      </c>
      <c r="C709" t="s">
        <v>43</v>
      </c>
      <c r="D709" t="s">
        <v>317</v>
      </c>
      <c r="E709" t="s">
        <v>77</v>
      </c>
      <c r="F709" t="s">
        <v>46</v>
      </c>
      <c r="G709" t="s">
        <v>176</v>
      </c>
      <c r="H709">
        <v>28130</v>
      </c>
      <c r="I709">
        <f>Sales_Transactions_Raw[[#This Row],[Unit_Price]]*Sales_Transactions_Raw[[#This Row],[Quantity]]</f>
        <v>28130</v>
      </c>
      <c r="J709">
        <v>1</v>
      </c>
      <c r="K709">
        <v>20</v>
      </c>
      <c r="L709">
        <v>5626</v>
      </c>
      <c r="M709">
        <v>22504</v>
      </c>
      <c r="N709">
        <v>18</v>
      </c>
      <c r="O709">
        <v>4050.72</v>
      </c>
      <c r="P709">
        <v>0</v>
      </c>
      <c r="Q709">
        <v>26554.720000000001</v>
      </c>
      <c r="R709" t="s">
        <v>79</v>
      </c>
      <c r="S709" t="s">
        <v>93</v>
      </c>
      <c r="T709" t="s">
        <v>115</v>
      </c>
      <c r="U709" t="s">
        <v>196</v>
      </c>
      <c r="V709" t="s">
        <v>67</v>
      </c>
      <c r="W709" t="s">
        <v>68</v>
      </c>
      <c r="X709" t="s">
        <v>480</v>
      </c>
      <c r="Y709" t="s">
        <v>481</v>
      </c>
      <c r="Z709" t="s">
        <v>52</v>
      </c>
      <c r="AA709" t="s">
        <v>2473</v>
      </c>
      <c r="AB709" t="s">
        <v>3338</v>
      </c>
      <c r="AC709">
        <v>4</v>
      </c>
      <c r="AD709" t="s">
        <v>56</v>
      </c>
      <c r="AE709" t="s">
        <v>3336</v>
      </c>
      <c r="AF709" t="s">
        <v>227</v>
      </c>
      <c r="AG709" t="s">
        <v>111</v>
      </c>
      <c r="AH709" s="1">
        <v>44966</v>
      </c>
      <c r="AI709" s="1">
        <v>45025</v>
      </c>
      <c r="AJ709" s="1">
        <v>45086</v>
      </c>
      <c r="AK709" t="s">
        <v>3514</v>
      </c>
      <c r="AL709" t="s">
        <v>2472</v>
      </c>
    </row>
    <row r="710" spans="1:38" x14ac:dyDescent="0.35">
      <c r="A710" t="s">
        <v>2474</v>
      </c>
      <c r="B710" t="s">
        <v>1296</v>
      </c>
      <c r="C710" t="s">
        <v>157</v>
      </c>
      <c r="D710" t="s">
        <v>144</v>
      </c>
      <c r="E710" t="s">
        <v>145</v>
      </c>
      <c r="F710" t="s">
        <v>146</v>
      </c>
      <c r="G710" t="s">
        <v>147</v>
      </c>
      <c r="H710">
        <v>2480</v>
      </c>
      <c r="I710">
        <f>Sales_Transactions_Raw[[#This Row],[Unit_Price]]*Sales_Transactions_Raw[[#This Row],[Quantity]]</f>
        <v>2480</v>
      </c>
      <c r="J710">
        <v>1</v>
      </c>
      <c r="K710">
        <v>10</v>
      </c>
      <c r="L710">
        <v>248</v>
      </c>
      <c r="M710">
        <v>2232</v>
      </c>
      <c r="N710">
        <v>12</v>
      </c>
      <c r="O710">
        <v>267.83999999999997</v>
      </c>
      <c r="P710">
        <v>79</v>
      </c>
      <c r="Q710">
        <v>2499.84</v>
      </c>
      <c r="R710" t="s">
        <v>64</v>
      </c>
      <c r="S710" t="s">
        <v>93</v>
      </c>
      <c r="T710" t="s">
        <v>115</v>
      </c>
      <c r="U710" t="s">
        <v>108</v>
      </c>
      <c r="V710" t="s">
        <v>197</v>
      </c>
      <c r="W710" t="s">
        <v>68</v>
      </c>
      <c r="X710" t="s">
        <v>370</v>
      </c>
      <c r="Y710" t="s">
        <v>151</v>
      </c>
      <c r="Z710" t="s">
        <v>81</v>
      </c>
      <c r="AA710" t="s">
        <v>2476</v>
      </c>
      <c r="AB710" t="s">
        <v>3340</v>
      </c>
      <c r="AC710">
        <v>4</v>
      </c>
      <c r="AD710" t="s">
        <v>56</v>
      </c>
      <c r="AE710" t="s">
        <v>3336</v>
      </c>
      <c r="AF710" t="s">
        <v>217</v>
      </c>
      <c r="AG710" t="s">
        <v>85</v>
      </c>
      <c r="AH710" s="1">
        <v>45290</v>
      </c>
      <c r="AI710" s="1">
        <v>45296</v>
      </c>
      <c r="AJ710" s="1">
        <v>45306</v>
      </c>
      <c r="AK710" t="s">
        <v>3563</v>
      </c>
      <c r="AL710" t="s">
        <v>2475</v>
      </c>
    </row>
    <row r="711" spans="1:38" x14ac:dyDescent="0.35">
      <c r="A711" t="s">
        <v>2477</v>
      </c>
      <c r="B711" t="s">
        <v>543</v>
      </c>
      <c r="C711" t="s">
        <v>43</v>
      </c>
      <c r="D711" t="s">
        <v>466</v>
      </c>
      <c r="E711" t="s">
        <v>467</v>
      </c>
      <c r="F711" t="s">
        <v>185</v>
      </c>
      <c r="G711" t="s">
        <v>468</v>
      </c>
      <c r="H711">
        <v>590</v>
      </c>
      <c r="I711">
        <f>Sales_Transactions_Raw[[#This Row],[Unit_Price]]*Sales_Transactions_Raw[[#This Row],[Quantity]]</f>
        <v>5310</v>
      </c>
      <c r="J711">
        <v>9</v>
      </c>
      <c r="K711">
        <v>0</v>
      </c>
      <c r="L711">
        <v>0</v>
      </c>
      <c r="M711">
        <v>5310</v>
      </c>
      <c r="N711">
        <v>5</v>
      </c>
      <c r="O711">
        <v>265.5</v>
      </c>
      <c r="P711">
        <v>0</v>
      </c>
      <c r="Q711">
        <v>5575.5</v>
      </c>
      <c r="R711" t="s">
        <v>106</v>
      </c>
      <c r="S711" t="s">
        <v>125</v>
      </c>
      <c r="T711" t="s">
        <v>115</v>
      </c>
      <c r="U711" t="s">
        <v>108</v>
      </c>
      <c r="V711" t="s">
        <v>224</v>
      </c>
      <c r="W711" t="s">
        <v>95</v>
      </c>
      <c r="X711" t="s">
        <v>126</v>
      </c>
      <c r="Y711" t="s">
        <v>127</v>
      </c>
      <c r="Z711" t="s">
        <v>68</v>
      </c>
      <c r="AA711" t="s">
        <v>2479</v>
      </c>
      <c r="AB711" t="s">
        <v>3335</v>
      </c>
      <c r="AC711">
        <v>4</v>
      </c>
      <c r="AD711" t="s">
        <v>56</v>
      </c>
      <c r="AE711" t="s">
        <v>3336</v>
      </c>
      <c r="AF711" t="s">
        <v>326</v>
      </c>
      <c r="AG711" t="s">
        <v>111</v>
      </c>
      <c r="AH711" s="1">
        <v>45057</v>
      </c>
      <c r="AI711" s="1">
        <v>45064</v>
      </c>
      <c r="AJ711" s="1">
        <v>45066</v>
      </c>
      <c r="AK711" t="s">
        <v>3674</v>
      </c>
      <c r="AL711" t="s">
        <v>2478</v>
      </c>
    </row>
    <row r="712" spans="1:38" x14ac:dyDescent="0.35">
      <c r="A712" t="s">
        <v>2480</v>
      </c>
      <c r="B712" t="s">
        <v>301</v>
      </c>
      <c r="C712" t="s">
        <v>43</v>
      </c>
      <c r="D712" t="s">
        <v>76</v>
      </c>
      <c r="E712" t="s">
        <v>77</v>
      </c>
      <c r="F712" t="s">
        <v>46</v>
      </c>
      <c r="G712" t="s">
        <v>78</v>
      </c>
      <c r="H712">
        <v>72860</v>
      </c>
      <c r="I712">
        <f>Sales_Transactions_Raw[[#This Row],[Unit_Price]]*Sales_Transactions_Raw[[#This Row],[Quantity]]</f>
        <v>72860</v>
      </c>
      <c r="J712">
        <v>1</v>
      </c>
      <c r="K712">
        <v>25</v>
      </c>
      <c r="L712">
        <v>18215</v>
      </c>
      <c r="M712">
        <v>54645</v>
      </c>
      <c r="N712">
        <v>18</v>
      </c>
      <c r="O712">
        <v>9836.1</v>
      </c>
      <c r="P712">
        <v>0</v>
      </c>
      <c r="Q712">
        <v>64481.1</v>
      </c>
      <c r="R712" t="s">
        <v>64</v>
      </c>
      <c r="S712" t="s">
        <v>49</v>
      </c>
      <c r="T712" t="s">
        <v>66</v>
      </c>
      <c r="U712" t="s">
        <v>214</v>
      </c>
      <c r="V712" t="s">
        <v>94</v>
      </c>
      <c r="W712" t="s">
        <v>95</v>
      </c>
      <c r="X712" t="s">
        <v>306</v>
      </c>
      <c r="Y712" t="s">
        <v>97</v>
      </c>
      <c r="Z712" t="s">
        <v>95</v>
      </c>
      <c r="AA712" t="s">
        <v>2482</v>
      </c>
      <c r="AB712" t="s">
        <v>3335</v>
      </c>
      <c r="AC712">
        <v>4</v>
      </c>
      <c r="AD712" t="s">
        <v>56</v>
      </c>
      <c r="AE712" t="s">
        <v>3336</v>
      </c>
      <c r="AF712" t="s">
        <v>72</v>
      </c>
      <c r="AG712" t="s">
        <v>3342</v>
      </c>
      <c r="AH712" s="1">
        <v>45231</v>
      </c>
      <c r="AI712" s="1">
        <v>45233</v>
      </c>
      <c r="AJ712" s="1">
        <v>45240</v>
      </c>
      <c r="AK712" t="s">
        <v>3597</v>
      </c>
      <c r="AL712" t="s">
        <v>2481</v>
      </c>
    </row>
    <row r="713" spans="1:38" x14ac:dyDescent="0.35">
      <c r="A713" t="s">
        <v>2483</v>
      </c>
      <c r="B713" t="s">
        <v>1225</v>
      </c>
      <c r="C713" t="s">
        <v>157</v>
      </c>
      <c r="D713" t="s">
        <v>630</v>
      </c>
      <c r="E713" t="s">
        <v>450</v>
      </c>
      <c r="F713" t="s">
        <v>134</v>
      </c>
      <c r="G713" t="s">
        <v>497</v>
      </c>
      <c r="H713">
        <v>47150</v>
      </c>
      <c r="I713">
        <f>Sales_Transactions_Raw[[#This Row],[Unit_Price]]*Sales_Transactions_Raw[[#This Row],[Quantity]]</f>
        <v>47150</v>
      </c>
      <c r="J713">
        <v>1</v>
      </c>
      <c r="K713">
        <v>5</v>
      </c>
      <c r="L713">
        <v>2357.5</v>
      </c>
      <c r="M713">
        <v>44792.5</v>
      </c>
      <c r="N713">
        <v>5</v>
      </c>
      <c r="O713">
        <v>2239.62</v>
      </c>
      <c r="P713">
        <v>0</v>
      </c>
      <c r="Q713">
        <v>47032.12</v>
      </c>
      <c r="R713" t="s">
        <v>64</v>
      </c>
      <c r="S713" t="s">
        <v>49</v>
      </c>
      <c r="T713" t="s">
        <v>115</v>
      </c>
      <c r="U713" t="s">
        <v>50</v>
      </c>
      <c r="V713" t="s">
        <v>94</v>
      </c>
      <c r="W713" t="s">
        <v>95</v>
      </c>
      <c r="X713" t="s">
        <v>611</v>
      </c>
      <c r="Y713" t="s">
        <v>97</v>
      </c>
      <c r="Z713" t="s">
        <v>95</v>
      </c>
      <c r="AA713" t="s">
        <v>2485</v>
      </c>
      <c r="AB713" t="s">
        <v>3341</v>
      </c>
      <c r="AC713">
        <v>5</v>
      </c>
      <c r="AD713" t="s">
        <v>56</v>
      </c>
      <c r="AE713" t="s">
        <v>3336</v>
      </c>
      <c r="AF713" t="s">
        <v>72</v>
      </c>
      <c r="AG713" t="s">
        <v>3337</v>
      </c>
      <c r="AH713" s="1">
        <v>45036</v>
      </c>
      <c r="AI713" s="1">
        <v>45039</v>
      </c>
      <c r="AJ713" s="1">
        <v>44962</v>
      </c>
      <c r="AK713" t="s">
        <v>3591</v>
      </c>
      <c r="AL713" t="s">
        <v>2484</v>
      </c>
    </row>
    <row r="714" spans="1:38" x14ac:dyDescent="0.35">
      <c r="A714" t="s">
        <v>2486</v>
      </c>
      <c r="B714" t="s">
        <v>765</v>
      </c>
      <c r="C714" t="s">
        <v>157</v>
      </c>
      <c r="D714" t="s">
        <v>230</v>
      </c>
      <c r="E714" t="s">
        <v>231</v>
      </c>
      <c r="F714" t="s">
        <v>46</v>
      </c>
      <c r="G714" t="s">
        <v>63</v>
      </c>
      <c r="H714">
        <v>111500</v>
      </c>
      <c r="I714">
        <f>Sales_Transactions_Raw[[#This Row],[Unit_Price]]*Sales_Transactions_Raw[[#This Row],[Quantity]]</f>
        <v>557500</v>
      </c>
      <c r="J714">
        <v>5</v>
      </c>
      <c r="K714">
        <v>10</v>
      </c>
      <c r="L714">
        <v>55750</v>
      </c>
      <c r="M714">
        <v>501750</v>
      </c>
      <c r="N714">
        <v>18</v>
      </c>
      <c r="O714">
        <v>90315</v>
      </c>
      <c r="P714">
        <v>0</v>
      </c>
      <c r="Q714">
        <v>592065</v>
      </c>
      <c r="R714" t="s">
        <v>92</v>
      </c>
      <c r="S714" t="s">
        <v>49</v>
      </c>
      <c r="T714" t="s">
        <v>115</v>
      </c>
      <c r="U714" t="s">
        <v>108</v>
      </c>
      <c r="V714" t="s">
        <v>269</v>
      </c>
      <c r="W714" t="s">
        <v>70</v>
      </c>
      <c r="X714" t="s">
        <v>362</v>
      </c>
      <c r="Y714" t="s">
        <v>118</v>
      </c>
      <c r="Z714" t="s">
        <v>70</v>
      </c>
      <c r="AA714" t="s">
        <v>2488</v>
      </c>
      <c r="AB714" t="s">
        <v>3340</v>
      </c>
      <c r="AC714">
        <v>3</v>
      </c>
      <c r="AD714" t="s">
        <v>56</v>
      </c>
      <c r="AE714" t="s">
        <v>3336</v>
      </c>
      <c r="AF714" t="s">
        <v>72</v>
      </c>
      <c r="AG714" t="s">
        <v>58</v>
      </c>
      <c r="AH714" s="1">
        <v>45281</v>
      </c>
      <c r="AI714" s="1">
        <v>45286</v>
      </c>
      <c r="AJ714" s="1">
        <v>45291</v>
      </c>
      <c r="AK714" t="s">
        <v>3623</v>
      </c>
      <c r="AL714" t="s">
        <v>2487</v>
      </c>
    </row>
    <row r="715" spans="1:38" x14ac:dyDescent="0.35">
      <c r="A715" t="s">
        <v>2489</v>
      </c>
      <c r="B715" t="s">
        <v>414</v>
      </c>
      <c r="C715" t="s">
        <v>43</v>
      </c>
      <c r="D715" t="s">
        <v>971</v>
      </c>
      <c r="E715" t="s">
        <v>972</v>
      </c>
      <c r="F715" t="s">
        <v>146</v>
      </c>
      <c r="G715" t="s">
        <v>195</v>
      </c>
      <c r="H715">
        <v>1700</v>
      </c>
      <c r="I715">
        <f>Sales_Transactions_Raw[[#This Row],[Unit_Price]]*Sales_Transactions_Raw[[#This Row],[Quantity]]</f>
        <v>5100</v>
      </c>
      <c r="J715">
        <v>3</v>
      </c>
      <c r="K715">
        <v>20</v>
      </c>
      <c r="L715">
        <v>1020</v>
      </c>
      <c r="M715">
        <v>4080</v>
      </c>
      <c r="N715">
        <v>12</v>
      </c>
      <c r="O715">
        <v>489.6</v>
      </c>
      <c r="P715">
        <v>99</v>
      </c>
      <c r="Q715">
        <v>4569.6000000000004</v>
      </c>
      <c r="R715" t="s">
        <v>79</v>
      </c>
      <c r="S715" t="s">
        <v>65</v>
      </c>
      <c r="T715" t="s">
        <v>66</v>
      </c>
      <c r="U715" t="s">
        <v>50</v>
      </c>
      <c r="V715" t="s">
        <v>297</v>
      </c>
      <c r="W715" t="s">
        <v>52</v>
      </c>
      <c r="X715" t="s">
        <v>53</v>
      </c>
      <c r="Y715" t="s">
        <v>54</v>
      </c>
      <c r="Z715" t="s">
        <v>70</v>
      </c>
      <c r="AA715" t="s">
        <v>2491</v>
      </c>
      <c r="AB715" t="s">
        <v>3341</v>
      </c>
      <c r="AC715">
        <v>4</v>
      </c>
      <c r="AD715" t="s">
        <v>56</v>
      </c>
      <c r="AE715" t="s">
        <v>3336</v>
      </c>
      <c r="AF715" t="s">
        <v>99</v>
      </c>
      <c r="AG715" t="s">
        <v>3342</v>
      </c>
      <c r="AH715" s="1">
        <v>45087</v>
      </c>
      <c r="AI715" s="1">
        <v>45286</v>
      </c>
      <c r="AJ715" s="1">
        <v>45101</v>
      </c>
      <c r="AK715" t="s">
        <v>3583</v>
      </c>
      <c r="AL715" t="s">
        <v>2490</v>
      </c>
    </row>
    <row r="716" spans="1:38" x14ac:dyDescent="0.35">
      <c r="A716" t="s">
        <v>2492</v>
      </c>
      <c r="B716" t="s">
        <v>960</v>
      </c>
      <c r="C716" t="s">
        <v>157</v>
      </c>
      <c r="D716" t="s">
        <v>504</v>
      </c>
      <c r="E716" t="s">
        <v>91</v>
      </c>
      <c r="F716" t="s">
        <v>134</v>
      </c>
      <c r="G716" t="s">
        <v>330</v>
      </c>
      <c r="H716">
        <v>26980</v>
      </c>
      <c r="I716">
        <f>Sales_Transactions_Raw[[#This Row],[Unit_Price]]*Sales_Transactions_Raw[[#This Row],[Quantity]]</f>
        <v>53960</v>
      </c>
      <c r="J716">
        <v>2</v>
      </c>
      <c r="K716">
        <v>5</v>
      </c>
      <c r="L716">
        <v>2698</v>
      </c>
      <c r="M716">
        <v>51262</v>
      </c>
      <c r="N716">
        <v>5</v>
      </c>
      <c r="O716">
        <v>2563.1</v>
      </c>
      <c r="P716">
        <v>0</v>
      </c>
      <c r="Q716">
        <v>53825.1</v>
      </c>
      <c r="R716" t="s">
        <v>79</v>
      </c>
      <c r="S716" t="s">
        <v>107</v>
      </c>
      <c r="T716" t="s">
        <v>719</v>
      </c>
      <c r="U716" t="s">
        <v>196</v>
      </c>
      <c r="V716" t="s">
        <v>149</v>
      </c>
      <c r="W716" t="s">
        <v>81</v>
      </c>
      <c r="X716" t="s">
        <v>306</v>
      </c>
      <c r="Y716" t="s">
        <v>97</v>
      </c>
      <c r="Z716" t="s">
        <v>95</v>
      </c>
      <c r="AA716" t="s">
        <v>2494</v>
      </c>
      <c r="AB716" t="s">
        <v>3340</v>
      </c>
      <c r="AC716">
        <v>5</v>
      </c>
      <c r="AD716" t="s">
        <v>56</v>
      </c>
      <c r="AE716" t="s">
        <v>3336</v>
      </c>
      <c r="AF716" t="s">
        <v>279</v>
      </c>
      <c r="AG716" t="s">
        <v>3337</v>
      </c>
      <c r="AH716" s="1">
        <v>45347</v>
      </c>
      <c r="AI716" s="1">
        <v>45353</v>
      </c>
      <c r="AJ716" s="1">
        <v>45358</v>
      </c>
      <c r="AK716" t="s">
        <v>3553</v>
      </c>
      <c r="AL716" t="s">
        <v>2493</v>
      </c>
    </row>
    <row r="717" spans="1:38" x14ac:dyDescent="0.35">
      <c r="A717" t="s">
        <v>2495</v>
      </c>
      <c r="B717" t="s">
        <v>605</v>
      </c>
      <c r="C717" t="s">
        <v>157</v>
      </c>
      <c r="D717" t="s">
        <v>158</v>
      </c>
      <c r="E717" t="s">
        <v>159</v>
      </c>
      <c r="F717" t="s">
        <v>46</v>
      </c>
      <c r="G717" t="s">
        <v>105</v>
      </c>
      <c r="H717">
        <v>29347.846790890268</v>
      </c>
      <c r="I717">
        <f>Sales_Transactions_Raw[[#This Row],[Unit_Price]]*Sales_Transactions_Raw[[#This Row],[Quantity]]</f>
        <v>29347.846790890268</v>
      </c>
      <c r="J717">
        <v>1</v>
      </c>
      <c r="K717">
        <v>0</v>
      </c>
      <c r="L717">
        <v>0</v>
      </c>
      <c r="M717">
        <v>51410</v>
      </c>
      <c r="N717">
        <v>18</v>
      </c>
      <c r="O717">
        <v>9253.7999999999993</v>
      </c>
      <c r="P717">
        <v>0</v>
      </c>
      <c r="Q717">
        <v>60663.8</v>
      </c>
      <c r="R717" t="s">
        <v>106</v>
      </c>
      <c r="S717" t="s">
        <v>93</v>
      </c>
      <c r="T717" t="s">
        <v>115</v>
      </c>
      <c r="U717" t="s">
        <v>108</v>
      </c>
      <c r="V717" t="s">
        <v>276</v>
      </c>
      <c r="W717" t="s">
        <v>95</v>
      </c>
      <c r="X717" t="s">
        <v>340</v>
      </c>
      <c r="Y717" t="s">
        <v>169</v>
      </c>
      <c r="Z717" t="s">
        <v>95</v>
      </c>
      <c r="AA717" t="s">
        <v>2497</v>
      </c>
      <c r="AB717" t="s">
        <v>3335</v>
      </c>
      <c r="AC717">
        <v>4</v>
      </c>
      <c r="AD717" t="s">
        <v>56</v>
      </c>
      <c r="AE717" t="s">
        <v>3336</v>
      </c>
      <c r="AF717" t="s">
        <v>99</v>
      </c>
      <c r="AG717" t="s">
        <v>445</v>
      </c>
      <c r="AH717" s="1">
        <v>45350</v>
      </c>
      <c r="AI717" s="1">
        <v>45351</v>
      </c>
      <c r="AJ717" s="1">
        <v>45357</v>
      </c>
      <c r="AK717" t="s">
        <v>3485</v>
      </c>
      <c r="AL717" t="s">
        <v>2496</v>
      </c>
    </row>
    <row r="718" spans="1:38" x14ac:dyDescent="0.35">
      <c r="A718" t="s">
        <v>2498</v>
      </c>
      <c r="B718" t="s">
        <v>472</v>
      </c>
      <c r="C718" t="s">
        <v>43</v>
      </c>
      <c r="D718" t="s">
        <v>294</v>
      </c>
      <c r="E718" t="s">
        <v>295</v>
      </c>
      <c r="F718" t="s">
        <v>146</v>
      </c>
      <c r="G718" t="s">
        <v>296</v>
      </c>
      <c r="H718">
        <v>13770</v>
      </c>
      <c r="I718">
        <f>Sales_Transactions_Raw[[#This Row],[Unit_Price]]*Sales_Transactions_Raw[[#This Row],[Quantity]]</f>
        <v>27540</v>
      </c>
      <c r="J718">
        <v>2</v>
      </c>
      <c r="K718">
        <v>25</v>
      </c>
      <c r="L718">
        <v>6885</v>
      </c>
      <c r="M718">
        <v>20655</v>
      </c>
      <c r="N718">
        <v>12</v>
      </c>
      <c r="O718">
        <v>2478.6</v>
      </c>
      <c r="P718">
        <v>0</v>
      </c>
      <c r="Q718">
        <v>23133.599999999999</v>
      </c>
      <c r="R718" t="s">
        <v>92</v>
      </c>
      <c r="S718" t="s">
        <v>107</v>
      </c>
      <c r="T718" t="s">
        <v>115</v>
      </c>
      <c r="U718" t="s">
        <v>214</v>
      </c>
      <c r="V718" t="s">
        <v>242</v>
      </c>
      <c r="W718" t="s">
        <v>70</v>
      </c>
      <c r="X718" t="s">
        <v>150</v>
      </c>
      <c r="Y718" t="s">
        <v>151</v>
      </c>
      <c r="Z718" t="s">
        <v>81</v>
      </c>
      <c r="AA718" t="s">
        <v>2500</v>
      </c>
      <c r="AB718" t="s">
        <v>3335</v>
      </c>
      <c r="AC718">
        <v>5</v>
      </c>
      <c r="AD718" t="s">
        <v>56</v>
      </c>
      <c r="AE718" t="s">
        <v>3336</v>
      </c>
      <c r="AF718" t="s">
        <v>227</v>
      </c>
      <c r="AG718" t="s">
        <v>111</v>
      </c>
      <c r="AH718" s="1">
        <v>44951</v>
      </c>
      <c r="AI718" s="1">
        <v>44952</v>
      </c>
      <c r="AJ718" s="1">
        <v>44961</v>
      </c>
      <c r="AK718" t="s">
        <v>3657</v>
      </c>
      <c r="AL718" t="s">
        <v>2499</v>
      </c>
    </row>
    <row r="719" spans="1:38" x14ac:dyDescent="0.35">
      <c r="A719" t="s">
        <v>2501</v>
      </c>
      <c r="B719" t="s">
        <v>240</v>
      </c>
      <c r="C719" t="s">
        <v>43</v>
      </c>
      <c r="D719" t="s">
        <v>432</v>
      </c>
      <c r="E719" t="s">
        <v>433</v>
      </c>
      <c r="F719" t="s">
        <v>146</v>
      </c>
      <c r="G719" t="s">
        <v>296</v>
      </c>
      <c r="H719">
        <v>4790</v>
      </c>
      <c r="I719">
        <f>Sales_Transactions_Raw[[#This Row],[Unit_Price]]*Sales_Transactions_Raw[[#This Row],[Quantity]]</f>
        <v>14370</v>
      </c>
      <c r="J719">
        <v>3</v>
      </c>
      <c r="K719">
        <v>10</v>
      </c>
      <c r="L719">
        <v>1916</v>
      </c>
      <c r="M719">
        <v>17244</v>
      </c>
      <c r="N719">
        <v>12</v>
      </c>
      <c r="O719">
        <v>2069.2800000000002</v>
      </c>
      <c r="P719">
        <v>0</v>
      </c>
      <c r="Q719">
        <v>19313.28</v>
      </c>
      <c r="R719" t="s">
        <v>124</v>
      </c>
      <c r="S719" t="s">
        <v>93</v>
      </c>
      <c r="T719" t="s">
        <v>148</v>
      </c>
      <c r="U719" t="s">
        <v>161</v>
      </c>
      <c r="V719" t="s">
        <v>149</v>
      </c>
      <c r="W719" t="s">
        <v>81</v>
      </c>
      <c r="X719" t="s">
        <v>486</v>
      </c>
      <c r="Y719" t="s">
        <v>138</v>
      </c>
      <c r="Z719" t="s">
        <v>81</v>
      </c>
      <c r="AA719" t="s">
        <v>2503</v>
      </c>
      <c r="AB719" t="s">
        <v>3340</v>
      </c>
      <c r="AC719">
        <v>4</v>
      </c>
      <c r="AD719" t="s">
        <v>56</v>
      </c>
      <c r="AE719" t="s">
        <v>3336</v>
      </c>
      <c r="AF719" t="s">
        <v>326</v>
      </c>
      <c r="AG719" t="s">
        <v>3342</v>
      </c>
      <c r="AH719" s="1">
        <v>45203</v>
      </c>
      <c r="AI719" s="1">
        <v>45207</v>
      </c>
      <c r="AJ719" s="1">
        <v>45211</v>
      </c>
      <c r="AK719" t="s">
        <v>3510</v>
      </c>
      <c r="AL719" t="s">
        <v>2502</v>
      </c>
    </row>
    <row r="720" spans="1:38" x14ac:dyDescent="0.35">
      <c r="A720" t="s">
        <v>2504</v>
      </c>
      <c r="B720" t="s">
        <v>948</v>
      </c>
      <c r="C720" t="s">
        <v>43</v>
      </c>
      <c r="D720" t="s">
        <v>375</v>
      </c>
      <c r="E720" t="s">
        <v>376</v>
      </c>
      <c r="F720" t="s">
        <v>146</v>
      </c>
      <c r="G720" t="s">
        <v>147</v>
      </c>
      <c r="H720">
        <v>8450</v>
      </c>
      <c r="I720">
        <f>Sales_Transactions_Raw[[#This Row],[Unit_Price]]*Sales_Transactions_Raw[[#This Row],[Quantity]]</f>
        <v>25350</v>
      </c>
      <c r="J720">
        <v>3</v>
      </c>
      <c r="K720">
        <v>10</v>
      </c>
      <c r="L720">
        <v>2535</v>
      </c>
      <c r="M720">
        <v>22815</v>
      </c>
      <c r="N720">
        <v>12</v>
      </c>
      <c r="O720">
        <v>2737.8</v>
      </c>
      <c r="P720">
        <v>0</v>
      </c>
      <c r="Q720">
        <v>25552.799999999999</v>
      </c>
      <c r="R720" t="s">
        <v>124</v>
      </c>
      <c r="S720" t="s">
        <v>93</v>
      </c>
      <c r="T720" t="s">
        <v>115</v>
      </c>
      <c r="U720" t="s">
        <v>50</v>
      </c>
      <c r="V720" t="s">
        <v>51</v>
      </c>
      <c r="W720" t="s">
        <v>52</v>
      </c>
      <c r="X720" t="s">
        <v>510</v>
      </c>
      <c r="Y720" t="s">
        <v>199</v>
      </c>
      <c r="Z720" t="s">
        <v>52</v>
      </c>
      <c r="AA720" t="s">
        <v>2506</v>
      </c>
      <c r="AB720" t="s">
        <v>3340</v>
      </c>
      <c r="AC720">
        <v>5</v>
      </c>
      <c r="AD720" t="s">
        <v>56</v>
      </c>
      <c r="AE720" t="s">
        <v>3336</v>
      </c>
      <c r="AF720" t="s">
        <v>164</v>
      </c>
      <c r="AG720" t="s">
        <v>85</v>
      </c>
      <c r="AH720" s="1">
        <v>45167</v>
      </c>
      <c r="AI720" s="1">
        <v>45174</v>
      </c>
      <c r="AJ720" s="1">
        <v>45177</v>
      </c>
      <c r="AK720" t="s">
        <v>3491</v>
      </c>
      <c r="AL720" t="s">
        <v>2505</v>
      </c>
    </row>
    <row r="721" spans="1:38" x14ac:dyDescent="0.35">
      <c r="A721" t="s">
        <v>2507</v>
      </c>
      <c r="B721" t="s">
        <v>264</v>
      </c>
      <c r="C721" t="s">
        <v>157</v>
      </c>
      <c r="D721" t="s">
        <v>432</v>
      </c>
      <c r="E721" t="s">
        <v>433</v>
      </c>
      <c r="F721" t="s">
        <v>146</v>
      </c>
      <c r="G721" t="s">
        <v>296</v>
      </c>
      <c r="H721">
        <v>5360</v>
      </c>
      <c r="I721">
        <f>Sales_Transactions_Raw[[#This Row],[Unit_Price]]*Sales_Transactions_Raw[[#This Row],[Quantity]]</f>
        <v>37520</v>
      </c>
      <c r="J721">
        <v>7</v>
      </c>
      <c r="K721">
        <v>0</v>
      </c>
      <c r="L721">
        <v>0</v>
      </c>
      <c r="M721">
        <v>37520</v>
      </c>
      <c r="N721">
        <v>12</v>
      </c>
      <c r="O721">
        <v>4502.3999999999996</v>
      </c>
      <c r="P721">
        <v>0</v>
      </c>
      <c r="Q721">
        <v>42022.400000000001</v>
      </c>
      <c r="R721" t="s">
        <v>124</v>
      </c>
      <c r="S721" t="s">
        <v>125</v>
      </c>
      <c r="T721" t="s">
        <v>136</v>
      </c>
      <c r="U721" t="s">
        <v>161</v>
      </c>
      <c r="V721" t="s">
        <v>287</v>
      </c>
      <c r="W721" t="s">
        <v>95</v>
      </c>
      <c r="X721" t="s">
        <v>117</v>
      </c>
      <c r="Y721" t="s">
        <v>118</v>
      </c>
      <c r="Z721" t="s">
        <v>70</v>
      </c>
      <c r="AA721" t="s">
        <v>2508</v>
      </c>
      <c r="AB721" t="s">
        <v>3335</v>
      </c>
      <c r="AC721">
        <v>4</v>
      </c>
      <c r="AD721" t="s">
        <v>56</v>
      </c>
      <c r="AE721" t="s">
        <v>3336</v>
      </c>
      <c r="AF721" t="s">
        <v>72</v>
      </c>
      <c r="AG721" t="s">
        <v>3337</v>
      </c>
      <c r="AH721" s="1">
        <v>45042</v>
      </c>
      <c r="AI721" s="1">
        <v>45044</v>
      </c>
      <c r="AJ721" s="1">
        <v>45051</v>
      </c>
      <c r="AK721" t="s">
        <v>3569</v>
      </c>
      <c r="AL721" t="s">
        <v>3746</v>
      </c>
    </row>
    <row r="722" spans="1:38" x14ac:dyDescent="0.35">
      <c r="A722" t="s">
        <v>2509</v>
      </c>
      <c r="B722" t="s">
        <v>2510</v>
      </c>
      <c r="C722" t="s">
        <v>43</v>
      </c>
      <c r="D722" t="s">
        <v>441</v>
      </c>
      <c r="E722" t="s">
        <v>442</v>
      </c>
      <c r="F722" t="s">
        <v>46</v>
      </c>
      <c r="G722" t="s">
        <v>369</v>
      </c>
      <c r="H722">
        <v>66320</v>
      </c>
      <c r="I722">
        <f>Sales_Transactions_Raw[[#This Row],[Unit_Price]]*Sales_Transactions_Raw[[#This Row],[Quantity]]</f>
        <v>66320</v>
      </c>
      <c r="J722">
        <v>1</v>
      </c>
      <c r="K722">
        <v>10</v>
      </c>
      <c r="L722">
        <v>6632</v>
      </c>
      <c r="M722">
        <v>59688</v>
      </c>
      <c r="N722">
        <v>18</v>
      </c>
      <c r="O722">
        <v>10743.84</v>
      </c>
      <c r="P722">
        <v>0</v>
      </c>
      <c r="Q722">
        <v>70431.839999999997</v>
      </c>
      <c r="R722" t="s">
        <v>106</v>
      </c>
      <c r="S722" t="s">
        <v>49</v>
      </c>
      <c r="T722" t="s">
        <v>115</v>
      </c>
      <c r="U722" t="s">
        <v>214</v>
      </c>
      <c r="V722" t="s">
        <v>51</v>
      </c>
      <c r="W722" t="s">
        <v>52</v>
      </c>
      <c r="X722" t="s">
        <v>288</v>
      </c>
      <c r="Y722" t="s">
        <v>289</v>
      </c>
      <c r="Z722" t="s">
        <v>52</v>
      </c>
      <c r="AA722" t="s">
        <v>2512</v>
      </c>
      <c r="AB722" t="s">
        <v>3340</v>
      </c>
      <c r="AC722">
        <v>3</v>
      </c>
      <c r="AD722" t="s">
        <v>56</v>
      </c>
      <c r="AE722" t="s">
        <v>3336</v>
      </c>
      <c r="AF722" t="s">
        <v>153</v>
      </c>
      <c r="AG722" t="s">
        <v>3342</v>
      </c>
      <c r="AH722" s="1">
        <v>45459</v>
      </c>
      <c r="AI722" s="1">
        <v>45460</v>
      </c>
      <c r="AJ722" s="1">
        <v>45470</v>
      </c>
      <c r="AK722" t="s">
        <v>3678</v>
      </c>
      <c r="AL722" t="s">
        <v>2511</v>
      </c>
    </row>
    <row r="723" spans="1:38" x14ac:dyDescent="0.35">
      <c r="A723" t="s">
        <v>2513</v>
      </c>
      <c r="B723" t="s">
        <v>748</v>
      </c>
      <c r="C723" t="s">
        <v>157</v>
      </c>
      <c r="D723" t="s">
        <v>132</v>
      </c>
      <c r="E723" t="s">
        <v>133</v>
      </c>
      <c r="F723" t="s">
        <v>134</v>
      </c>
      <c r="G723" t="s">
        <v>135</v>
      </c>
      <c r="H723">
        <v>2750</v>
      </c>
      <c r="I723">
        <f>Sales_Transactions_Raw[[#This Row],[Unit_Price]]*Sales_Transactions_Raw[[#This Row],[Quantity]]</f>
        <v>2750</v>
      </c>
      <c r="J723">
        <v>1</v>
      </c>
      <c r="K723">
        <v>0</v>
      </c>
      <c r="L723">
        <v>0</v>
      </c>
      <c r="M723">
        <v>2750</v>
      </c>
      <c r="N723">
        <v>5</v>
      </c>
      <c r="O723">
        <v>137.5</v>
      </c>
      <c r="P723">
        <v>79</v>
      </c>
      <c r="Q723">
        <v>2887.5</v>
      </c>
      <c r="R723" t="s">
        <v>48</v>
      </c>
      <c r="S723" t="s">
        <v>65</v>
      </c>
      <c r="T723" t="s">
        <v>115</v>
      </c>
      <c r="U723" t="s">
        <v>214</v>
      </c>
      <c r="V723" t="s">
        <v>80</v>
      </c>
      <c r="W723" t="s">
        <v>81</v>
      </c>
      <c r="X723" t="s">
        <v>126</v>
      </c>
      <c r="Y723" t="s">
        <v>127</v>
      </c>
      <c r="Z723" t="s">
        <v>68</v>
      </c>
      <c r="AA723" t="s">
        <v>2515</v>
      </c>
      <c r="AB723" t="s">
        <v>3343</v>
      </c>
      <c r="AC723">
        <v>4</v>
      </c>
      <c r="AD723" t="s">
        <v>56</v>
      </c>
      <c r="AE723" t="s">
        <v>3336</v>
      </c>
      <c r="AF723" t="s">
        <v>217</v>
      </c>
      <c r="AG723" t="s">
        <v>58</v>
      </c>
      <c r="AH723" s="1">
        <v>44934</v>
      </c>
      <c r="AI723" s="1">
        <v>44936</v>
      </c>
      <c r="AJ723" s="1">
        <v>44943</v>
      </c>
      <c r="AK723" t="s">
        <v>3453</v>
      </c>
      <c r="AL723" t="s">
        <v>2514</v>
      </c>
    </row>
    <row r="724" spans="1:38" x14ac:dyDescent="0.35">
      <c r="A724" t="s">
        <v>2364</v>
      </c>
      <c r="B724" t="s">
        <v>581</v>
      </c>
      <c r="C724" t="s">
        <v>43</v>
      </c>
      <c r="D724" t="s">
        <v>158</v>
      </c>
      <c r="E724" t="s">
        <v>159</v>
      </c>
      <c r="F724" t="s">
        <v>46</v>
      </c>
      <c r="G724" t="s">
        <v>105</v>
      </c>
      <c r="H724">
        <v>50670</v>
      </c>
      <c r="I724">
        <f>Sales_Transactions_Raw[[#This Row],[Unit_Price]]*Sales_Transactions_Raw[[#This Row],[Quantity]]</f>
        <v>304020</v>
      </c>
      <c r="J724">
        <v>6</v>
      </c>
      <c r="K724">
        <v>10</v>
      </c>
      <c r="L724">
        <v>30402</v>
      </c>
      <c r="M724">
        <v>273618</v>
      </c>
      <c r="N724">
        <v>18</v>
      </c>
      <c r="O724">
        <v>49251.24</v>
      </c>
      <c r="P724">
        <v>0</v>
      </c>
      <c r="Q724">
        <v>322869.24</v>
      </c>
      <c r="R724" t="s">
        <v>64</v>
      </c>
      <c r="S724" t="s">
        <v>65</v>
      </c>
      <c r="T724" t="s">
        <v>115</v>
      </c>
      <c r="U724" t="s">
        <v>108</v>
      </c>
      <c r="V724" t="s">
        <v>224</v>
      </c>
      <c r="W724" t="s">
        <v>95</v>
      </c>
      <c r="X724" t="s">
        <v>137</v>
      </c>
      <c r="Y724" t="s">
        <v>138</v>
      </c>
      <c r="Z724" t="s">
        <v>81</v>
      </c>
      <c r="AA724" t="s">
        <v>2517</v>
      </c>
      <c r="AB724" t="s">
        <v>3335</v>
      </c>
      <c r="AC724">
        <v>5</v>
      </c>
      <c r="AD724" t="s">
        <v>56</v>
      </c>
      <c r="AE724" t="s">
        <v>3336</v>
      </c>
      <c r="AF724" t="s">
        <v>153</v>
      </c>
      <c r="AG724" t="s">
        <v>85</v>
      </c>
      <c r="AH724" s="1">
        <v>45387</v>
      </c>
      <c r="AI724" s="1">
        <v>45391</v>
      </c>
      <c r="AJ724" s="1">
        <v>45397</v>
      </c>
      <c r="AK724" t="s">
        <v>3637</v>
      </c>
      <c r="AL724" t="s">
        <v>2516</v>
      </c>
    </row>
    <row r="725" spans="1:38" x14ac:dyDescent="0.35">
      <c r="A725" t="s">
        <v>2518</v>
      </c>
      <c r="B725" t="s">
        <v>508</v>
      </c>
      <c r="C725" t="s">
        <v>43</v>
      </c>
      <c r="D725" t="s">
        <v>294</v>
      </c>
      <c r="E725" t="s">
        <v>295</v>
      </c>
      <c r="F725" t="s">
        <v>146</v>
      </c>
      <c r="G725" t="s">
        <v>296</v>
      </c>
      <c r="H725">
        <v>13870</v>
      </c>
      <c r="I725">
        <f>Sales_Transactions_Raw[[#This Row],[Unit_Price]]*Sales_Transactions_Raw[[#This Row],[Quantity]]</f>
        <v>69350</v>
      </c>
      <c r="J725">
        <v>5</v>
      </c>
      <c r="K725">
        <v>5</v>
      </c>
      <c r="L725">
        <v>3467.5</v>
      </c>
      <c r="M725">
        <v>65882.5</v>
      </c>
      <c r="N725">
        <v>12</v>
      </c>
      <c r="O725">
        <v>7905.9</v>
      </c>
      <c r="P725">
        <v>0</v>
      </c>
      <c r="Q725">
        <v>73788.399999999994</v>
      </c>
      <c r="R725" t="s">
        <v>124</v>
      </c>
      <c r="S725" t="s">
        <v>49</v>
      </c>
      <c r="T725" t="s">
        <v>115</v>
      </c>
      <c r="U725" t="s">
        <v>108</v>
      </c>
      <c r="V725" t="s">
        <v>224</v>
      </c>
      <c r="W725" t="s">
        <v>95</v>
      </c>
      <c r="X725" t="s">
        <v>486</v>
      </c>
      <c r="Y725" t="s">
        <v>138</v>
      </c>
      <c r="Z725" t="s">
        <v>81</v>
      </c>
      <c r="AA725" t="s">
        <v>2520</v>
      </c>
      <c r="AB725" t="s">
        <v>3343</v>
      </c>
      <c r="AC725">
        <v>5</v>
      </c>
      <c r="AD725" t="s">
        <v>56</v>
      </c>
      <c r="AE725" t="s">
        <v>3336</v>
      </c>
      <c r="AF725" t="s">
        <v>262</v>
      </c>
      <c r="AG725" t="s">
        <v>3337</v>
      </c>
      <c r="AH725" s="1">
        <v>45329</v>
      </c>
      <c r="AI725" s="1">
        <v>45332</v>
      </c>
      <c r="AJ725" s="1">
        <v>45342</v>
      </c>
      <c r="AK725" t="s">
        <v>3517</v>
      </c>
      <c r="AL725" t="s">
        <v>2519</v>
      </c>
    </row>
    <row r="726" spans="1:38" x14ac:dyDescent="0.35">
      <c r="A726" t="s">
        <v>2521</v>
      </c>
      <c r="B726" t="s">
        <v>264</v>
      </c>
      <c r="C726" t="s">
        <v>43</v>
      </c>
      <c r="D726" t="s">
        <v>495</v>
      </c>
      <c r="E726" t="s">
        <v>496</v>
      </c>
      <c r="F726" t="s">
        <v>134</v>
      </c>
      <c r="G726" t="s">
        <v>497</v>
      </c>
      <c r="H726">
        <v>33970</v>
      </c>
      <c r="I726">
        <f>Sales_Transactions_Raw[[#This Row],[Unit_Price]]*Sales_Transactions_Raw[[#This Row],[Quantity]]</f>
        <v>33970</v>
      </c>
      <c r="J726">
        <v>1</v>
      </c>
      <c r="K726">
        <v>10</v>
      </c>
      <c r="L726">
        <v>3397</v>
      </c>
      <c r="M726">
        <v>30573</v>
      </c>
      <c r="N726">
        <v>5</v>
      </c>
      <c r="O726">
        <v>1528.65</v>
      </c>
      <c r="P726">
        <v>0</v>
      </c>
      <c r="Q726">
        <v>32101.65</v>
      </c>
      <c r="R726" t="s">
        <v>92</v>
      </c>
      <c r="S726" t="s">
        <v>125</v>
      </c>
      <c r="T726" t="s">
        <v>66</v>
      </c>
      <c r="U726" t="s">
        <v>214</v>
      </c>
      <c r="V726" t="s">
        <v>116</v>
      </c>
      <c r="W726" t="s">
        <v>70</v>
      </c>
      <c r="X726" t="s">
        <v>422</v>
      </c>
      <c r="Y726" t="s">
        <v>319</v>
      </c>
      <c r="Z726" t="s">
        <v>95</v>
      </c>
      <c r="AA726" t="s">
        <v>2523</v>
      </c>
      <c r="AB726" t="s">
        <v>3338</v>
      </c>
      <c r="AC726">
        <v>3</v>
      </c>
      <c r="AD726" t="s">
        <v>56</v>
      </c>
      <c r="AE726" t="s">
        <v>3336</v>
      </c>
      <c r="AF726" t="s">
        <v>164</v>
      </c>
      <c r="AG726" t="s">
        <v>58</v>
      </c>
      <c r="AH726" s="1">
        <v>45421</v>
      </c>
      <c r="AI726" s="1">
        <v>45428</v>
      </c>
      <c r="AJ726" s="1">
        <v>45437</v>
      </c>
      <c r="AK726" t="s">
        <v>3679</v>
      </c>
      <c r="AL726" t="s">
        <v>2522</v>
      </c>
    </row>
    <row r="727" spans="1:38" x14ac:dyDescent="0.35">
      <c r="A727" t="s">
        <v>2524</v>
      </c>
      <c r="B727" t="s">
        <v>472</v>
      </c>
      <c r="C727" t="s">
        <v>43</v>
      </c>
      <c r="D727" t="s">
        <v>274</v>
      </c>
      <c r="E727" t="s">
        <v>275</v>
      </c>
      <c r="F727" t="s">
        <v>211</v>
      </c>
      <c r="G727" t="s">
        <v>268</v>
      </c>
      <c r="H727">
        <v>14120</v>
      </c>
      <c r="I727">
        <f>Sales_Transactions_Raw[[#This Row],[Unit_Price]]*Sales_Transactions_Raw[[#This Row],[Quantity]]</f>
        <v>14120</v>
      </c>
      <c r="J727">
        <v>1</v>
      </c>
      <c r="K727">
        <v>5</v>
      </c>
      <c r="L727">
        <v>706</v>
      </c>
      <c r="M727">
        <v>13414</v>
      </c>
      <c r="N727">
        <v>5</v>
      </c>
      <c r="O727">
        <v>670.7</v>
      </c>
      <c r="P727">
        <v>0</v>
      </c>
      <c r="Q727">
        <v>14084.7</v>
      </c>
      <c r="R727" t="s">
        <v>48</v>
      </c>
      <c r="S727" t="s">
        <v>125</v>
      </c>
      <c r="T727" t="s">
        <v>66</v>
      </c>
      <c r="U727" t="s">
        <v>161</v>
      </c>
      <c r="V727" t="s">
        <v>51</v>
      </c>
      <c r="W727" t="s">
        <v>52</v>
      </c>
      <c r="X727" t="s">
        <v>225</v>
      </c>
      <c r="Y727" t="s">
        <v>226</v>
      </c>
      <c r="Z727" t="s">
        <v>95</v>
      </c>
      <c r="AA727" t="s">
        <v>2526</v>
      </c>
      <c r="AB727" t="s">
        <v>3335</v>
      </c>
      <c r="AC727">
        <v>3</v>
      </c>
      <c r="AD727" t="s">
        <v>56</v>
      </c>
      <c r="AE727" t="s">
        <v>3336</v>
      </c>
      <c r="AF727" t="s">
        <v>227</v>
      </c>
      <c r="AG727" t="s">
        <v>58</v>
      </c>
      <c r="AH727" s="1">
        <v>45468</v>
      </c>
      <c r="AI727" s="1">
        <v>45471</v>
      </c>
      <c r="AJ727" s="1">
        <v>45479</v>
      </c>
      <c r="AK727" t="s">
        <v>3508</v>
      </c>
      <c r="AL727" t="s">
        <v>2525</v>
      </c>
    </row>
    <row r="728" spans="1:38" x14ac:dyDescent="0.35">
      <c r="A728" t="s">
        <v>2527</v>
      </c>
      <c r="B728" t="s">
        <v>554</v>
      </c>
      <c r="C728" t="s">
        <v>43</v>
      </c>
      <c r="D728" t="s">
        <v>132</v>
      </c>
      <c r="E728" t="s">
        <v>133</v>
      </c>
      <c r="F728" t="s">
        <v>134</v>
      </c>
      <c r="G728" t="s">
        <v>135</v>
      </c>
      <c r="H728">
        <v>2740</v>
      </c>
      <c r="I728">
        <f>Sales_Transactions_Raw[[#This Row],[Unit_Price]]*Sales_Transactions_Raw[[#This Row],[Quantity]]</f>
        <v>2740</v>
      </c>
      <c r="J728">
        <v>1</v>
      </c>
      <c r="K728">
        <v>15</v>
      </c>
      <c r="L728">
        <v>411</v>
      </c>
      <c r="M728">
        <v>2329</v>
      </c>
      <c r="N728">
        <v>5</v>
      </c>
      <c r="O728">
        <v>116.45</v>
      </c>
      <c r="P728">
        <v>49</v>
      </c>
      <c r="Q728">
        <v>2445.4499999999998</v>
      </c>
      <c r="R728" t="s">
        <v>64</v>
      </c>
      <c r="S728" t="s">
        <v>125</v>
      </c>
      <c r="T728" t="s">
        <v>66</v>
      </c>
      <c r="U728" t="s">
        <v>214</v>
      </c>
      <c r="V728" t="s">
        <v>51</v>
      </c>
      <c r="W728" t="s">
        <v>52</v>
      </c>
      <c r="X728" t="s">
        <v>117</v>
      </c>
      <c r="Y728" t="s">
        <v>118</v>
      </c>
      <c r="Z728" t="s">
        <v>70</v>
      </c>
      <c r="AA728" t="s">
        <v>2529</v>
      </c>
      <c r="AB728" t="s">
        <v>3338</v>
      </c>
      <c r="AC728">
        <v>5</v>
      </c>
      <c r="AD728" t="s">
        <v>56</v>
      </c>
      <c r="AE728" t="s">
        <v>3336</v>
      </c>
      <c r="AF728" t="s">
        <v>279</v>
      </c>
      <c r="AG728" t="s">
        <v>3337</v>
      </c>
      <c r="AH728" s="1">
        <v>45126</v>
      </c>
      <c r="AI728" s="1">
        <v>45129</v>
      </c>
      <c r="AJ728" s="1">
        <v>45138</v>
      </c>
      <c r="AK728" t="s">
        <v>3412</v>
      </c>
      <c r="AL728" t="s">
        <v>2528</v>
      </c>
    </row>
    <row r="729" spans="1:38" x14ac:dyDescent="0.35">
      <c r="A729" t="s">
        <v>2530</v>
      </c>
      <c r="B729" t="s">
        <v>1296</v>
      </c>
      <c r="C729" t="s">
        <v>43</v>
      </c>
      <c r="D729" t="s">
        <v>630</v>
      </c>
      <c r="E729" t="s">
        <v>450</v>
      </c>
      <c r="F729" t="s">
        <v>134</v>
      </c>
      <c r="G729" t="s">
        <v>497</v>
      </c>
      <c r="H729">
        <v>45070</v>
      </c>
      <c r="I729">
        <f>Sales_Transactions_Raw[[#This Row],[Unit_Price]]*Sales_Transactions_Raw[[#This Row],[Quantity]]</f>
        <v>135210</v>
      </c>
      <c r="J729">
        <v>3</v>
      </c>
      <c r="K729">
        <v>0</v>
      </c>
      <c r="L729">
        <v>0</v>
      </c>
      <c r="M729">
        <v>135210</v>
      </c>
      <c r="N729">
        <v>5</v>
      </c>
      <c r="O729">
        <v>6760.5</v>
      </c>
      <c r="P729">
        <v>0</v>
      </c>
      <c r="Q729">
        <v>141970.5</v>
      </c>
      <c r="R729" t="s">
        <v>124</v>
      </c>
      <c r="S729" t="s">
        <v>125</v>
      </c>
      <c r="T729" t="s">
        <v>115</v>
      </c>
      <c r="U729" t="s">
        <v>108</v>
      </c>
      <c r="V729" t="s">
        <v>224</v>
      </c>
      <c r="W729" t="s">
        <v>95</v>
      </c>
      <c r="X729" t="s">
        <v>578</v>
      </c>
      <c r="Y729" t="s">
        <v>54</v>
      </c>
      <c r="Z729" t="s">
        <v>70</v>
      </c>
      <c r="AA729" t="s">
        <v>2532</v>
      </c>
      <c r="AB729" t="s">
        <v>3338</v>
      </c>
      <c r="AC729">
        <v>3</v>
      </c>
      <c r="AD729" t="s">
        <v>56</v>
      </c>
      <c r="AE729" t="s">
        <v>3336</v>
      </c>
      <c r="AF729" t="s">
        <v>99</v>
      </c>
      <c r="AG729" t="s">
        <v>58</v>
      </c>
      <c r="AH729" s="1">
        <v>45467</v>
      </c>
      <c r="AI729" s="1">
        <v>45471</v>
      </c>
      <c r="AJ729" s="1">
        <v>45478</v>
      </c>
      <c r="AK729" t="s">
        <v>3590</v>
      </c>
      <c r="AL729" t="s">
        <v>2531</v>
      </c>
    </row>
    <row r="730" spans="1:38" x14ac:dyDescent="0.35">
      <c r="A730" t="s">
        <v>2533</v>
      </c>
      <c r="B730" t="s">
        <v>41</v>
      </c>
      <c r="C730" t="s">
        <v>131</v>
      </c>
      <c r="D730" t="s">
        <v>704</v>
      </c>
      <c r="E730" t="s">
        <v>705</v>
      </c>
      <c r="F730" t="s">
        <v>285</v>
      </c>
      <c r="G730" t="s">
        <v>706</v>
      </c>
      <c r="H730">
        <v>290</v>
      </c>
      <c r="I730">
        <f>Sales_Transactions_Raw[[#This Row],[Unit_Price]]*Sales_Transactions_Raw[[#This Row],[Quantity]]</f>
        <v>1740</v>
      </c>
      <c r="J730">
        <v>6</v>
      </c>
      <c r="K730">
        <v>0</v>
      </c>
      <c r="L730">
        <v>0</v>
      </c>
      <c r="M730">
        <v>1740</v>
      </c>
      <c r="N730">
        <v>5</v>
      </c>
      <c r="O730">
        <v>87</v>
      </c>
      <c r="P730">
        <v>149</v>
      </c>
      <c r="Q730">
        <v>1827</v>
      </c>
      <c r="R730" t="s">
        <v>160</v>
      </c>
      <c r="S730" t="s">
        <v>65</v>
      </c>
      <c r="T730" t="s">
        <v>213</v>
      </c>
      <c r="U730" t="s">
        <v>214</v>
      </c>
      <c r="V730" t="s">
        <v>276</v>
      </c>
      <c r="W730" t="s">
        <v>95</v>
      </c>
      <c r="X730" t="s">
        <v>556</v>
      </c>
      <c r="Y730" t="s">
        <v>481</v>
      </c>
      <c r="Z730" t="s">
        <v>52</v>
      </c>
      <c r="AA730" t="s">
        <v>2535</v>
      </c>
      <c r="AB730" t="s">
        <v>3340</v>
      </c>
      <c r="AC730">
        <v>4</v>
      </c>
      <c r="AD730" t="s">
        <v>179</v>
      </c>
      <c r="AE730" t="s">
        <v>3336</v>
      </c>
      <c r="AF730" t="s">
        <v>140</v>
      </c>
      <c r="AG730" t="s">
        <v>3337</v>
      </c>
      <c r="AH730" s="1">
        <v>45043</v>
      </c>
      <c r="AI730" s="1">
        <v>45049</v>
      </c>
      <c r="AJ730" s="1">
        <v>45051</v>
      </c>
      <c r="AK730" t="s">
        <v>3345</v>
      </c>
      <c r="AL730" t="s">
        <v>2534</v>
      </c>
    </row>
    <row r="731" spans="1:38" x14ac:dyDescent="0.35">
      <c r="A731" t="s">
        <v>2536</v>
      </c>
      <c r="B731" t="s">
        <v>691</v>
      </c>
      <c r="C731" t="s">
        <v>89</v>
      </c>
      <c r="D731" t="s">
        <v>62</v>
      </c>
      <c r="E731" t="s">
        <v>45</v>
      </c>
      <c r="F731" t="s">
        <v>46</v>
      </c>
      <c r="G731" t="s">
        <v>63</v>
      </c>
      <c r="H731">
        <v>60960</v>
      </c>
      <c r="I731">
        <f>Sales_Transactions_Raw[[#This Row],[Unit_Price]]*Sales_Transactions_Raw[[#This Row],[Quantity]]</f>
        <v>121920</v>
      </c>
      <c r="J731">
        <v>2</v>
      </c>
      <c r="K731">
        <v>5</v>
      </c>
      <c r="L731">
        <v>6096</v>
      </c>
      <c r="M731">
        <v>115824</v>
      </c>
      <c r="N731">
        <v>18</v>
      </c>
      <c r="O731">
        <v>20848.32</v>
      </c>
      <c r="P731">
        <v>0</v>
      </c>
      <c r="Q731">
        <v>136672.32000000001</v>
      </c>
      <c r="R731" t="s">
        <v>64</v>
      </c>
      <c r="S731" t="s">
        <v>93</v>
      </c>
      <c r="T731" t="s">
        <v>66</v>
      </c>
      <c r="U731" t="s">
        <v>50</v>
      </c>
      <c r="V731" t="s">
        <v>149</v>
      </c>
      <c r="W731" t="s">
        <v>81</v>
      </c>
      <c r="X731" t="s">
        <v>96</v>
      </c>
      <c r="Y731" t="s">
        <v>97</v>
      </c>
      <c r="Z731" t="s">
        <v>95</v>
      </c>
      <c r="AA731" t="s">
        <v>2538</v>
      </c>
      <c r="AB731" t="s">
        <v>3338</v>
      </c>
      <c r="AC731">
        <v>4</v>
      </c>
      <c r="AD731" t="s">
        <v>56</v>
      </c>
      <c r="AE731" t="s">
        <v>3336</v>
      </c>
      <c r="AF731" t="s">
        <v>279</v>
      </c>
      <c r="AG731" t="s">
        <v>3337</v>
      </c>
      <c r="AH731" s="1">
        <v>45229</v>
      </c>
      <c r="AI731" s="1">
        <v>45231</v>
      </c>
      <c r="AJ731" s="1">
        <v>45238</v>
      </c>
      <c r="AK731" t="s">
        <v>3641</v>
      </c>
      <c r="AL731" t="s">
        <v>2537</v>
      </c>
    </row>
    <row r="732" spans="1:38" x14ac:dyDescent="0.35">
      <c r="A732" t="s">
        <v>2539</v>
      </c>
      <c r="B732" t="s">
        <v>543</v>
      </c>
      <c r="C732" t="s">
        <v>43</v>
      </c>
      <c r="D732" t="s">
        <v>193</v>
      </c>
      <c r="E732" t="s">
        <v>194</v>
      </c>
      <c r="F732" t="s">
        <v>146</v>
      </c>
      <c r="G732" t="s">
        <v>195</v>
      </c>
      <c r="H732">
        <v>3170</v>
      </c>
      <c r="I732">
        <f>Sales_Transactions_Raw[[#This Row],[Unit_Price]]*Sales_Transactions_Raw[[#This Row],[Quantity]]</f>
        <v>3170</v>
      </c>
      <c r="J732">
        <v>1</v>
      </c>
      <c r="K732">
        <v>0</v>
      </c>
      <c r="L732">
        <v>0</v>
      </c>
      <c r="M732">
        <v>3170</v>
      </c>
      <c r="N732">
        <v>12</v>
      </c>
      <c r="O732">
        <v>380.4</v>
      </c>
      <c r="P732">
        <v>99</v>
      </c>
      <c r="Q732">
        <v>3550.4</v>
      </c>
      <c r="R732" t="s">
        <v>79</v>
      </c>
      <c r="S732" t="s">
        <v>65</v>
      </c>
      <c r="T732" t="s">
        <v>66</v>
      </c>
      <c r="U732" t="s">
        <v>196</v>
      </c>
      <c r="V732" t="s">
        <v>242</v>
      </c>
      <c r="W732" t="s">
        <v>70</v>
      </c>
      <c r="X732" t="s">
        <v>215</v>
      </c>
      <c r="Y732" t="s">
        <v>169</v>
      </c>
      <c r="Z732" t="s">
        <v>95</v>
      </c>
      <c r="AA732" t="s">
        <v>2541</v>
      </c>
      <c r="AB732" t="s">
        <v>3335</v>
      </c>
      <c r="AC732">
        <v>4</v>
      </c>
      <c r="AD732" t="s">
        <v>56</v>
      </c>
      <c r="AE732" t="s">
        <v>3336</v>
      </c>
      <c r="AF732" t="s">
        <v>84</v>
      </c>
      <c r="AG732" t="s">
        <v>58</v>
      </c>
      <c r="AH732" s="1">
        <v>45407</v>
      </c>
      <c r="AI732" s="1">
        <v>45413</v>
      </c>
      <c r="AJ732" s="1">
        <v>45238</v>
      </c>
      <c r="AK732" t="s">
        <v>3506</v>
      </c>
      <c r="AL732" t="s">
        <v>2540</v>
      </c>
    </row>
    <row r="733" spans="1:38" x14ac:dyDescent="0.35">
      <c r="A733" t="s">
        <v>2542</v>
      </c>
      <c r="B733" t="s">
        <v>549</v>
      </c>
      <c r="C733" t="s">
        <v>89</v>
      </c>
      <c r="D733" t="s">
        <v>426</v>
      </c>
      <c r="E733" t="s">
        <v>427</v>
      </c>
      <c r="F733" t="s">
        <v>134</v>
      </c>
      <c r="G733" t="s">
        <v>305</v>
      </c>
      <c r="H733">
        <v>48610</v>
      </c>
      <c r="I733">
        <f>Sales_Transactions_Raw[[#This Row],[Unit_Price]]*Sales_Transactions_Raw[[#This Row],[Quantity]]</f>
        <v>243050</v>
      </c>
      <c r="J733">
        <v>5</v>
      </c>
      <c r="K733">
        <v>5</v>
      </c>
      <c r="L733">
        <v>12152.5</v>
      </c>
      <c r="M733">
        <v>230897.5</v>
      </c>
      <c r="N733">
        <v>5</v>
      </c>
      <c r="O733">
        <v>11544.88</v>
      </c>
      <c r="P733">
        <v>0</v>
      </c>
      <c r="Q733">
        <v>242442.38</v>
      </c>
      <c r="R733" t="s">
        <v>160</v>
      </c>
      <c r="S733" t="s">
        <v>125</v>
      </c>
      <c r="T733" t="s">
        <v>115</v>
      </c>
      <c r="U733" t="s">
        <v>50</v>
      </c>
      <c r="V733" t="s">
        <v>67</v>
      </c>
      <c r="W733" t="s">
        <v>68</v>
      </c>
      <c r="X733" t="s">
        <v>611</v>
      </c>
      <c r="Y733" t="s">
        <v>97</v>
      </c>
      <c r="Z733" t="s">
        <v>95</v>
      </c>
      <c r="AA733" t="s">
        <v>2544</v>
      </c>
      <c r="AB733" t="s">
        <v>3335</v>
      </c>
      <c r="AC733">
        <v>4</v>
      </c>
      <c r="AD733" t="s">
        <v>56</v>
      </c>
      <c r="AE733" t="s">
        <v>3336</v>
      </c>
      <c r="AF733" t="s">
        <v>279</v>
      </c>
      <c r="AG733" t="s">
        <v>85</v>
      </c>
      <c r="AH733" s="1">
        <v>45219</v>
      </c>
      <c r="AI733" s="1">
        <v>45220</v>
      </c>
      <c r="AJ733" s="1">
        <v>45230</v>
      </c>
      <c r="AK733" t="s">
        <v>3542</v>
      </c>
      <c r="AL733" t="s">
        <v>2543</v>
      </c>
    </row>
    <row r="734" spans="1:38" x14ac:dyDescent="0.35">
      <c r="A734" t="s">
        <v>2545</v>
      </c>
      <c r="B734" t="s">
        <v>240</v>
      </c>
      <c r="C734" t="s">
        <v>43</v>
      </c>
      <c r="D734" t="s">
        <v>90</v>
      </c>
      <c r="E734" t="s">
        <v>91</v>
      </c>
      <c r="F734" t="s">
        <v>46</v>
      </c>
      <c r="G734" t="s">
        <v>78</v>
      </c>
      <c r="H734">
        <v>102480</v>
      </c>
      <c r="I734">
        <f>Sales_Transactions_Raw[[#This Row],[Unit_Price]]*Sales_Transactions_Raw[[#This Row],[Quantity]]</f>
        <v>512400</v>
      </c>
      <c r="J734">
        <v>5</v>
      </c>
      <c r="K734">
        <v>5</v>
      </c>
      <c r="L734">
        <v>25620</v>
      </c>
      <c r="M734">
        <v>486780</v>
      </c>
      <c r="N734">
        <v>18</v>
      </c>
      <c r="O734">
        <v>87620.4</v>
      </c>
      <c r="P734">
        <v>0</v>
      </c>
      <c r="Q734">
        <v>574400.4</v>
      </c>
      <c r="R734" t="s">
        <v>106</v>
      </c>
      <c r="S734" t="s">
        <v>107</v>
      </c>
      <c r="T734" t="s">
        <v>115</v>
      </c>
      <c r="U734" t="s">
        <v>161</v>
      </c>
      <c r="V734" t="s">
        <v>242</v>
      </c>
      <c r="W734" t="s">
        <v>70</v>
      </c>
      <c r="X734" t="s">
        <v>215</v>
      </c>
      <c r="Y734" t="s">
        <v>169</v>
      </c>
      <c r="Z734" t="s">
        <v>95</v>
      </c>
      <c r="AA734" t="s">
        <v>2547</v>
      </c>
      <c r="AB734" t="s">
        <v>3335</v>
      </c>
      <c r="AC734">
        <v>1</v>
      </c>
      <c r="AD734" t="s">
        <v>56</v>
      </c>
      <c r="AE734" t="s">
        <v>3336</v>
      </c>
      <c r="AF734" t="s">
        <v>227</v>
      </c>
      <c r="AG734" t="s">
        <v>85</v>
      </c>
      <c r="AH734" s="1">
        <v>45106</v>
      </c>
      <c r="AI734" s="1">
        <v>45111</v>
      </c>
      <c r="AJ734" s="1">
        <v>45117</v>
      </c>
      <c r="AK734" t="s">
        <v>3680</v>
      </c>
      <c r="AL734" t="s">
        <v>2546</v>
      </c>
    </row>
    <row r="735" spans="1:38" x14ac:dyDescent="0.35">
      <c r="A735" t="s">
        <v>2548</v>
      </c>
      <c r="B735" t="s">
        <v>613</v>
      </c>
      <c r="C735" t="s">
        <v>157</v>
      </c>
      <c r="D735" t="s">
        <v>132</v>
      </c>
      <c r="E735" t="s">
        <v>133</v>
      </c>
      <c r="F735" t="s">
        <v>134</v>
      </c>
      <c r="G735" t="s">
        <v>135</v>
      </c>
      <c r="H735">
        <v>2600</v>
      </c>
      <c r="I735">
        <f>Sales_Transactions_Raw[[#This Row],[Unit_Price]]*Sales_Transactions_Raw[[#This Row],[Quantity]]</f>
        <v>2600</v>
      </c>
      <c r="J735">
        <v>1</v>
      </c>
      <c r="K735">
        <v>5</v>
      </c>
      <c r="L735">
        <v>130</v>
      </c>
      <c r="M735">
        <v>2470</v>
      </c>
      <c r="N735">
        <v>5</v>
      </c>
      <c r="O735">
        <v>123.5</v>
      </c>
      <c r="P735">
        <v>49</v>
      </c>
      <c r="Q735">
        <v>2593.5</v>
      </c>
      <c r="R735" t="s">
        <v>48</v>
      </c>
      <c r="S735" t="s">
        <v>49</v>
      </c>
      <c r="T735" t="s">
        <v>115</v>
      </c>
      <c r="U735" t="s">
        <v>196</v>
      </c>
      <c r="V735" t="s">
        <v>177</v>
      </c>
      <c r="W735" t="s">
        <v>81</v>
      </c>
      <c r="X735" t="s">
        <v>393</v>
      </c>
      <c r="Y735" t="s">
        <v>393</v>
      </c>
      <c r="Z735" t="s">
        <v>70</v>
      </c>
      <c r="AA735" t="s">
        <v>2550</v>
      </c>
      <c r="AB735" t="s">
        <v>3335</v>
      </c>
      <c r="AC735">
        <v>4</v>
      </c>
      <c r="AD735" t="s">
        <v>56</v>
      </c>
      <c r="AE735" t="s">
        <v>3336</v>
      </c>
      <c r="AF735" t="s">
        <v>227</v>
      </c>
      <c r="AG735" t="s">
        <v>85</v>
      </c>
      <c r="AH735" s="1">
        <v>45060</v>
      </c>
      <c r="AI735" s="1">
        <v>45066</v>
      </c>
      <c r="AJ735" s="1">
        <v>45074</v>
      </c>
      <c r="AK735" t="s">
        <v>3423</v>
      </c>
      <c r="AL735" t="s">
        <v>2549</v>
      </c>
    </row>
    <row r="736" spans="1:38" x14ac:dyDescent="0.35">
      <c r="A736" t="s">
        <v>2551</v>
      </c>
      <c r="B736" t="s">
        <v>219</v>
      </c>
      <c r="C736" t="s">
        <v>157</v>
      </c>
      <c r="D736" t="s">
        <v>266</v>
      </c>
      <c r="E736" t="s">
        <v>267</v>
      </c>
      <c r="F736" t="s">
        <v>211</v>
      </c>
      <c r="G736" t="s">
        <v>268</v>
      </c>
      <c r="H736">
        <v>51020</v>
      </c>
      <c r="I736">
        <f>Sales_Transactions_Raw[[#This Row],[Unit_Price]]*Sales_Transactions_Raw[[#This Row],[Quantity]]</f>
        <v>153060</v>
      </c>
      <c r="J736">
        <v>3</v>
      </c>
      <c r="K736">
        <v>0</v>
      </c>
      <c r="L736">
        <v>0</v>
      </c>
      <c r="M736">
        <v>153060</v>
      </c>
      <c r="N736">
        <v>5</v>
      </c>
      <c r="O736">
        <v>7653</v>
      </c>
      <c r="P736">
        <v>0</v>
      </c>
      <c r="Q736">
        <v>160713</v>
      </c>
      <c r="R736" t="s">
        <v>79</v>
      </c>
      <c r="S736" t="s">
        <v>107</v>
      </c>
      <c r="T736" t="s">
        <v>213</v>
      </c>
      <c r="U736" t="s">
        <v>214</v>
      </c>
      <c r="V736" t="s">
        <v>224</v>
      </c>
      <c r="W736" t="s">
        <v>95</v>
      </c>
      <c r="X736" t="s">
        <v>137</v>
      </c>
      <c r="Y736" t="s">
        <v>138</v>
      </c>
      <c r="Z736" t="s">
        <v>81</v>
      </c>
      <c r="AA736" t="s">
        <v>2553</v>
      </c>
      <c r="AB736" t="s">
        <v>3335</v>
      </c>
      <c r="AC736">
        <v>4</v>
      </c>
      <c r="AD736" t="s">
        <v>179</v>
      </c>
      <c r="AE736" t="s">
        <v>3336</v>
      </c>
      <c r="AF736" t="s">
        <v>326</v>
      </c>
      <c r="AG736" t="s">
        <v>58</v>
      </c>
      <c r="AH736" s="1">
        <v>45130</v>
      </c>
      <c r="AI736" s="1">
        <v>45131</v>
      </c>
      <c r="AJ736" s="1">
        <v>45136</v>
      </c>
      <c r="AK736" t="s">
        <v>3361</v>
      </c>
      <c r="AL736" t="s">
        <v>2552</v>
      </c>
    </row>
    <row r="737" spans="1:38" x14ac:dyDescent="0.35">
      <c r="A737" t="s">
        <v>2554</v>
      </c>
      <c r="B737" t="s">
        <v>365</v>
      </c>
      <c r="C737" t="s">
        <v>43</v>
      </c>
      <c r="D737" t="s">
        <v>283</v>
      </c>
      <c r="E737" t="s">
        <v>284</v>
      </c>
      <c r="F737" t="s">
        <v>285</v>
      </c>
      <c r="G737" t="s">
        <v>286</v>
      </c>
      <c r="H737">
        <v>480</v>
      </c>
      <c r="I737">
        <f>Sales_Transactions_Raw[[#This Row],[Unit_Price]]*Sales_Transactions_Raw[[#This Row],[Quantity]]</f>
        <v>1920</v>
      </c>
      <c r="J737">
        <v>4</v>
      </c>
      <c r="K737">
        <v>5</v>
      </c>
      <c r="L737">
        <v>96</v>
      </c>
      <c r="M737">
        <v>1824</v>
      </c>
      <c r="N737">
        <v>5</v>
      </c>
      <c r="O737">
        <v>91.2</v>
      </c>
      <c r="P737">
        <v>99</v>
      </c>
      <c r="Q737">
        <v>1915.2</v>
      </c>
      <c r="R737" t="s">
        <v>106</v>
      </c>
      <c r="S737" t="s">
        <v>65</v>
      </c>
      <c r="T737" t="s">
        <v>115</v>
      </c>
      <c r="U737" t="s">
        <v>161</v>
      </c>
      <c r="V737" t="s">
        <v>51</v>
      </c>
      <c r="W737" t="s">
        <v>52</v>
      </c>
      <c r="X737" t="s">
        <v>260</v>
      </c>
      <c r="Y737" t="s">
        <v>118</v>
      </c>
      <c r="Z737" t="s">
        <v>70</v>
      </c>
      <c r="AA737" t="s">
        <v>2556</v>
      </c>
      <c r="AB737" t="s">
        <v>3339</v>
      </c>
      <c r="AC737">
        <v>4</v>
      </c>
      <c r="AD737" t="s">
        <v>56</v>
      </c>
      <c r="AE737" t="s">
        <v>3336</v>
      </c>
      <c r="AF737" t="s">
        <v>217</v>
      </c>
      <c r="AG737" t="s">
        <v>111</v>
      </c>
      <c r="AH737" s="1">
        <v>45182</v>
      </c>
      <c r="AI737" s="1">
        <v>45184</v>
      </c>
      <c r="AJ737" s="1">
        <v>45187</v>
      </c>
      <c r="AK737" t="s">
        <v>3681</v>
      </c>
      <c r="AL737" t="s">
        <v>2555</v>
      </c>
    </row>
    <row r="738" spans="1:38" x14ac:dyDescent="0.35">
      <c r="A738" t="s">
        <v>2557</v>
      </c>
      <c r="B738" t="s">
        <v>687</v>
      </c>
      <c r="C738" t="s">
        <v>43</v>
      </c>
      <c r="D738" t="s">
        <v>90</v>
      </c>
      <c r="E738" t="s">
        <v>91</v>
      </c>
      <c r="F738" t="s">
        <v>46</v>
      </c>
      <c r="G738" t="s">
        <v>78</v>
      </c>
      <c r="H738">
        <v>89840</v>
      </c>
      <c r="I738">
        <f>Sales_Transactions_Raw[[#This Row],[Unit_Price]]*Sales_Transactions_Raw[[#This Row],[Quantity]]</f>
        <v>449200</v>
      </c>
      <c r="J738">
        <v>5</v>
      </c>
      <c r="K738">
        <v>10</v>
      </c>
      <c r="L738">
        <v>44920</v>
      </c>
      <c r="M738">
        <v>404280</v>
      </c>
      <c r="N738">
        <v>18</v>
      </c>
      <c r="O738">
        <v>72770.399999999994</v>
      </c>
      <c r="P738">
        <v>0</v>
      </c>
      <c r="Q738">
        <v>477050.4</v>
      </c>
      <c r="R738" t="s">
        <v>160</v>
      </c>
      <c r="S738" t="s">
        <v>107</v>
      </c>
      <c r="T738" t="s">
        <v>115</v>
      </c>
      <c r="U738" t="s">
        <v>50</v>
      </c>
      <c r="V738" t="s">
        <v>149</v>
      </c>
      <c r="W738" t="s">
        <v>81</v>
      </c>
      <c r="X738" t="s">
        <v>69</v>
      </c>
      <c r="Y738" t="s">
        <v>54</v>
      </c>
      <c r="Z738" t="s">
        <v>70</v>
      </c>
      <c r="AA738" t="s">
        <v>2559</v>
      </c>
      <c r="AB738" t="s">
        <v>3340</v>
      </c>
      <c r="AC738">
        <v>4</v>
      </c>
      <c r="AD738" t="s">
        <v>56</v>
      </c>
      <c r="AE738" t="s">
        <v>3336</v>
      </c>
      <c r="AF738" t="s">
        <v>84</v>
      </c>
      <c r="AG738" t="s">
        <v>3342</v>
      </c>
      <c r="AH738" s="1">
        <v>45296</v>
      </c>
      <c r="AI738" s="1">
        <v>45301</v>
      </c>
      <c r="AJ738" s="1">
        <v>45306</v>
      </c>
      <c r="AK738" t="s">
        <v>3439</v>
      </c>
      <c r="AL738" t="s">
        <v>2558</v>
      </c>
    </row>
    <row r="739" spans="1:38" x14ac:dyDescent="0.35">
      <c r="A739" t="s">
        <v>2560</v>
      </c>
      <c r="B739" t="s">
        <v>2135</v>
      </c>
      <c r="C739" t="s">
        <v>43</v>
      </c>
      <c r="D739" t="s">
        <v>432</v>
      </c>
      <c r="E739" t="s">
        <v>433</v>
      </c>
      <c r="F739" t="s">
        <v>146</v>
      </c>
      <c r="G739" t="s">
        <v>296</v>
      </c>
      <c r="H739">
        <v>29347.846790890268</v>
      </c>
      <c r="I739">
        <f>Sales_Transactions_Raw[[#This Row],[Unit_Price]]*Sales_Transactions_Raw[[#This Row],[Quantity]]</f>
        <v>117391.38716356107</v>
      </c>
      <c r="J739">
        <v>4</v>
      </c>
      <c r="K739">
        <v>20</v>
      </c>
      <c r="L739">
        <v>3920</v>
      </c>
      <c r="M739">
        <v>15680</v>
      </c>
      <c r="N739">
        <v>12</v>
      </c>
      <c r="O739">
        <v>1881.6</v>
      </c>
      <c r="P739">
        <v>0</v>
      </c>
      <c r="Q739">
        <v>17561.599999999999</v>
      </c>
      <c r="R739" t="s">
        <v>160</v>
      </c>
      <c r="S739" t="s">
        <v>49</v>
      </c>
      <c r="T739" t="s">
        <v>66</v>
      </c>
      <c r="U739" t="s">
        <v>161</v>
      </c>
      <c r="V739" t="s">
        <v>269</v>
      </c>
      <c r="W739" t="s">
        <v>70</v>
      </c>
      <c r="X739" t="s">
        <v>277</v>
      </c>
      <c r="Y739" t="s">
        <v>127</v>
      </c>
      <c r="Z739" t="s">
        <v>68</v>
      </c>
      <c r="AA739" t="s">
        <v>2561</v>
      </c>
      <c r="AB739" t="s">
        <v>3335</v>
      </c>
      <c r="AC739">
        <v>4</v>
      </c>
      <c r="AD739" t="s">
        <v>56</v>
      </c>
      <c r="AE739" t="s">
        <v>3336</v>
      </c>
      <c r="AF739" t="s">
        <v>164</v>
      </c>
      <c r="AG739" t="s">
        <v>3337</v>
      </c>
      <c r="AH739" s="1">
        <v>45281</v>
      </c>
      <c r="AI739" s="1">
        <v>45288</v>
      </c>
      <c r="AJ739" s="1">
        <v>45290</v>
      </c>
      <c r="AK739" t="s">
        <v>3682</v>
      </c>
      <c r="AL739" t="s">
        <v>3747</v>
      </c>
    </row>
    <row r="740" spans="1:38" x14ac:dyDescent="0.35">
      <c r="A740" t="s">
        <v>2562</v>
      </c>
      <c r="B740" t="s">
        <v>1000</v>
      </c>
      <c r="C740" t="s">
        <v>89</v>
      </c>
      <c r="D740" t="s">
        <v>317</v>
      </c>
      <c r="E740" t="s">
        <v>77</v>
      </c>
      <c r="F740" t="s">
        <v>46</v>
      </c>
      <c r="G740" t="s">
        <v>176</v>
      </c>
      <c r="H740">
        <v>29290</v>
      </c>
      <c r="I740">
        <f>Sales_Transactions_Raw[[#This Row],[Unit_Price]]*Sales_Transactions_Raw[[#This Row],[Quantity]]</f>
        <v>29290</v>
      </c>
      <c r="J740">
        <v>1</v>
      </c>
      <c r="K740">
        <v>0</v>
      </c>
      <c r="L740">
        <v>0</v>
      </c>
      <c r="M740">
        <v>29290</v>
      </c>
      <c r="N740">
        <v>18</v>
      </c>
      <c r="O740">
        <v>5272.2</v>
      </c>
      <c r="P740">
        <v>0</v>
      </c>
      <c r="Q740">
        <v>34562.199999999997</v>
      </c>
      <c r="R740" t="s">
        <v>124</v>
      </c>
      <c r="S740" t="s">
        <v>107</v>
      </c>
      <c r="T740" t="s">
        <v>213</v>
      </c>
      <c r="U740" t="s">
        <v>50</v>
      </c>
      <c r="V740" t="s">
        <v>197</v>
      </c>
      <c r="W740" t="s">
        <v>68</v>
      </c>
      <c r="X740" t="s">
        <v>260</v>
      </c>
      <c r="Y740" t="s">
        <v>118</v>
      </c>
      <c r="Z740" t="s">
        <v>70</v>
      </c>
      <c r="AA740" t="s">
        <v>2564</v>
      </c>
      <c r="AB740" t="s">
        <v>3340</v>
      </c>
      <c r="AC740">
        <v>3</v>
      </c>
      <c r="AD740" t="s">
        <v>179</v>
      </c>
      <c r="AE740" t="s">
        <v>3336</v>
      </c>
      <c r="AF740" t="s">
        <v>326</v>
      </c>
      <c r="AG740" t="s">
        <v>111</v>
      </c>
      <c r="AH740" s="1">
        <v>45336</v>
      </c>
      <c r="AI740" s="1">
        <v>45340</v>
      </c>
      <c r="AJ740" s="1">
        <v>45350</v>
      </c>
      <c r="AK740" t="s">
        <v>3507</v>
      </c>
      <c r="AL740" t="s">
        <v>2563</v>
      </c>
    </row>
    <row r="741" spans="1:38" x14ac:dyDescent="0.35">
      <c r="A741" t="s">
        <v>2565</v>
      </c>
      <c r="B741" t="s">
        <v>472</v>
      </c>
      <c r="C741" t="s">
        <v>43</v>
      </c>
      <c r="D741" t="s">
        <v>345</v>
      </c>
      <c r="E741" t="s">
        <v>346</v>
      </c>
      <c r="F741" t="s">
        <v>46</v>
      </c>
      <c r="G741" t="s">
        <v>63</v>
      </c>
      <c r="H741">
        <v>129780</v>
      </c>
      <c r="I741">
        <f>Sales_Transactions_Raw[[#This Row],[Unit_Price]]*Sales_Transactions_Raw[[#This Row],[Quantity]]</f>
        <v>259560</v>
      </c>
      <c r="J741">
        <v>2</v>
      </c>
      <c r="K741">
        <v>5</v>
      </c>
      <c r="L741">
        <v>12978</v>
      </c>
      <c r="M741">
        <v>246582</v>
      </c>
      <c r="N741">
        <v>18</v>
      </c>
      <c r="O741">
        <v>44384.76</v>
      </c>
      <c r="P741">
        <v>0</v>
      </c>
      <c r="Q741">
        <v>290966.76</v>
      </c>
      <c r="R741" t="s">
        <v>64</v>
      </c>
      <c r="S741" t="s">
        <v>93</v>
      </c>
      <c r="T741" t="s">
        <v>148</v>
      </c>
      <c r="U741" t="s">
        <v>50</v>
      </c>
      <c r="V741" t="s">
        <v>80</v>
      </c>
      <c r="W741" t="s">
        <v>81</v>
      </c>
      <c r="X741" t="s">
        <v>556</v>
      </c>
      <c r="Y741" t="s">
        <v>481</v>
      </c>
      <c r="Z741" t="s">
        <v>52</v>
      </c>
      <c r="AA741" t="s">
        <v>2567</v>
      </c>
      <c r="AB741" t="s">
        <v>3335</v>
      </c>
      <c r="AC741">
        <v>4</v>
      </c>
      <c r="AD741" t="s">
        <v>56</v>
      </c>
      <c r="AE741" t="s">
        <v>3336</v>
      </c>
      <c r="AF741" t="s">
        <v>227</v>
      </c>
      <c r="AG741" t="s">
        <v>58</v>
      </c>
      <c r="AH741" s="1">
        <v>45010</v>
      </c>
      <c r="AI741" s="1">
        <v>45012</v>
      </c>
      <c r="AJ741" s="1">
        <v>45020</v>
      </c>
      <c r="AK741" t="s">
        <v>3397</v>
      </c>
      <c r="AL741" t="s">
        <v>2566</v>
      </c>
    </row>
    <row r="742" spans="1:38" x14ac:dyDescent="0.35">
      <c r="A742" t="s">
        <v>2568</v>
      </c>
      <c r="B742" t="s">
        <v>264</v>
      </c>
      <c r="C742" t="s">
        <v>43</v>
      </c>
      <c r="D742" t="s">
        <v>103</v>
      </c>
      <c r="E742" t="s">
        <v>104</v>
      </c>
      <c r="F742" t="s">
        <v>46</v>
      </c>
      <c r="G742" t="s">
        <v>105</v>
      </c>
      <c r="H742">
        <v>36740</v>
      </c>
      <c r="I742">
        <f>Sales_Transactions_Raw[[#This Row],[Unit_Price]]*Sales_Transactions_Raw[[#This Row],[Quantity]]</f>
        <v>73480</v>
      </c>
      <c r="J742">
        <v>2</v>
      </c>
      <c r="K742">
        <v>0</v>
      </c>
      <c r="L742">
        <v>0</v>
      </c>
      <c r="M742">
        <v>73480</v>
      </c>
      <c r="N742">
        <v>18</v>
      </c>
      <c r="O742">
        <v>13226.4</v>
      </c>
      <c r="P742">
        <v>0</v>
      </c>
      <c r="Q742">
        <v>86706.4</v>
      </c>
      <c r="R742" t="s">
        <v>48</v>
      </c>
      <c r="S742" t="s">
        <v>49</v>
      </c>
      <c r="T742" t="s">
        <v>136</v>
      </c>
      <c r="U742" t="s">
        <v>108</v>
      </c>
      <c r="V742" t="s">
        <v>224</v>
      </c>
      <c r="W742" t="s">
        <v>95</v>
      </c>
      <c r="X742" t="s">
        <v>474</v>
      </c>
      <c r="Y742" t="s">
        <v>169</v>
      </c>
      <c r="Z742" t="s">
        <v>95</v>
      </c>
      <c r="AA742" t="s">
        <v>2570</v>
      </c>
      <c r="AB742" t="s">
        <v>3335</v>
      </c>
      <c r="AC742">
        <v>4</v>
      </c>
      <c r="AD742" t="s">
        <v>56</v>
      </c>
      <c r="AE742" t="s">
        <v>3336</v>
      </c>
      <c r="AF742" t="s">
        <v>227</v>
      </c>
      <c r="AG742" t="s">
        <v>58</v>
      </c>
      <c r="AH742" s="1">
        <v>44944</v>
      </c>
      <c r="AI742" s="1">
        <v>44951</v>
      </c>
      <c r="AJ742" s="1">
        <v>44961</v>
      </c>
      <c r="AK742" t="s">
        <v>3367</v>
      </c>
      <c r="AL742" t="s">
        <v>2569</v>
      </c>
    </row>
    <row r="743" spans="1:38" x14ac:dyDescent="0.35">
      <c r="A743" t="s">
        <v>2571</v>
      </c>
      <c r="B743" t="s">
        <v>202</v>
      </c>
      <c r="C743" t="s">
        <v>89</v>
      </c>
      <c r="D743" t="s">
        <v>76</v>
      </c>
      <c r="E743" t="s">
        <v>77</v>
      </c>
      <c r="F743" t="s">
        <v>46</v>
      </c>
      <c r="G743" t="s">
        <v>78</v>
      </c>
      <c r="H743">
        <v>81780</v>
      </c>
      <c r="I743">
        <f>Sales_Transactions_Raw[[#This Row],[Unit_Price]]*Sales_Transactions_Raw[[#This Row],[Quantity]]</f>
        <v>327120</v>
      </c>
      <c r="J743">
        <v>4</v>
      </c>
      <c r="K743">
        <v>5</v>
      </c>
      <c r="L743">
        <v>16356</v>
      </c>
      <c r="M743">
        <v>310764</v>
      </c>
      <c r="N743">
        <v>18</v>
      </c>
      <c r="O743">
        <v>55937.52</v>
      </c>
      <c r="P743">
        <v>0</v>
      </c>
      <c r="Q743">
        <v>366701.52</v>
      </c>
      <c r="R743" t="s">
        <v>124</v>
      </c>
      <c r="S743" t="s">
        <v>49</v>
      </c>
      <c r="T743" t="s">
        <v>66</v>
      </c>
      <c r="U743" t="s">
        <v>108</v>
      </c>
      <c r="V743" t="s">
        <v>51</v>
      </c>
      <c r="W743" t="s">
        <v>52</v>
      </c>
      <c r="X743" t="s">
        <v>551</v>
      </c>
      <c r="Y743" t="s">
        <v>138</v>
      </c>
      <c r="Z743" t="s">
        <v>81</v>
      </c>
      <c r="AA743" t="s">
        <v>2573</v>
      </c>
      <c r="AB743" t="s">
        <v>3335</v>
      </c>
      <c r="AC743">
        <v>3</v>
      </c>
      <c r="AD743" t="s">
        <v>56</v>
      </c>
      <c r="AE743" t="s">
        <v>3336</v>
      </c>
      <c r="AF743" t="s">
        <v>99</v>
      </c>
      <c r="AG743" t="s">
        <v>3342</v>
      </c>
      <c r="AH743" s="1">
        <v>45017</v>
      </c>
      <c r="AI743" s="1">
        <v>45200</v>
      </c>
      <c r="AJ743" s="1">
        <v>44944</v>
      </c>
      <c r="AK743" t="s">
        <v>3683</v>
      </c>
      <c r="AL743" t="s">
        <v>2572</v>
      </c>
    </row>
    <row r="744" spans="1:38" x14ac:dyDescent="0.35">
      <c r="A744" t="s">
        <v>2574</v>
      </c>
      <c r="B744" t="s">
        <v>842</v>
      </c>
      <c r="C744" t="s">
        <v>157</v>
      </c>
      <c r="D744" t="s">
        <v>209</v>
      </c>
      <c r="E744" t="s">
        <v>210</v>
      </c>
      <c r="F744" t="s">
        <v>211</v>
      </c>
      <c r="G744" t="s">
        <v>212</v>
      </c>
      <c r="H744">
        <v>4280</v>
      </c>
      <c r="I744">
        <f>Sales_Transactions_Raw[[#This Row],[Unit_Price]]*Sales_Transactions_Raw[[#This Row],[Quantity]]</f>
        <v>12840</v>
      </c>
      <c r="J744">
        <v>3</v>
      </c>
      <c r="K744">
        <v>15</v>
      </c>
      <c r="L744">
        <v>1926</v>
      </c>
      <c r="M744">
        <v>10914</v>
      </c>
      <c r="N744">
        <v>5</v>
      </c>
      <c r="O744">
        <v>545.70000000000005</v>
      </c>
      <c r="P744">
        <v>0</v>
      </c>
      <c r="Q744">
        <v>11459.7</v>
      </c>
      <c r="R744" t="s">
        <v>48</v>
      </c>
      <c r="S744" t="s">
        <v>125</v>
      </c>
      <c r="T744" t="s">
        <v>66</v>
      </c>
      <c r="U744" t="s">
        <v>196</v>
      </c>
      <c r="V744" t="s">
        <v>287</v>
      </c>
      <c r="W744" t="s">
        <v>95</v>
      </c>
      <c r="X744" t="s">
        <v>443</v>
      </c>
      <c r="Y744" t="s">
        <v>97</v>
      </c>
      <c r="Z744" t="s">
        <v>95</v>
      </c>
      <c r="AA744" t="s">
        <v>2576</v>
      </c>
      <c r="AB744" t="s">
        <v>3343</v>
      </c>
      <c r="AC744">
        <v>5</v>
      </c>
      <c r="AD744" t="s">
        <v>56</v>
      </c>
      <c r="AE744" t="s">
        <v>3336</v>
      </c>
      <c r="AF744" t="s">
        <v>84</v>
      </c>
      <c r="AG744" t="s">
        <v>111</v>
      </c>
      <c r="AH744" s="1">
        <v>45157</v>
      </c>
      <c r="AI744" s="1">
        <v>45161</v>
      </c>
      <c r="AJ744" s="1">
        <v>45168</v>
      </c>
      <c r="AK744" t="s">
        <v>3684</v>
      </c>
      <c r="AL744" t="s">
        <v>2575</v>
      </c>
    </row>
    <row r="745" spans="1:38" x14ac:dyDescent="0.35">
      <c r="A745" t="s">
        <v>2577</v>
      </c>
      <c r="B745" t="s">
        <v>478</v>
      </c>
      <c r="C745" t="s">
        <v>157</v>
      </c>
      <c r="D745" t="s">
        <v>630</v>
      </c>
      <c r="E745" t="s">
        <v>450</v>
      </c>
      <c r="F745" t="s">
        <v>134</v>
      </c>
      <c r="G745" t="s">
        <v>497</v>
      </c>
      <c r="H745">
        <v>46050</v>
      </c>
      <c r="I745">
        <f>Sales_Transactions_Raw[[#This Row],[Unit_Price]]*Sales_Transactions_Raw[[#This Row],[Quantity]]</f>
        <v>138150</v>
      </c>
      <c r="J745">
        <v>3</v>
      </c>
      <c r="K745">
        <v>15</v>
      </c>
      <c r="L745">
        <v>20722.5</v>
      </c>
      <c r="M745">
        <v>117427.5</v>
      </c>
      <c r="N745">
        <v>5</v>
      </c>
      <c r="O745">
        <v>5871.38</v>
      </c>
      <c r="P745">
        <v>0</v>
      </c>
      <c r="Q745">
        <v>123298.88</v>
      </c>
      <c r="R745" t="s">
        <v>92</v>
      </c>
      <c r="S745" t="s">
        <v>93</v>
      </c>
      <c r="T745" t="s">
        <v>115</v>
      </c>
      <c r="U745" t="s">
        <v>161</v>
      </c>
      <c r="V745" t="s">
        <v>177</v>
      </c>
      <c r="W745" t="s">
        <v>81</v>
      </c>
      <c r="X745" t="s">
        <v>469</v>
      </c>
      <c r="Y745" t="s">
        <v>244</v>
      </c>
      <c r="Z745" t="s">
        <v>70</v>
      </c>
      <c r="AA745" t="s">
        <v>2579</v>
      </c>
      <c r="AB745" t="s">
        <v>3344</v>
      </c>
      <c r="AC745">
        <v>4</v>
      </c>
      <c r="AD745" t="s">
        <v>56</v>
      </c>
      <c r="AE745" t="s">
        <v>3336</v>
      </c>
      <c r="AF745" t="s">
        <v>227</v>
      </c>
      <c r="AG745" t="s">
        <v>3342</v>
      </c>
      <c r="AH745" s="1">
        <v>45405</v>
      </c>
      <c r="AI745" s="1">
        <v>45409</v>
      </c>
      <c r="AJ745" s="1">
        <v>45418</v>
      </c>
      <c r="AK745" t="s">
        <v>3398</v>
      </c>
      <c r="AL745" t="s">
        <v>2578</v>
      </c>
    </row>
    <row r="746" spans="1:38" x14ac:dyDescent="0.35">
      <c r="A746" t="s">
        <v>2580</v>
      </c>
      <c r="B746" t="s">
        <v>41</v>
      </c>
      <c r="C746" t="s">
        <v>43</v>
      </c>
      <c r="D746" t="s">
        <v>441</v>
      </c>
      <c r="E746" t="s">
        <v>442</v>
      </c>
      <c r="F746" t="s">
        <v>46</v>
      </c>
      <c r="G746" t="s">
        <v>369</v>
      </c>
      <c r="H746">
        <v>67550</v>
      </c>
      <c r="I746">
        <f>Sales_Transactions_Raw[[#This Row],[Unit_Price]]*Sales_Transactions_Raw[[#This Row],[Quantity]]</f>
        <v>270200</v>
      </c>
      <c r="J746">
        <v>4</v>
      </c>
      <c r="K746">
        <v>10</v>
      </c>
      <c r="L746">
        <v>27020</v>
      </c>
      <c r="M746">
        <v>243180</v>
      </c>
      <c r="N746">
        <v>18</v>
      </c>
      <c r="O746">
        <v>43772.4</v>
      </c>
      <c r="P746">
        <v>0</v>
      </c>
      <c r="Q746">
        <v>286952.40000000002</v>
      </c>
      <c r="R746" t="s">
        <v>48</v>
      </c>
      <c r="S746" t="s">
        <v>107</v>
      </c>
      <c r="T746" t="s">
        <v>115</v>
      </c>
      <c r="U746" t="s">
        <v>196</v>
      </c>
      <c r="V746" t="s">
        <v>242</v>
      </c>
      <c r="W746" t="s">
        <v>70</v>
      </c>
      <c r="X746" t="s">
        <v>370</v>
      </c>
      <c r="Y746" t="s">
        <v>151</v>
      </c>
      <c r="Z746" t="s">
        <v>81</v>
      </c>
      <c r="AB746" t="s">
        <v>3335</v>
      </c>
      <c r="AC746">
        <v>4</v>
      </c>
      <c r="AD746" t="s">
        <v>56</v>
      </c>
      <c r="AE746" t="s">
        <v>3336</v>
      </c>
      <c r="AF746" t="s">
        <v>279</v>
      </c>
      <c r="AG746" t="s">
        <v>3337</v>
      </c>
      <c r="AH746" s="1">
        <v>45019</v>
      </c>
      <c r="AI746" s="1">
        <v>45025</v>
      </c>
      <c r="AJ746" s="1">
        <v>45032</v>
      </c>
      <c r="AK746" t="s">
        <v>3685</v>
      </c>
      <c r="AL746" t="s">
        <v>2581</v>
      </c>
    </row>
    <row r="747" spans="1:38" x14ac:dyDescent="0.35">
      <c r="A747" t="s">
        <v>2582</v>
      </c>
      <c r="B747" t="s">
        <v>772</v>
      </c>
      <c r="C747" t="s">
        <v>89</v>
      </c>
      <c r="D747" t="s">
        <v>90</v>
      </c>
      <c r="E747" t="s">
        <v>91</v>
      </c>
      <c r="F747" t="s">
        <v>46</v>
      </c>
      <c r="G747" t="s">
        <v>78</v>
      </c>
      <c r="H747">
        <v>102400</v>
      </c>
      <c r="I747">
        <f>Sales_Transactions_Raw[[#This Row],[Unit_Price]]*Sales_Transactions_Raw[[#This Row],[Quantity]]</f>
        <v>307200</v>
      </c>
      <c r="J747">
        <v>3</v>
      </c>
      <c r="K747">
        <v>5</v>
      </c>
      <c r="L747">
        <v>15360</v>
      </c>
      <c r="M747">
        <v>291840</v>
      </c>
      <c r="N747">
        <v>18</v>
      </c>
      <c r="O747">
        <v>52531.199999999997</v>
      </c>
      <c r="P747">
        <v>0</v>
      </c>
      <c r="Q747">
        <v>344371.20000000001</v>
      </c>
      <c r="R747" t="s">
        <v>79</v>
      </c>
      <c r="S747" t="s">
        <v>93</v>
      </c>
      <c r="T747" t="s">
        <v>115</v>
      </c>
      <c r="U747" t="s">
        <v>108</v>
      </c>
      <c r="V747" t="s">
        <v>51</v>
      </c>
      <c r="W747" t="s">
        <v>52</v>
      </c>
      <c r="X747" t="s">
        <v>137</v>
      </c>
      <c r="Y747" t="s">
        <v>138</v>
      </c>
      <c r="Z747" t="s">
        <v>81</v>
      </c>
      <c r="AA747" t="s">
        <v>2584</v>
      </c>
      <c r="AB747" t="s">
        <v>3335</v>
      </c>
      <c r="AC747">
        <v>4</v>
      </c>
      <c r="AD747" t="s">
        <v>56</v>
      </c>
      <c r="AE747" t="s">
        <v>3336</v>
      </c>
      <c r="AF747" t="s">
        <v>84</v>
      </c>
      <c r="AG747" t="s">
        <v>445</v>
      </c>
      <c r="AH747" s="1">
        <v>45381</v>
      </c>
      <c r="AI747" s="1">
        <v>45383</v>
      </c>
      <c r="AJ747" s="1">
        <v>45389</v>
      </c>
      <c r="AK747" t="s">
        <v>3686</v>
      </c>
      <c r="AL747" t="s">
        <v>2583</v>
      </c>
    </row>
    <row r="748" spans="1:38" x14ac:dyDescent="0.35">
      <c r="A748" t="s">
        <v>2585</v>
      </c>
      <c r="B748" t="s">
        <v>301</v>
      </c>
      <c r="C748" t="s">
        <v>43</v>
      </c>
      <c r="D748" t="s">
        <v>90</v>
      </c>
      <c r="E748" t="s">
        <v>91</v>
      </c>
      <c r="F748" t="s">
        <v>46</v>
      </c>
      <c r="G748" t="s">
        <v>78</v>
      </c>
      <c r="H748">
        <v>89340</v>
      </c>
      <c r="I748">
        <f>Sales_Transactions_Raw[[#This Row],[Unit_Price]]*Sales_Transactions_Raw[[#This Row],[Quantity]]</f>
        <v>625380</v>
      </c>
      <c r="J748">
        <v>7</v>
      </c>
      <c r="K748">
        <v>0</v>
      </c>
      <c r="L748">
        <v>0</v>
      </c>
      <c r="M748">
        <v>625380</v>
      </c>
      <c r="N748">
        <v>18</v>
      </c>
      <c r="O748">
        <v>112568.4</v>
      </c>
      <c r="P748">
        <v>0</v>
      </c>
      <c r="Q748">
        <v>737948.4</v>
      </c>
      <c r="R748" t="s">
        <v>160</v>
      </c>
      <c r="S748" t="s">
        <v>65</v>
      </c>
      <c r="T748" t="s">
        <v>115</v>
      </c>
      <c r="U748" t="s">
        <v>108</v>
      </c>
      <c r="V748" t="s">
        <v>51</v>
      </c>
      <c r="W748" t="s">
        <v>52</v>
      </c>
      <c r="X748" t="s">
        <v>422</v>
      </c>
      <c r="Y748" t="s">
        <v>319</v>
      </c>
      <c r="Z748" t="s">
        <v>95</v>
      </c>
      <c r="AA748" t="s">
        <v>2587</v>
      </c>
      <c r="AB748" t="s">
        <v>3335</v>
      </c>
      <c r="AC748">
        <v>3</v>
      </c>
      <c r="AD748" t="s">
        <v>56</v>
      </c>
      <c r="AE748" t="s">
        <v>3336</v>
      </c>
      <c r="AF748" t="s">
        <v>164</v>
      </c>
      <c r="AG748" t="s">
        <v>58</v>
      </c>
      <c r="AH748" s="1">
        <v>45023</v>
      </c>
      <c r="AI748" s="1">
        <v>45025</v>
      </c>
      <c r="AJ748" s="1">
        <v>45029</v>
      </c>
      <c r="AK748" t="s">
        <v>3597</v>
      </c>
      <c r="AL748" t="s">
        <v>2586</v>
      </c>
    </row>
    <row r="749" spans="1:38" x14ac:dyDescent="0.35">
      <c r="A749" t="s">
        <v>2588</v>
      </c>
      <c r="B749" t="s">
        <v>343</v>
      </c>
      <c r="C749" t="s">
        <v>89</v>
      </c>
      <c r="D749" t="s">
        <v>426</v>
      </c>
      <c r="E749" t="s">
        <v>427</v>
      </c>
      <c r="F749" t="s">
        <v>134</v>
      </c>
      <c r="G749" t="s">
        <v>305</v>
      </c>
      <c r="H749">
        <v>44900</v>
      </c>
      <c r="I749">
        <f>Sales_Transactions_Raw[[#This Row],[Unit_Price]]*Sales_Transactions_Raw[[#This Row],[Quantity]]</f>
        <v>404100</v>
      </c>
      <c r="J749">
        <v>9</v>
      </c>
      <c r="K749">
        <v>0</v>
      </c>
      <c r="L749">
        <v>0</v>
      </c>
      <c r="M749">
        <v>404100</v>
      </c>
      <c r="N749">
        <v>5</v>
      </c>
      <c r="O749">
        <v>20205</v>
      </c>
      <c r="P749">
        <v>0</v>
      </c>
      <c r="Q749">
        <v>424305</v>
      </c>
      <c r="R749" t="s">
        <v>64</v>
      </c>
      <c r="S749" t="s">
        <v>125</v>
      </c>
      <c r="T749" t="s">
        <v>66</v>
      </c>
      <c r="U749" t="s">
        <v>214</v>
      </c>
      <c r="V749" t="s">
        <v>116</v>
      </c>
      <c r="W749" t="s">
        <v>70</v>
      </c>
      <c r="X749" t="s">
        <v>340</v>
      </c>
      <c r="Y749" t="s">
        <v>169</v>
      </c>
      <c r="Z749" t="s">
        <v>95</v>
      </c>
      <c r="AA749" t="s">
        <v>2590</v>
      </c>
      <c r="AB749" t="s">
        <v>3344</v>
      </c>
      <c r="AC749">
        <v>4</v>
      </c>
      <c r="AD749" t="s">
        <v>56</v>
      </c>
      <c r="AE749" t="s">
        <v>3336</v>
      </c>
      <c r="AF749" t="s">
        <v>99</v>
      </c>
      <c r="AG749" t="s">
        <v>3342</v>
      </c>
      <c r="AH749" s="1">
        <v>45463</v>
      </c>
      <c r="AI749" s="1">
        <v>45465</v>
      </c>
      <c r="AJ749" s="1">
        <v>45029</v>
      </c>
      <c r="AK749" t="s">
        <v>3429</v>
      </c>
      <c r="AL749" t="s">
        <v>2589</v>
      </c>
    </row>
    <row r="750" spans="1:38" x14ac:dyDescent="0.35">
      <c r="A750" t="s">
        <v>2591</v>
      </c>
      <c r="B750" t="s">
        <v>1459</v>
      </c>
      <c r="C750" t="s">
        <v>43</v>
      </c>
      <c r="D750" t="s">
        <v>402</v>
      </c>
      <c r="E750" t="s">
        <v>403</v>
      </c>
      <c r="F750" t="s">
        <v>146</v>
      </c>
      <c r="G750" t="s">
        <v>223</v>
      </c>
      <c r="H750">
        <v>2030</v>
      </c>
      <c r="I750">
        <f>Sales_Transactions_Raw[[#This Row],[Unit_Price]]*Sales_Transactions_Raw[[#This Row],[Quantity]]</f>
        <v>2030</v>
      </c>
      <c r="J750">
        <v>1</v>
      </c>
      <c r="K750">
        <v>25</v>
      </c>
      <c r="L750">
        <v>507.5</v>
      </c>
      <c r="M750">
        <v>1522.5</v>
      </c>
      <c r="N750">
        <v>12</v>
      </c>
      <c r="O750">
        <v>182.7</v>
      </c>
      <c r="P750">
        <v>79</v>
      </c>
      <c r="Q750">
        <v>1705.2</v>
      </c>
      <c r="R750" t="s">
        <v>92</v>
      </c>
      <c r="S750" t="s">
        <v>125</v>
      </c>
      <c r="T750" t="s">
        <v>115</v>
      </c>
      <c r="U750" t="s">
        <v>214</v>
      </c>
      <c r="V750" t="s">
        <v>67</v>
      </c>
      <c r="W750" t="s">
        <v>68</v>
      </c>
      <c r="X750" t="s">
        <v>599</v>
      </c>
      <c r="Y750" t="s">
        <v>319</v>
      </c>
      <c r="Z750" t="s">
        <v>95</v>
      </c>
      <c r="AA750" t="s">
        <v>2593</v>
      </c>
      <c r="AB750" t="s">
        <v>3339</v>
      </c>
      <c r="AC750">
        <v>4</v>
      </c>
      <c r="AD750" t="s">
        <v>56</v>
      </c>
      <c r="AE750" t="s">
        <v>3336</v>
      </c>
      <c r="AF750" t="s">
        <v>217</v>
      </c>
      <c r="AG750" t="s">
        <v>3342</v>
      </c>
      <c r="AH750" s="1">
        <v>44999</v>
      </c>
      <c r="AI750" s="1">
        <v>45001</v>
      </c>
      <c r="AJ750" s="1">
        <v>45007</v>
      </c>
      <c r="AK750" t="s">
        <v>3687</v>
      </c>
      <c r="AL750" t="s">
        <v>2592</v>
      </c>
    </row>
    <row r="751" spans="1:38" x14ac:dyDescent="0.35">
      <c r="A751" t="s">
        <v>2594</v>
      </c>
      <c r="B751" t="s">
        <v>2595</v>
      </c>
      <c r="C751" t="s">
        <v>157</v>
      </c>
      <c r="D751" t="s">
        <v>375</v>
      </c>
      <c r="E751" t="s">
        <v>376</v>
      </c>
      <c r="F751" t="s">
        <v>146</v>
      </c>
      <c r="G751" t="s">
        <v>147</v>
      </c>
      <c r="H751">
        <v>8500</v>
      </c>
      <c r="I751">
        <f>Sales_Transactions_Raw[[#This Row],[Unit_Price]]*Sales_Transactions_Raw[[#This Row],[Quantity]]</f>
        <v>8500</v>
      </c>
      <c r="J751">
        <v>1</v>
      </c>
      <c r="K751">
        <v>25</v>
      </c>
      <c r="L751">
        <v>2125</v>
      </c>
      <c r="M751">
        <v>6375</v>
      </c>
      <c r="N751">
        <v>12</v>
      </c>
      <c r="O751">
        <v>765</v>
      </c>
      <c r="P751">
        <v>0</v>
      </c>
      <c r="Q751">
        <v>7140</v>
      </c>
      <c r="R751" t="s">
        <v>92</v>
      </c>
      <c r="S751" t="s">
        <v>93</v>
      </c>
      <c r="T751" t="s">
        <v>719</v>
      </c>
      <c r="U751" t="s">
        <v>196</v>
      </c>
      <c r="V751" t="s">
        <v>242</v>
      </c>
      <c r="W751" t="s">
        <v>70</v>
      </c>
      <c r="X751" t="s">
        <v>198</v>
      </c>
      <c r="Y751" t="s">
        <v>199</v>
      </c>
      <c r="Z751" t="s">
        <v>52</v>
      </c>
      <c r="AA751" t="s">
        <v>2597</v>
      </c>
      <c r="AB751" t="s">
        <v>3339</v>
      </c>
      <c r="AC751">
        <v>3</v>
      </c>
      <c r="AD751" t="s">
        <v>56</v>
      </c>
      <c r="AE751" t="s">
        <v>3336</v>
      </c>
      <c r="AF751" t="s">
        <v>326</v>
      </c>
      <c r="AG751" t="s">
        <v>85</v>
      </c>
      <c r="AH751" s="1">
        <v>45065</v>
      </c>
      <c r="AI751" s="1">
        <v>45072</v>
      </c>
      <c r="AJ751" s="1">
        <v>45074</v>
      </c>
      <c r="AK751" t="s">
        <v>3507</v>
      </c>
      <c r="AL751" t="s">
        <v>2596</v>
      </c>
    </row>
    <row r="752" spans="1:38" x14ac:dyDescent="0.35">
      <c r="A752" t="s">
        <v>2598</v>
      </c>
      <c r="B752" t="s">
        <v>142</v>
      </c>
      <c r="C752" t="s">
        <v>43</v>
      </c>
      <c r="D752" t="s">
        <v>144</v>
      </c>
      <c r="E752" t="s">
        <v>145</v>
      </c>
      <c r="F752" t="s">
        <v>146</v>
      </c>
      <c r="G752" t="s">
        <v>147</v>
      </c>
      <c r="H752">
        <v>2530</v>
      </c>
      <c r="I752">
        <f>Sales_Transactions_Raw[[#This Row],[Unit_Price]]*Sales_Transactions_Raw[[#This Row],[Quantity]]</f>
        <v>22770</v>
      </c>
      <c r="J752">
        <v>9</v>
      </c>
      <c r="K752">
        <v>0</v>
      </c>
      <c r="L752">
        <v>0</v>
      </c>
      <c r="M752">
        <v>22770</v>
      </c>
      <c r="N752">
        <v>12</v>
      </c>
      <c r="O752">
        <v>2732.4</v>
      </c>
      <c r="P752">
        <v>0</v>
      </c>
      <c r="Q752">
        <v>25502.400000000001</v>
      </c>
      <c r="R752" t="s">
        <v>160</v>
      </c>
      <c r="S752" t="s">
        <v>125</v>
      </c>
      <c r="T752" t="s">
        <v>115</v>
      </c>
      <c r="U752" t="s">
        <v>108</v>
      </c>
      <c r="V752" t="s">
        <v>67</v>
      </c>
      <c r="W752" t="s">
        <v>68</v>
      </c>
      <c r="X752" t="s">
        <v>362</v>
      </c>
      <c r="Y752" t="s">
        <v>118</v>
      </c>
      <c r="Z752" t="s">
        <v>70</v>
      </c>
      <c r="AA752" t="s">
        <v>2600</v>
      </c>
      <c r="AB752" t="s">
        <v>3340</v>
      </c>
      <c r="AC752">
        <v>5</v>
      </c>
      <c r="AD752" t="s">
        <v>56</v>
      </c>
      <c r="AE752" t="s">
        <v>3336</v>
      </c>
      <c r="AF752" t="s">
        <v>99</v>
      </c>
      <c r="AG752" t="s">
        <v>58</v>
      </c>
      <c r="AH752" s="1">
        <v>45257</v>
      </c>
      <c r="AI752" s="1">
        <v>45259</v>
      </c>
      <c r="AJ752" s="1">
        <v>45267</v>
      </c>
      <c r="AK752" t="s">
        <v>3447</v>
      </c>
      <c r="AL752" t="s">
        <v>2599</v>
      </c>
    </row>
    <row r="753" spans="1:38" x14ac:dyDescent="0.35">
      <c r="A753" t="s">
        <v>2601</v>
      </c>
      <c r="B753" t="s">
        <v>207</v>
      </c>
      <c r="C753" t="s">
        <v>89</v>
      </c>
      <c r="D753" t="s">
        <v>103</v>
      </c>
      <c r="E753" t="s">
        <v>104</v>
      </c>
      <c r="F753" t="s">
        <v>46</v>
      </c>
      <c r="G753" t="s">
        <v>105</v>
      </c>
      <c r="H753">
        <v>32970</v>
      </c>
      <c r="I753">
        <f>Sales_Transactions_Raw[[#This Row],[Unit_Price]]*Sales_Transactions_Raw[[#This Row],[Quantity]]</f>
        <v>230790</v>
      </c>
      <c r="J753">
        <v>7</v>
      </c>
      <c r="K753">
        <v>15</v>
      </c>
      <c r="L753">
        <v>34618.5</v>
      </c>
      <c r="M753">
        <v>196171.5</v>
      </c>
      <c r="N753">
        <v>18</v>
      </c>
      <c r="O753">
        <v>35310.870000000003</v>
      </c>
      <c r="P753">
        <v>0</v>
      </c>
      <c r="Q753">
        <v>231482.37</v>
      </c>
      <c r="R753" t="s">
        <v>92</v>
      </c>
      <c r="S753" t="s">
        <v>65</v>
      </c>
      <c r="T753" t="s">
        <v>115</v>
      </c>
      <c r="U753" t="s">
        <v>196</v>
      </c>
      <c r="V753" t="s">
        <v>197</v>
      </c>
      <c r="W753" t="s">
        <v>68</v>
      </c>
      <c r="X753" t="s">
        <v>578</v>
      </c>
      <c r="Y753" t="s">
        <v>54</v>
      </c>
      <c r="Z753" t="s">
        <v>70</v>
      </c>
      <c r="AA753" t="s">
        <v>2603</v>
      </c>
      <c r="AB753" t="s">
        <v>3344</v>
      </c>
      <c r="AC753">
        <v>4</v>
      </c>
      <c r="AD753" t="s">
        <v>56</v>
      </c>
      <c r="AE753" t="s">
        <v>3336</v>
      </c>
      <c r="AF753" t="s">
        <v>140</v>
      </c>
      <c r="AG753" t="s">
        <v>85</v>
      </c>
      <c r="AH753" s="1">
        <v>45081</v>
      </c>
      <c r="AI753" s="1">
        <v>45083</v>
      </c>
      <c r="AJ753" s="1">
        <v>45089</v>
      </c>
      <c r="AK753" t="s">
        <v>3360</v>
      </c>
      <c r="AL753" t="s">
        <v>2602</v>
      </c>
    </row>
    <row r="754" spans="1:38" x14ac:dyDescent="0.35">
      <c r="A754" t="s">
        <v>2604</v>
      </c>
      <c r="B754" t="s">
        <v>315</v>
      </c>
      <c r="C754" t="s">
        <v>43</v>
      </c>
      <c r="D754" t="s">
        <v>375</v>
      </c>
      <c r="E754" t="s">
        <v>376</v>
      </c>
      <c r="F754" t="s">
        <v>146</v>
      </c>
      <c r="G754" t="s">
        <v>147</v>
      </c>
      <c r="H754">
        <v>8550</v>
      </c>
      <c r="I754">
        <f>Sales_Transactions_Raw[[#This Row],[Unit_Price]]*Sales_Transactions_Raw[[#This Row],[Quantity]]</f>
        <v>171000</v>
      </c>
      <c r="J754">
        <v>20</v>
      </c>
      <c r="K754">
        <v>0</v>
      </c>
      <c r="L754">
        <v>0</v>
      </c>
      <c r="M754">
        <v>171000</v>
      </c>
      <c r="N754">
        <v>12</v>
      </c>
      <c r="O754">
        <v>20520</v>
      </c>
      <c r="P754">
        <v>0</v>
      </c>
      <c r="Q754">
        <v>191520</v>
      </c>
      <c r="R754" t="s">
        <v>48</v>
      </c>
      <c r="S754" t="s">
        <v>107</v>
      </c>
      <c r="T754" t="s">
        <v>66</v>
      </c>
      <c r="U754" t="s">
        <v>196</v>
      </c>
      <c r="V754" t="s">
        <v>269</v>
      </c>
      <c r="W754" t="s">
        <v>70</v>
      </c>
      <c r="X754" t="s">
        <v>277</v>
      </c>
      <c r="Y754" t="s">
        <v>127</v>
      </c>
      <c r="Z754" t="s">
        <v>68</v>
      </c>
      <c r="AA754" t="s">
        <v>2606</v>
      </c>
      <c r="AB754" t="s">
        <v>3340</v>
      </c>
      <c r="AC754">
        <v>5</v>
      </c>
      <c r="AD754" t="s">
        <v>56</v>
      </c>
      <c r="AE754" t="s">
        <v>3336</v>
      </c>
      <c r="AF754" t="s">
        <v>262</v>
      </c>
      <c r="AG754" t="s">
        <v>58</v>
      </c>
      <c r="AH754" s="1">
        <v>45116</v>
      </c>
      <c r="AI754" s="1">
        <v>45120</v>
      </c>
      <c r="AJ754" s="1">
        <v>45130</v>
      </c>
      <c r="AK754" t="s">
        <v>3373</v>
      </c>
      <c r="AL754" t="s">
        <v>2605</v>
      </c>
    </row>
    <row r="755" spans="1:38" x14ac:dyDescent="0.35">
      <c r="A755" t="s">
        <v>2607</v>
      </c>
      <c r="B755" t="s">
        <v>247</v>
      </c>
      <c r="C755" t="s">
        <v>43</v>
      </c>
      <c r="D755" t="s">
        <v>630</v>
      </c>
      <c r="E755" t="s">
        <v>450</v>
      </c>
      <c r="F755" t="s">
        <v>134</v>
      </c>
      <c r="G755" t="s">
        <v>497</v>
      </c>
      <c r="H755">
        <v>51470</v>
      </c>
      <c r="I755">
        <f>Sales_Transactions_Raw[[#This Row],[Unit_Price]]*Sales_Transactions_Raw[[#This Row],[Quantity]]</f>
        <v>257350</v>
      </c>
      <c r="J755">
        <v>5</v>
      </c>
      <c r="K755">
        <v>5</v>
      </c>
      <c r="L755">
        <v>12867.5</v>
      </c>
      <c r="M755">
        <v>244482.5</v>
      </c>
      <c r="N755">
        <v>5</v>
      </c>
      <c r="O755">
        <v>12224.12</v>
      </c>
      <c r="P755">
        <v>0</v>
      </c>
      <c r="Q755">
        <v>256706.62</v>
      </c>
      <c r="R755" t="s">
        <v>106</v>
      </c>
      <c r="S755" t="s">
        <v>107</v>
      </c>
      <c r="T755" t="s">
        <v>115</v>
      </c>
      <c r="U755" t="s">
        <v>50</v>
      </c>
      <c r="V755" t="s">
        <v>177</v>
      </c>
      <c r="W755" t="s">
        <v>81</v>
      </c>
      <c r="X755" t="s">
        <v>411</v>
      </c>
      <c r="Y755" t="s">
        <v>151</v>
      </c>
      <c r="Z755" t="s">
        <v>81</v>
      </c>
      <c r="AA755" t="s">
        <v>2609</v>
      </c>
      <c r="AB755" t="s">
        <v>3335</v>
      </c>
      <c r="AC755">
        <v>4</v>
      </c>
      <c r="AD755" t="s">
        <v>56</v>
      </c>
      <c r="AE755" t="s">
        <v>3336</v>
      </c>
      <c r="AF755" t="s">
        <v>140</v>
      </c>
      <c r="AG755" t="s">
        <v>58</v>
      </c>
      <c r="AH755" s="1">
        <v>44936</v>
      </c>
      <c r="AI755" s="1">
        <v>44939</v>
      </c>
      <c r="AJ755" s="1">
        <v>44948</v>
      </c>
      <c r="AK755" t="s">
        <v>3688</v>
      </c>
      <c r="AL755" t="s">
        <v>2608</v>
      </c>
    </row>
    <row r="756" spans="1:38" x14ac:dyDescent="0.35">
      <c r="A756" t="s">
        <v>2610</v>
      </c>
      <c r="B756" t="s">
        <v>691</v>
      </c>
      <c r="C756" t="s">
        <v>43</v>
      </c>
      <c r="D756" t="s">
        <v>76</v>
      </c>
      <c r="E756" t="s">
        <v>77</v>
      </c>
      <c r="F756" t="s">
        <v>46</v>
      </c>
      <c r="G756" t="s">
        <v>78</v>
      </c>
      <c r="H756">
        <v>80370</v>
      </c>
      <c r="I756">
        <f>Sales_Transactions_Raw[[#This Row],[Unit_Price]]*Sales_Transactions_Raw[[#This Row],[Quantity]]</f>
        <v>160740</v>
      </c>
      <c r="J756">
        <v>2</v>
      </c>
      <c r="K756">
        <v>10</v>
      </c>
      <c r="L756">
        <v>16074</v>
      </c>
      <c r="M756">
        <v>144666</v>
      </c>
      <c r="N756">
        <v>18</v>
      </c>
      <c r="O756">
        <v>26039.88</v>
      </c>
      <c r="P756">
        <v>0</v>
      </c>
      <c r="Q756">
        <v>170705.88</v>
      </c>
      <c r="R756" t="s">
        <v>106</v>
      </c>
      <c r="S756" t="s">
        <v>93</v>
      </c>
      <c r="T756" t="s">
        <v>136</v>
      </c>
      <c r="U756" t="s">
        <v>196</v>
      </c>
      <c r="V756" t="s">
        <v>197</v>
      </c>
      <c r="W756" t="s">
        <v>68</v>
      </c>
      <c r="X756" t="s">
        <v>922</v>
      </c>
      <c r="Y756" t="s">
        <v>199</v>
      </c>
      <c r="Z756" t="s">
        <v>52</v>
      </c>
      <c r="AA756" t="s">
        <v>2612</v>
      </c>
      <c r="AB756" t="s">
        <v>3335</v>
      </c>
      <c r="AC756">
        <v>4</v>
      </c>
      <c r="AD756" t="s">
        <v>56</v>
      </c>
      <c r="AE756" t="s">
        <v>3336</v>
      </c>
      <c r="AF756" t="s">
        <v>153</v>
      </c>
      <c r="AG756" t="s">
        <v>3337</v>
      </c>
      <c r="AH756" s="1">
        <v>44941</v>
      </c>
      <c r="AI756" s="1">
        <v>44943</v>
      </c>
      <c r="AJ756" s="1">
        <v>44948</v>
      </c>
      <c r="AK756" t="s">
        <v>3440</v>
      </c>
      <c r="AL756" t="s">
        <v>2611</v>
      </c>
    </row>
    <row r="757" spans="1:38" x14ac:dyDescent="0.35">
      <c r="A757" t="s">
        <v>2613</v>
      </c>
      <c r="B757" t="s">
        <v>264</v>
      </c>
      <c r="C757" t="s">
        <v>43</v>
      </c>
      <c r="D757" t="s">
        <v>62</v>
      </c>
      <c r="E757" t="s">
        <v>45</v>
      </c>
      <c r="F757" t="s">
        <v>46</v>
      </c>
      <c r="G757" t="s">
        <v>63</v>
      </c>
      <c r="H757">
        <v>58850</v>
      </c>
      <c r="I757">
        <f>Sales_Transactions_Raw[[#This Row],[Unit_Price]]*Sales_Transactions_Raw[[#This Row],[Quantity]]</f>
        <v>294250</v>
      </c>
      <c r="J757">
        <v>5</v>
      </c>
      <c r="K757">
        <v>5</v>
      </c>
      <c r="L757">
        <v>14712.5</v>
      </c>
      <c r="M757">
        <v>279537.5</v>
      </c>
      <c r="N757">
        <v>18</v>
      </c>
      <c r="O757">
        <v>50316.75</v>
      </c>
      <c r="P757">
        <v>0</v>
      </c>
      <c r="Q757">
        <v>329854.25</v>
      </c>
      <c r="R757" t="s">
        <v>124</v>
      </c>
      <c r="S757" t="s">
        <v>107</v>
      </c>
      <c r="T757" t="s">
        <v>115</v>
      </c>
      <c r="U757" t="s">
        <v>108</v>
      </c>
      <c r="V757" t="s">
        <v>276</v>
      </c>
      <c r="W757" t="s">
        <v>95</v>
      </c>
      <c r="X757" t="s">
        <v>237</v>
      </c>
      <c r="Y757" t="s">
        <v>138</v>
      </c>
      <c r="Z757" t="s">
        <v>81</v>
      </c>
      <c r="AA757" t="s">
        <v>2615</v>
      </c>
      <c r="AB757" t="s">
        <v>3335</v>
      </c>
      <c r="AC757">
        <v>4</v>
      </c>
      <c r="AD757" t="s">
        <v>56</v>
      </c>
      <c r="AE757" t="s">
        <v>3336</v>
      </c>
      <c r="AF757" t="s">
        <v>326</v>
      </c>
      <c r="AG757" t="s">
        <v>58</v>
      </c>
      <c r="AH757" s="1">
        <v>45351</v>
      </c>
      <c r="AI757" s="1">
        <v>45357</v>
      </c>
      <c r="AJ757" s="1">
        <v>45359</v>
      </c>
      <c r="AK757" t="s">
        <v>3569</v>
      </c>
      <c r="AL757" t="s">
        <v>2614</v>
      </c>
    </row>
    <row r="758" spans="1:38" x14ac:dyDescent="0.35">
      <c r="A758" t="s">
        <v>2616</v>
      </c>
      <c r="B758" t="s">
        <v>172</v>
      </c>
      <c r="C758" t="s">
        <v>157</v>
      </c>
      <c r="D758" t="s">
        <v>283</v>
      </c>
      <c r="E758" t="s">
        <v>284</v>
      </c>
      <c r="F758" t="s">
        <v>285</v>
      </c>
      <c r="G758" t="s">
        <v>286</v>
      </c>
      <c r="H758">
        <v>420</v>
      </c>
      <c r="I758">
        <f>Sales_Transactions_Raw[[#This Row],[Unit_Price]]*Sales_Transactions_Raw[[#This Row],[Quantity]]</f>
        <v>1680</v>
      </c>
      <c r="J758">
        <v>4</v>
      </c>
      <c r="K758">
        <v>5</v>
      </c>
      <c r="L758">
        <v>84</v>
      </c>
      <c r="M758">
        <v>1596</v>
      </c>
      <c r="N758">
        <v>5</v>
      </c>
      <c r="O758">
        <v>79.8</v>
      </c>
      <c r="P758">
        <v>49</v>
      </c>
      <c r="Q758">
        <v>1675.8</v>
      </c>
      <c r="R758" t="s">
        <v>124</v>
      </c>
      <c r="S758" t="s">
        <v>93</v>
      </c>
      <c r="T758" t="s">
        <v>148</v>
      </c>
      <c r="U758" t="s">
        <v>108</v>
      </c>
      <c r="V758" t="s">
        <v>242</v>
      </c>
      <c r="W758" t="s">
        <v>70</v>
      </c>
      <c r="X758" t="s">
        <v>505</v>
      </c>
      <c r="Y758" t="s">
        <v>118</v>
      </c>
      <c r="Z758" t="s">
        <v>70</v>
      </c>
      <c r="AA758" t="s">
        <v>2618</v>
      </c>
      <c r="AB758" t="s">
        <v>3338</v>
      </c>
      <c r="AC758">
        <v>4</v>
      </c>
      <c r="AD758" t="s">
        <v>56</v>
      </c>
      <c r="AE758" t="s">
        <v>3336</v>
      </c>
      <c r="AF758" t="s">
        <v>217</v>
      </c>
      <c r="AG758" t="s">
        <v>111</v>
      </c>
      <c r="AH758" s="1">
        <v>45455</v>
      </c>
      <c r="AI758" s="1">
        <v>45458</v>
      </c>
      <c r="AJ758" s="1">
        <v>45460</v>
      </c>
      <c r="AK758" t="s">
        <v>3455</v>
      </c>
      <c r="AL758" t="s">
        <v>2617</v>
      </c>
    </row>
    <row r="759" spans="1:38" x14ac:dyDescent="0.35">
      <c r="A759" t="s">
        <v>2619</v>
      </c>
      <c r="B759" t="s">
        <v>717</v>
      </c>
      <c r="C759" t="s">
        <v>43</v>
      </c>
      <c r="D759" t="s">
        <v>209</v>
      </c>
      <c r="E759" t="s">
        <v>210</v>
      </c>
      <c r="F759" t="s">
        <v>211</v>
      </c>
      <c r="G759" t="s">
        <v>212</v>
      </c>
      <c r="H759">
        <v>4300</v>
      </c>
      <c r="I759">
        <f>Sales_Transactions_Raw[[#This Row],[Unit_Price]]*Sales_Transactions_Raw[[#This Row],[Quantity]]</f>
        <v>8600</v>
      </c>
      <c r="J759">
        <v>2</v>
      </c>
      <c r="K759">
        <v>15</v>
      </c>
      <c r="L759">
        <v>1290</v>
      </c>
      <c r="M759">
        <v>7310</v>
      </c>
      <c r="N759">
        <v>5</v>
      </c>
      <c r="O759">
        <v>365.5</v>
      </c>
      <c r="P759">
        <v>0</v>
      </c>
      <c r="Q759">
        <v>7675.5</v>
      </c>
      <c r="R759" t="s">
        <v>160</v>
      </c>
      <c r="S759" t="s">
        <v>65</v>
      </c>
      <c r="T759" t="s">
        <v>115</v>
      </c>
      <c r="U759" t="s">
        <v>214</v>
      </c>
      <c r="V759" t="s">
        <v>80</v>
      </c>
      <c r="W759" t="s">
        <v>81</v>
      </c>
      <c r="X759" t="s">
        <v>225</v>
      </c>
      <c r="Y759" t="s">
        <v>226</v>
      </c>
      <c r="Z759" t="s">
        <v>95</v>
      </c>
      <c r="AA759" t="s">
        <v>2621</v>
      </c>
      <c r="AB759" t="s">
        <v>3335</v>
      </c>
      <c r="AC759">
        <v>2</v>
      </c>
      <c r="AD759" t="s">
        <v>56</v>
      </c>
      <c r="AE759" t="s">
        <v>3336</v>
      </c>
      <c r="AF759" t="s">
        <v>99</v>
      </c>
      <c r="AG759" t="s">
        <v>58</v>
      </c>
      <c r="AH759" s="1">
        <v>45269</v>
      </c>
      <c r="AI759" s="1">
        <v>45270</v>
      </c>
      <c r="AJ759" s="1">
        <v>45277</v>
      </c>
      <c r="AK759" t="s">
        <v>3689</v>
      </c>
      <c r="AL759" t="s">
        <v>2620</v>
      </c>
    </row>
    <row r="760" spans="1:38" x14ac:dyDescent="0.35">
      <c r="A760" t="s">
        <v>2622</v>
      </c>
      <c r="B760" t="s">
        <v>524</v>
      </c>
      <c r="C760" t="s">
        <v>43</v>
      </c>
      <c r="D760" t="s">
        <v>441</v>
      </c>
      <c r="E760" t="s">
        <v>442</v>
      </c>
      <c r="F760" t="s">
        <v>46</v>
      </c>
      <c r="G760" t="s">
        <v>369</v>
      </c>
      <c r="H760">
        <v>66780</v>
      </c>
      <c r="I760">
        <f>Sales_Transactions_Raw[[#This Row],[Unit_Price]]*Sales_Transactions_Raw[[#This Row],[Quantity]]</f>
        <v>66780</v>
      </c>
      <c r="J760">
        <v>1</v>
      </c>
      <c r="K760">
        <v>20</v>
      </c>
      <c r="L760">
        <v>13356</v>
      </c>
      <c r="M760">
        <v>53424</v>
      </c>
      <c r="N760">
        <v>18</v>
      </c>
      <c r="O760">
        <v>9616.32</v>
      </c>
      <c r="P760">
        <v>0</v>
      </c>
      <c r="Q760">
        <v>63040.32</v>
      </c>
      <c r="R760" t="s">
        <v>92</v>
      </c>
      <c r="S760" t="s">
        <v>107</v>
      </c>
      <c r="T760" t="s">
        <v>66</v>
      </c>
      <c r="U760" t="s">
        <v>108</v>
      </c>
      <c r="V760" t="s">
        <v>297</v>
      </c>
      <c r="W760" t="s">
        <v>52</v>
      </c>
      <c r="X760" t="s">
        <v>922</v>
      </c>
      <c r="Y760" t="s">
        <v>199</v>
      </c>
      <c r="Z760" t="s">
        <v>52</v>
      </c>
      <c r="AA760" t="s">
        <v>2624</v>
      </c>
      <c r="AB760" t="s">
        <v>3344</v>
      </c>
      <c r="AC760">
        <v>4</v>
      </c>
      <c r="AD760" t="s">
        <v>56</v>
      </c>
      <c r="AE760" t="s">
        <v>3336</v>
      </c>
      <c r="AF760" t="s">
        <v>217</v>
      </c>
      <c r="AG760" t="s">
        <v>58</v>
      </c>
      <c r="AH760" s="1">
        <v>44947</v>
      </c>
      <c r="AI760" s="1">
        <v>44950</v>
      </c>
      <c r="AJ760" s="1">
        <v>44952</v>
      </c>
      <c r="AK760" t="s">
        <v>3627</v>
      </c>
      <c r="AL760" t="s">
        <v>2623</v>
      </c>
    </row>
    <row r="761" spans="1:38" x14ac:dyDescent="0.35">
      <c r="A761" t="s">
        <v>2625</v>
      </c>
      <c r="B761" t="s">
        <v>1078</v>
      </c>
      <c r="C761" t="s">
        <v>89</v>
      </c>
      <c r="D761" t="s">
        <v>406</v>
      </c>
      <c r="E761" t="s">
        <v>231</v>
      </c>
      <c r="F761" t="s">
        <v>46</v>
      </c>
      <c r="G761" t="s">
        <v>369</v>
      </c>
      <c r="H761">
        <v>95060</v>
      </c>
      <c r="I761">
        <f>Sales_Transactions_Raw[[#This Row],[Unit_Price]]*Sales_Transactions_Raw[[#This Row],[Quantity]]</f>
        <v>475300</v>
      </c>
      <c r="J761">
        <v>5</v>
      </c>
      <c r="K761">
        <v>15</v>
      </c>
      <c r="L761">
        <v>71295</v>
      </c>
      <c r="M761">
        <v>404005</v>
      </c>
      <c r="N761">
        <v>18</v>
      </c>
      <c r="O761">
        <v>72720.899999999994</v>
      </c>
      <c r="P761">
        <v>0</v>
      </c>
      <c r="Q761">
        <v>476725.9</v>
      </c>
      <c r="R761" t="s">
        <v>48</v>
      </c>
      <c r="S761" t="s">
        <v>65</v>
      </c>
      <c r="T761" t="s">
        <v>115</v>
      </c>
      <c r="U761" t="s">
        <v>50</v>
      </c>
      <c r="V761" t="s">
        <v>80</v>
      </c>
      <c r="W761" t="s">
        <v>81</v>
      </c>
      <c r="X761" t="s">
        <v>168</v>
      </c>
      <c r="Y761" t="s">
        <v>169</v>
      </c>
      <c r="Z761" t="s">
        <v>95</v>
      </c>
      <c r="AA761" t="s">
        <v>2627</v>
      </c>
      <c r="AB761" t="s">
        <v>3340</v>
      </c>
      <c r="AC761">
        <v>4</v>
      </c>
      <c r="AD761" t="s">
        <v>56</v>
      </c>
      <c r="AE761" t="s">
        <v>3336</v>
      </c>
      <c r="AF761" t="s">
        <v>227</v>
      </c>
      <c r="AG761" t="s">
        <v>3342</v>
      </c>
      <c r="AH761" s="1">
        <v>45151</v>
      </c>
      <c r="AI761" s="1">
        <v>45155</v>
      </c>
      <c r="AJ761" s="1">
        <v>45163</v>
      </c>
      <c r="AK761" t="s">
        <v>3690</v>
      </c>
      <c r="AL761" t="s">
        <v>2626</v>
      </c>
    </row>
    <row r="762" spans="1:38" x14ac:dyDescent="0.35">
      <c r="A762" t="s">
        <v>2628</v>
      </c>
      <c r="B762" t="s">
        <v>609</v>
      </c>
      <c r="C762" t="s">
        <v>89</v>
      </c>
      <c r="D762" t="s">
        <v>310</v>
      </c>
      <c r="E762" t="s">
        <v>311</v>
      </c>
      <c r="F762" t="s">
        <v>211</v>
      </c>
      <c r="G762" t="s">
        <v>312</v>
      </c>
      <c r="H762">
        <v>11340</v>
      </c>
      <c r="I762">
        <f>Sales_Transactions_Raw[[#This Row],[Unit_Price]]*Sales_Transactions_Raw[[#This Row],[Quantity]]</f>
        <v>79380</v>
      </c>
      <c r="J762">
        <v>7</v>
      </c>
      <c r="K762">
        <v>15</v>
      </c>
      <c r="L762">
        <v>11907</v>
      </c>
      <c r="M762">
        <v>67473</v>
      </c>
      <c r="N762">
        <v>5</v>
      </c>
      <c r="O762">
        <v>3373.65</v>
      </c>
      <c r="P762">
        <v>0</v>
      </c>
      <c r="Q762">
        <v>70846.649999999994</v>
      </c>
      <c r="R762" t="s">
        <v>48</v>
      </c>
      <c r="S762" t="s">
        <v>107</v>
      </c>
      <c r="T762" t="s">
        <v>213</v>
      </c>
      <c r="U762" t="s">
        <v>214</v>
      </c>
      <c r="V762" t="s">
        <v>116</v>
      </c>
      <c r="W762" t="s">
        <v>70</v>
      </c>
      <c r="X762" t="s">
        <v>198</v>
      </c>
      <c r="Y762" t="s">
        <v>199</v>
      </c>
      <c r="Z762" t="s">
        <v>52</v>
      </c>
      <c r="AA762" t="s">
        <v>2630</v>
      </c>
      <c r="AB762" t="s">
        <v>3339</v>
      </c>
      <c r="AC762">
        <v>4</v>
      </c>
      <c r="AD762" t="s">
        <v>179</v>
      </c>
      <c r="AE762" t="s">
        <v>818</v>
      </c>
      <c r="AF762" t="s">
        <v>279</v>
      </c>
      <c r="AG762" t="s">
        <v>445</v>
      </c>
      <c r="AH762" s="1">
        <v>45181</v>
      </c>
      <c r="AI762" s="1">
        <v>45184</v>
      </c>
      <c r="AJ762" s="1">
        <v>45189</v>
      </c>
      <c r="AK762" t="s">
        <v>3691</v>
      </c>
      <c r="AL762" t="s">
        <v>2629</v>
      </c>
    </row>
    <row r="763" spans="1:38" x14ac:dyDescent="0.35">
      <c r="A763" t="s">
        <v>2631</v>
      </c>
      <c r="B763" t="s">
        <v>155</v>
      </c>
      <c r="C763" t="s">
        <v>157</v>
      </c>
      <c r="D763" t="s">
        <v>303</v>
      </c>
      <c r="E763" t="s">
        <v>304</v>
      </c>
      <c r="F763" t="s">
        <v>134</v>
      </c>
      <c r="G763" t="s">
        <v>305</v>
      </c>
      <c r="H763">
        <v>37300</v>
      </c>
      <c r="I763">
        <f>Sales_Transactions_Raw[[#This Row],[Unit_Price]]*Sales_Transactions_Raw[[#This Row],[Quantity]]</f>
        <v>37300</v>
      </c>
      <c r="J763">
        <v>1</v>
      </c>
      <c r="K763">
        <v>15</v>
      </c>
      <c r="L763">
        <v>5595</v>
      </c>
      <c r="M763">
        <v>31705</v>
      </c>
      <c r="N763">
        <v>5</v>
      </c>
      <c r="O763">
        <v>1585.25</v>
      </c>
      <c r="P763">
        <v>0</v>
      </c>
      <c r="Q763">
        <v>33290.25</v>
      </c>
      <c r="R763" t="s">
        <v>48</v>
      </c>
      <c r="S763" t="s">
        <v>125</v>
      </c>
      <c r="T763" t="s">
        <v>115</v>
      </c>
      <c r="U763" t="s">
        <v>108</v>
      </c>
      <c r="V763" t="s">
        <v>67</v>
      </c>
      <c r="W763" t="s">
        <v>68</v>
      </c>
      <c r="X763" t="s">
        <v>491</v>
      </c>
      <c r="Y763" t="s">
        <v>358</v>
      </c>
      <c r="Z763" t="s">
        <v>95</v>
      </c>
      <c r="AA763" t="s">
        <v>2633</v>
      </c>
      <c r="AB763" t="s">
        <v>3344</v>
      </c>
      <c r="AC763">
        <v>4</v>
      </c>
      <c r="AD763" t="s">
        <v>56</v>
      </c>
      <c r="AE763" t="s">
        <v>3336</v>
      </c>
      <c r="AF763" t="s">
        <v>227</v>
      </c>
      <c r="AG763" t="s">
        <v>3342</v>
      </c>
      <c r="AH763" s="1">
        <v>45242</v>
      </c>
      <c r="AI763" s="1">
        <v>45276</v>
      </c>
      <c r="AJ763" s="1">
        <v>45285</v>
      </c>
      <c r="AK763" t="s">
        <v>3354</v>
      </c>
      <c r="AL763" t="s">
        <v>2632</v>
      </c>
    </row>
    <row r="764" spans="1:38" x14ac:dyDescent="0.35">
      <c r="A764" t="s">
        <v>2634</v>
      </c>
      <c r="B764" t="s">
        <v>960</v>
      </c>
      <c r="C764" t="s">
        <v>43</v>
      </c>
      <c r="D764" t="s">
        <v>230</v>
      </c>
      <c r="E764" t="s">
        <v>231</v>
      </c>
      <c r="F764" t="s">
        <v>46</v>
      </c>
      <c r="G764" t="s">
        <v>63</v>
      </c>
      <c r="H764">
        <v>122860</v>
      </c>
      <c r="I764">
        <f>Sales_Transactions_Raw[[#This Row],[Unit_Price]]*Sales_Transactions_Raw[[#This Row],[Quantity]]</f>
        <v>245720</v>
      </c>
      <c r="J764">
        <v>2</v>
      </c>
      <c r="K764">
        <v>0</v>
      </c>
      <c r="L764">
        <v>0</v>
      </c>
      <c r="M764">
        <v>245720</v>
      </c>
      <c r="N764">
        <v>18</v>
      </c>
      <c r="O764">
        <v>44229.599999999999</v>
      </c>
      <c r="P764">
        <v>0</v>
      </c>
      <c r="Q764">
        <v>289949.59999999998</v>
      </c>
      <c r="R764" t="s">
        <v>92</v>
      </c>
      <c r="S764" t="s">
        <v>93</v>
      </c>
      <c r="T764" t="s">
        <v>115</v>
      </c>
      <c r="U764" t="s">
        <v>214</v>
      </c>
      <c r="V764" t="s">
        <v>177</v>
      </c>
      <c r="W764" t="s">
        <v>81</v>
      </c>
      <c r="X764" t="s">
        <v>237</v>
      </c>
      <c r="Y764" t="s">
        <v>138</v>
      </c>
      <c r="Z764" t="s">
        <v>81</v>
      </c>
      <c r="AA764" t="s">
        <v>2636</v>
      </c>
      <c r="AB764" t="s">
        <v>3335</v>
      </c>
      <c r="AC764">
        <v>5</v>
      </c>
      <c r="AD764" t="s">
        <v>56</v>
      </c>
      <c r="AE764" t="s">
        <v>3336</v>
      </c>
      <c r="AF764" t="s">
        <v>227</v>
      </c>
      <c r="AG764" t="s">
        <v>58</v>
      </c>
      <c r="AH764" s="1">
        <v>45089</v>
      </c>
      <c r="AI764" s="1">
        <v>45211</v>
      </c>
      <c r="AJ764" s="1">
        <v>45280</v>
      </c>
      <c r="AK764" t="s">
        <v>3692</v>
      </c>
      <c r="AL764" t="s">
        <v>2635</v>
      </c>
    </row>
    <row r="765" spans="1:38" x14ac:dyDescent="0.35">
      <c r="A765" t="s">
        <v>2637</v>
      </c>
      <c r="B765" t="s">
        <v>292</v>
      </c>
      <c r="C765" t="s">
        <v>89</v>
      </c>
      <c r="D765" t="s">
        <v>956</v>
      </c>
      <c r="E765" t="s">
        <v>957</v>
      </c>
      <c r="F765" t="s">
        <v>46</v>
      </c>
      <c r="G765" t="s">
        <v>147</v>
      </c>
      <c r="H765">
        <v>9330</v>
      </c>
      <c r="I765">
        <f>Sales_Transactions_Raw[[#This Row],[Unit_Price]]*Sales_Transactions_Raw[[#This Row],[Quantity]]</f>
        <v>9330</v>
      </c>
      <c r="J765">
        <v>1</v>
      </c>
      <c r="K765">
        <v>0</v>
      </c>
      <c r="L765">
        <v>0</v>
      </c>
      <c r="M765">
        <v>9330</v>
      </c>
      <c r="N765">
        <v>18</v>
      </c>
      <c r="O765">
        <v>1679.4</v>
      </c>
      <c r="P765">
        <v>0</v>
      </c>
      <c r="Q765">
        <v>11009.4</v>
      </c>
      <c r="R765" t="s">
        <v>124</v>
      </c>
      <c r="S765" t="s">
        <v>65</v>
      </c>
      <c r="T765" t="s">
        <v>115</v>
      </c>
      <c r="U765" t="s">
        <v>214</v>
      </c>
      <c r="V765" t="s">
        <v>94</v>
      </c>
      <c r="W765" t="s">
        <v>95</v>
      </c>
      <c r="X765" t="s">
        <v>96</v>
      </c>
      <c r="Y765" t="s">
        <v>97</v>
      </c>
      <c r="Z765" t="s">
        <v>95</v>
      </c>
      <c r="AA765" t="s">
        <v>2639</v>
      </c>
      <c r="AB765" t="s">
        <v>3341</v>
      </c>
      <c r="AC765">
        <v>5</v>
      </c>
      <c r="AD765" t="s">
        <v>179</v>
      </c>
      <c r="AE765" t="s">
        <v>180</v>
      </c>
      <c r="AF765" t="s">
        <v>227</v>
      </c>
      <c r="AG765" t="s">
        <v>3342</v>
      </c>
      <c r="AH765" s="1">
        <v>45024</v>
      </c>
      <c r="AI765" s="1">
        <v>45027</v>
      </c>
      <c r="AJ765" s="1">
        <v>45033</v>
      </c>
      <c r="AK765" t="s">
        <v>3660</v>
      </c>
      <c r="AL765" t="s">
        <v>2638</v>
      </c>
    </row>
    <row r="766" spans="1:38" x14ac:dyDescent="0.35">
      <c r="A766" t="s">
        <v>2640</v>
      </c>
      <c r="B766" t="s">
        <v>365</v>
      </c>
      <c r="C766" t="s">
        <v>157</v>
      </c>
      <c r="D766" t="s">
        <v>303</v>
      </c>
      <c r="E766" t="s">
        <v>304</v>
      </c>
      <c r="F766" t="s">
        <v>134</v>
      </c>
      <c r="G766" t="s">
        <v>305</v>
      </c>
      <c r="H766">
        <v>40840</v>
      </c>
      <c r="I766">
        <f>Sales_Transactions_Raw[[#This Row],[Unit_Price]]*Sales_Transactions_Raw[[#This Row],[Quantity]]</f>
        <v>367560</v>
      </c>
      <c r="J766">
        <v>9</v>
      </c>
      <c r="K766">
        <v>0</v>
      </c>
      <c r="L766">
        <v>0</v>
      </c>
      <c r="M766">
        <v>367560</v>
      </c>
      <c r="N766">
        <v>5</v>
      </c>
      <c r="O766">
        <v>18378</v>
      </c>
      <c r="P766">
        <v>0</v>
      </c>
      <c r="Q766">
        <v>385938</v>
      </c>
      <c r="R766" t="s">
        <v>79</v>
      </c>
      <c r="S766" t="s">
        <v>65</v>
      </c>
      <c r="T766" t="s">
        <v>66</v>
      </c>
      <c r="U766" t="s">
        <v>196</v>
      </c>
      <c r="V766" t="s">
        <v>67</v>
      </c>
      <c r="W766" t="s">
        <v>68</v>
      </c>
      <c r="X766" t="s">
        <v>922</v>
      </c>
      <c r="Y766" t="s">
        <v>199</v>
      </c>
      <c r="Z766" t="s">
        <v>52</v>
      </c>
      <c r="AA766" t="s">
        <v>2642</v>
      </c>
      <c r="AB766" t="s">
        <v>3341</v>
      </c>
      <c r="AC766">
        <v>5</v>
      </c>
      <c r="AD766" t="s">
        <v>56</v>
      </c>
      <c r="AE766" t="s">
        <v>3336</v>
      </c>
      <c r="AF766" t="s">
        <v>262</v>
      </c>
      <c r="AG766" t="s">
        <v>3342</v>
      </c>
      <c r="AH766" s="1">
        <v>45399</v>
      </c>
      <c r="AI766" s="1">
        <v>45406</v>
      </c>
      <c r="AJ766" s="1">
        <v>45416</v>
      </c>
      <c r="AK766" t="s">
        <v>3528</v>
      </c>
      <c r="AL766" t="s">
        <v>2641</v>
      </c>
    </row>
    <row r="767" spans="1:38" x14ac:dyDescent="0.35">
      <c r="A767" t="s">
        <v>2643</v>
      </c>
      <c r="B767" t="s">
        <v>41</v>
      </c>
      <c r="C767" t="s">
        <v>43</v>
      </c>
      <c r="D767" t="s">
        <v>183</v>
      </c>
      <c r="E767" t="s">
        <v>184</v>
      </c>
      <c r="F767" t="s">
        <v>185</v>
      </c>
      <c r="G767" t="s">
        <v>186</v>
      </c>
      <c r="H767">
        <v>120</v>
      </c>
      <c r="I767">
        <f>Sales_Transactions_Raw[[#This Row],[Unit_Price]]*Sales_Transactions_Raw[[#This Row],[Quantity]]</f>
        <v>240</v>
      </c>
      <c r="J767">
        <v>2</v>
      </c>
      <c r="K767">
        <v>15</v>
      </c>
      <c r="L767">
        <v>36</v>
      </c>
      <c r="M767">
        <v>204</v>
      </c>
      <c r="N767">
        <v>5</v>
      </c>
      <c r="O767">
        <v>10.199999999999999</v>
      </c>
      <c r="P767">
        <v>99</v>
      </c>
      <c r="Q767">
        <v>214.2</v>
      </c>
      <c r="R767" t="s">
        <v>64</v>
      </c>
      <c r="S767" t="s">
        <v>93</v>
      </c>
      <c r="T767" t="s">
        <v>115</v>
      </c>
      <c r="U767" t="s">
        <v>214</v>
      </c>
      <c r="V767" t="s">
        <v>116</v>
      </c>
      <c r="W767" t="s">
        <v>70</v>
      </c>
      <c r="X767" t="s">
        <v>474</v>
      </c>
      <c r="Y767" t="s">
        <v>169</v>
      </c>
      <c r="Z767" t="s">
        <v>95</v>
      </c>
      <c r="AA767" t="s">
        <v>2645</v>
      </c>
      <c r="AB767" t="s">
        <v>3335</v>
      </c>
      <c r="AC767">
        <v>4</v>
      </c>
      <c r="AD767" t="s">
        <v>56</v>
      </c>
      <c r="AE767" t="s">
        <v>3336</v>
      </c>
      <c r="AF767" t="s">
        <v>262</v>
      </c>
      <c r="AG767" t="s">
        <v>85</v>
      </c>
      <c r="AH767" s="1">
        <v>45376</v>
      </c>
      <c r="AI767" s="1">
        <v>45380</v>
      </c>
      <c r="AJ767" s="1">
        <v>45385</v>
      </c>
      <c r="AK767" t="s">
        <v>3345</v>
      </c>
      <c r="AL767" t="s">
        <v>2644</v>
      </c>
    </row>
    <row r="768" spans="1:38" x14ac:dyDescent="0.35">
      <c r="A768" t="s">
        <v>2646</v>
      </c>
      <c r="B768" t="s">
        <v>101</v>
      </c>
      <c r="C768" t="s">
        <v>43</v>
      </c>
      <c r="D768" t="s">
        <v>630</v>
      </c>
      <c r="E768" t="s">
        <v>450</v>
      </c>
      <c r="F768" t="s">
        <v>134</v>
      </c>
      <c r="G768" t="s">
        <v>497</v>
      </c>
      <c r="H768">
        <v>46140</v>
      </c>
      <c r="I768">
        <f>Sales_Transactions_Raw[[#This Row],[Unit_Price]]*Sales_Transactions_Raw[[#This Row],[Quantity]]</f>
        <v>46140</v>
      </c>
      <c r="J768">
        <v>1</v>
      </c>
      <c r="K768">
        <v>15</v>
      </c>
      <c r="L768">
        <v>6921</v>
      </c>
      <c r="M768">
        <v>39219</v>
      </c>
      <c r="N768">
        <v>5</v>
      </c>
      <c r="O768">
        <v>1960.95</v>
      </c>
      <c r="P768">
        <v>0</v>
      </c>
      <c r="Q768">
        <v>41179.949999999997</v>
      </c>
      <c r="R768" t="s">
        <v>124</v>
      </c>
      <c r="S768" t="s">
        <v>49</v>
      </c>
      <c r="T768" t="s">
        <v>148</v>
      </c>
      <c r="U768" t="s">
        <v>108</v>
      </c>
      <c r="V768" t="s">
        <v>197</v>
      </c>
      <c r="W768" t="s">
        <v>68</v>
      </c>
      <c r="X768" t="s">
        <v>370</v>
      </c>
      <c r="Y768" t="s">
        <v>151</v>
      </c>
      <c r="Z768" t="s">
        <v>81</v>
      </c>
      <c r="AA768" t="s">
        <v>2648</v>
      </c>
      <c r="AB768" t="s">
        <v>3343</v>
      </c>
      <c r="AC768">
        <v>4</v>
      </c>
      <c r="AD768" t="s">
        <v>56</v>
      </c>
      <c r="AE768" t="s">
        <v>3336</v>
      </c>
      <c r="AF768" t="s">
        <v>326</v>
      </c>
      <c r="AG768" t="s">
        <v>3342</v>
      </c>
      <c r="AH768" s="1">
        <v>45286</v>
      </c>
      <c r="AI768" s="1">
        <v>45287</v>
      </c>
      <c r="AJ768" s="1">
        <v>45291</v>
      </c>
      <c r="AK768" t="s">
        <v>3349</v>
      </c>
      <c r="AL768" t="s">
        <v>2647</v>
      </c>
    </row>
    <row r="769" spans="1:38" x14ac:dyDescent="0.35">
      <c r="A769" t="s">
        <v>2649</v>
      </c>
      <c r="B769" t="s">
        <v>772</v>
      </c>
      <c r="C769" t="s">
        <v>157</v>
      </c>
      <c r="D769" t="s">
        <v>375</v>
      </c>
      <c r="E769" t="s">
        <v>376</v>
      </c>
      <c r="F769" t="s">
        <v>146</v>
      </c>
      <c r="G769" t="s">
        <v>147</v>
      </c>
      <c r="H769">
        <v>8860</v>
      </c>
      <c r="I769">
        <f>Sales_Transactions_Raw[[#This Row],[Unit_Price]]*Sales_Transactions_Raw[[#This Row],[Quantity]]</f>
        <v>17720</v>
      </c>
      <c r="J769">
        <v>2</v>
      </c>
      <c r="K769">
        <v>5</v>
      </c>
      <c r="L769">
        <v>886</v>
      </c>
      <c r="M769">
        <v>16834</v>
      </c>
      <c r="N769">
        <v>12</v>
      </c>
      <c r="O769">
        <v>2020.08</v>
      </c>
      <c r="P769">
        <v>0</v>
      </c>
      <c r="Q769">
        <v>18854.080000000002</v>
      </c>
      <c r="R769" t="s">
        <v>79</v>
      </c>
      <c r="S769" t="s">
        <v>125</v>
      </c>
      <c r="T769" t="s">
        <v>115</v>
      </c>
      <c r="U769" t="s">
        <v>196</v>
      </c>
      <c r="V769" t="s">
        <v>224</v>
      </c>
      <c r="W769" t="s">
        <v>95</v>
      </c>
      <c r="X769" t="s">
        <v>277</v>
      </c>
      <c r="Y769" t="s">
        <v>127</v>
      </c>
      <c r="Z769" t="s">
        <v>68</v>
      </c>
      <c r="AA769" t="s">
        <v>2651</v>
      </c>
      <c r="AB769" t="s">
        <v>3335</v>
      </c>
      <c r="AC769">
        <v>4</v>
      </c>
      <c r="AD769" t="s">
        <v>179</v>
      </c>
      <c r="AE769" t="s">
        <v>3336</v>
      </c>
      <c r="AF769" t="s">
        <v>279</v>
      </c>
      <c r="AG769" t="s">
        <v>111</v>
      </c>
      <c r="AH769" s="1">
        <v>45321</v>
      </c>
      <c r="AI769" s="1">
        <v>45324</v>
      </c>
      <c r="AJ769" s="1">
        <v>45291</v>
      </c>
      <c r="AK769" t="s">
        <v>3693</v>
      </c>
      <c r="AL769" t="s">
        <v>2650</v>
      </c>
    </row>
    <row r="770" spans="1:38" x14ac:dyDescent="0.35">
      <c r="A770" t="s">
        <v>2652</v>
      </c>
      <c r="B770" t="s">
        <v>258</v>
      </c>
      <c r="C770" t="s">
        <v>43</v>
      </c>
      <c r="D770" t="s">
        <v>391</v>
      </c>
      <c r="E770" t="s">
        <v>392</v>
      </c>
      <c r="F770" t="s">
        <v>46</v>
      </c>
      <c r="G770" t="s">
        <v>176</v>
      </c>
      <c r="H770">
        <v>10490</v>
      </c>
      <c r="I770">
        <f>Sales_Transactions_Raw[[#This Row],[Unit_Price]]*Sales_Transactions_Raw[[#This Row],[Quantity]]</f>
        <v>62940</v>
      </c>
      <c r="J770">
        <v>6</v>
      </c>
      <c r="K770">
        <v>5</v>
      </c>
      <c r="L770">
        <v>3147</v>
      </c>
      <c r="M770">
        <v>59793</v>
      </c>
      <c r="N770">
        <v>18</v>
      </c>
      <c r="O770">
        <v>10762.74</v>
      </c>
      <c r="P770">
        <v>0</v>
      </c>
      <c r="Q770">
        <v>70555.740000000005</v>
      </c>
      <c r="R770" t="s">
        <v>64</v>
      </c>
      <c r="S770" t="s">
        <v>65</v>
      </c>
      <c r="T770" t="s">
        <v>66</v>
      </c>
      <c r="U770" t="s">
        <v>50</v>
      </c>
      <c r="V770" t="s">
        <v>67</v>
      </c>
      <c r="W770" t="s">
        <v>68</v>
      </c>
      <c r="X770" t="s">
        <v>393</v>
      </c>
      <c r="Y770" t="s">
        <v>393</v>
      </c>
      <c r="Z770" t="s">
        <v>70</v>
      </c>
      <c r="AA770" t="s">
        <v>2654</v>
      </c>
      <c r="AB770" t="s">
        <v>3335</v>
      </c>
      <c r="AC770">
        <v>3</v>
      </c>
      <c r="AD770" t="s">
        <v>56</v>
      </c>
      <c r="AE770" t="s">
        <v>3336</v>
      </c>
      <c r="AF770" t="s">
        <v>164</v>
      </c>
      <c r="AG770" t="s">
        <v>3337</v>
      </c>
      <c r="AH770" s="1">
        <v>45103</v>
      </c>
      <c r="AI770" s="1">
        <v>45107</v>
      </c>
      <c r="AJ770" s="1">
        <v>45112</v>
      </c>
      <c r="AK770" t="s">
        <v>3667</v>
      </c>
      <c r="AL770" t="s">
        <v>2653</v>
      </c>
    </row>
    <row r="771" spans="1:38" x14ac:dyDescent="0.35">
      <c r="A771" t="s">
        <v>2655</v>
      </c>
      <c r="B771" t="s">
        <v>484</v>
      </c>
      <c r="C771" t="s">
        <v>43</v>
      </c>
      <c r="D771" t="s">
        <v>449</v>
      </c>
      <c r="E771" t="s">
        <v>450</v>
      </c>
      <c r="F771" t="s">
        <v>46</v>
      </c>
      <c r="G771" t="s">
        <v>78</v>
      </c>
      <c r="H771">
        <v>44360</v>
      </c>
      <c r="I771">
        <f>Sales_Transactions_Raw[[#This Row],[Unit_Price]]*Sales_Transactions_Raw[[#This Row],[Quantity]]</f>
        <v>44360</v>
      </c>
      <c r="J771">
        <v>1</v>
      </c>
      <c r="K771">
        <v>5</v>
      </c>
      <c r="L771">
        <v>2218</v>
      </c>
      <c r="M771">
        <v>42142</v>
      </c>
      <c r="N771">
        <v>18</v>
      </c>
      <c r="O771">
        <v>7585.56</v>
      </c>
      <c r="P771">
        <v>0</v>
      </c>
      <c r="Q771">
        <v>49727.56</v>
      </c>
      <c r="R771" t="s">
        <v>160</v>
      </c>
      <c r="S771" t="s">
        <v>107</v>
      </c>
      <c r="T771" t="s">
        <v>115</v>
      </c>
      <c r="U771" t="s">
        <v>108</v>
      </c>
      <c r="V771" t="s">
        <v>94</v>
      </c>
      <c r="W771" t="s">
        <v>95</v>
      </c>
      <c r="X771" t="s">
        <v>357</v>
      </c>
      <c r="Y771" t="s">
        <v>358</v>
      </c>
      <c r="Z771" t="s">
        <v>95</v>
      </c>
      <c r="AA771" t="s">
        <v>2657</v>
      </c>
      <c r="AB771" t="s">
        <v>3344</v>
      </c>
      <c r="AC771">
        <v>5</v>
      </c>
      <c r="AD771" t="s">
        <v>56</v>
      </c>
      <c r="AE771" t="s">
        <v>3336</v>
      </c>
      <c r="AF771" t="s">
        <v>153</v>
      </c>
      <c r="AG771" t="s">
        <v>58</v>
      </c>
      <c r="AH771" s="1">
        <v>45039</v>
      </c>
      <c r="AI771" s="1">
        <v>45043</v>
      </c>
      <c r="AJ771" s="1">
        <v>45048</v>
      </c>
      <c r="AK771" t="s">
        <v>3656</v>
      </c>
      <c r="AL771" t="s">
        <v>2656</v>
      </c>
    </row>
    <row r="772" spans="1:38" x14ac:dyDescent="0.35">
      <c r="A772" t="s">
        <v>2658</v>
      </c>
      <c r="B772" t="s">
        <v>1335</v>
      </c>
      <c r="C772" t="s">
        <v>131</v>
      </c>
      <c r="D772" t="s">
        <v>335</v>
      </c>
      <c r="E772" t="s">
        <v>336</v>
      </c>
      <c r="F772" t="s">
        <v>134</v>
      </c>
      <c r="G772" t="s">
        <v>135</v>
      </c>
      <c r="H772">
        <v>10360</v>
      </c>
      <c r="I772">
        <f>Sales_Transactions_Raw[[#This Row],[Unit_Price]]*Sales_Transactions_Raw[[#This Row],[Quantity]]</f>
        <v>41440</v>
      </c>
      <c r="J772">
        <v>4</v>
      </c>
      <c r="K772">
        <v>10</v>
      </c>
      <c r="L772">
        <v>4144</v>
      </c>
      <c r="M772">
        <v>37296</v>
      </c>
      <c r="N772">
        <v>5</v>
      </c>
      <c r="O772">
        <v>1864.8</v>
      </c>
      <c r="P772">
        <v>0</v>
      </c>
      <c r="Q772">
        <v>39160.800000000003</v>
      </c>
      <c r="R772" t="s">
        <v>124</v>
      </c>
      <c r="S772" t="s">
        <v>49</v>
      </c>
      <c r="T772" t="s">
        <v>148</v>
      </c>
      <c r="U772" t="s">
        <v>108</v>
      </c>
      <c r="V772" t="s">
        <v>177</v>
      </c>
      <c r="W772" t="s">
        <v>81</v>
      </c>
      <c r="X772" t="s">
        <v>187</v>
      </c>
      <c r="Y772" t="s">
        <v>188</v>
      </c>
      <c r="Z772" t="s">
        <v>68</v>
      </c>
      <c r="AA772" t="s">
        <v>2660</v>
      </c>
      <c r="AB772" t="s">
        <v>3335</v>
      </c>
      <c r="AC772">
        <v>5</v>
      </c>
      <c r="AD772" t="s">
        <v>56</v>
      </c>
      <c r="AE772" t="s">
        <v>3336</v>
      </c>
      <c r="AF772" t="s">
        <v>279</v>
      </c>
      <c r="AG772" t="s">
        <v>3337</v>
      </c>
      <c r="AH772" s="1">
        <v>45074</v>
      </c>
      <c r="AI772" s="1">
        <v>45079</v>
      </c>
      <c r="AJ772" s="1">
        <v>45082</v>
      </c>
      <c r="AK772" t="s">
        <v>3557</v>
      </c>
      <c r="AL772" t="s">
        <v>2659</v>
      </c>
    </row>
    <row r="773" spans="1:38" x14ac:dyDescent="0.35">
      <c r="A773" t="s">
        <v>2661</v>
      </c>
      <c r="B773" t="s">
        <v>166</v>
      </c>
      <c r="C773" t="s">
        <v>89</v>
      </c>
      <c r="D773" t="s">
        <v>971</v>
      </c>
      <c r="E773" t="s">
        <v>972</v>
      </c>
      <c r="F773" t="s">
        <v>146</v>
      </c>
      <c r="G773" t="s">
        <v>195</v>
      </c>
      <c r="H773">
        <v>1610</v>
      </c>
      <c r="I773">
        <f>Sales_Transactions_Raw[[#This Row],[Unit_Price]]*Sales_Transactions_Raw[[#This Row],[Quantity]]</f>
        <v>3220</v>
      </c>
      <c r="J773">
        <v>2</v>
      </c>
      <c r="K773">
        <v>0</v>
      </c>
      <c r="L773">
        <v>0</v>
      </c>
      <c r="M773">
        <v>3220</v>
      </c>
      <c r="N773">
        <v>12</v>
      </c>
      <c r="O773">
        <v>386.4</v>
      </c>
      <c r="P773">
        <v>99</v>
      </c>
      <c r="Q773">
        <v>3606.4</v>
      </c>
      <c r="R773" t="s">
        <v>48</v>
      </c>
      <c r="S773" t="s">
        <v>49</v>
      </c>
      <c r="T773" t="s">
        <v>115</v>
      </c>
      <c r="U773" t="s">
        <v>214</v>
      </c>
      <c r="V773" t="s">
        <v>224</v>
      </c>
      <c r="W773" t="s">
        <v>95</v>
      </c>
      <c r="X773" t="s">
        <v>480</v>
      </c>
      <c r="Y773" t="s">
        <v>481</v>
      </c>
      <c r="Z773" t="s">
        <v>52</v>
      </c>
      <c r="AA773" t="s">
        <v>2662</v>
      </c>
      <c r="AB773" t="s">
        <v>3339</v>
      </c>
      <c r="AC773">
        <v>4</v>
      </c>
      <c r="AD773" t="s">
        <v>56</v>
      </c>
      <c r="AE773" t="s">
        <v>3336</v>
      </c>
      <c r="AF773" t="s">
        <v>99</v>
      </c>
      <c r="AG773" t="s">
        <v>3337</v>
      </c>
      <c r="AH773" s="1">
        <v>45332</v>
      </c>
      <c r="AI773" s="1">
        <v>45335</v>
      </c>
      <c r="AJ773" s="1">
        <v>45338</v>
      </c>
      <c r="AK773" t="s">
        <v>3568</v>
      </c>
      <c r="AL773" t="s">
        <v>3748</v>
      </c>
    </row>
    <row r="774" spans="1:38" x14ac:dyDescent="0.35">
      <c r="A774" t="s">
        <v>2663</v>
      </c>
      <c r="B774" t="s">
        <v>409</v>
      </c>
      <c r="C774" t="s">
        <v>43</v>
      </c>
      <c r="D774" t="s">
        <v>971</v>
      </c>
      <c r="E774" t="s">
        <v>972</v>
      </c>
      <c r="F774" t="s">
        <v>146</v>
      </c>
      <c r="G774" t="s">
        <v>195</v>
      </c>
      <c r="H774">
        <v>1630</v>
      </c>
      <c r="I774">
        <f>Sales_Transactions_Raw[[#This Row],[Unit_Price]]*Sales_Transactions_Raw[[#This Row],[Quantity]]</f>
        <v>3260</v>
      </c>
      <c r="J774">
        <v>2</v>
      </c>
      <c r="K774">
        <v>0</v>
      </c>
      <c r="L774">
        <v>0</v>
      </c>
      <c r="M774">
        <v>3260</v>
      </c>
      <c r="N774">
        <v>12</v>
      </c>
      <c r="O774">
        <v>391.2</v>
      </c>
      <c r="P774">
        <v>149</v>
      </c>
      <c r="Q774">
        <v>3651.2</v>
      </c>
      <c r="R774" t="s">
        <v>124</v>
      </c>
      <c r="S774" t="s">
        <v>93</v>
      </c>
      <c r="T774" t="s">
        <v>136</v>
      </c>
      <c r="U774" t="s">
        <v>214</v>
      </c>
      <c r="V774" t="s">
        <v>242</v>
      </c>
      <c r="W774" t="s">
        <v>70</v>
      </c>
      <c r="X774" t="s">
        <v>469</v>
      </c>
      <c r="Y774" t="s">
        <v>244</v>
      </c>
      <c r="Z774" t="s">
        <v>70</v>
      </c>
      <c r="AA774" t="s">
        <v>2665</v>
      </c>
      <c r="AB774" t="s">
        <v>3343</v>
      </c>
      <c r="AC774">
        <v>4</v>
      </c>
      <c r="AD774" t="s">
        <v>56</v>
      </c>
      <c r="AE774" t="s">
        <v>3336</v>
      </c>
      <c r="AF774" t="s">
        <v>140</v>
      </c>
      <c r="AG774" t="s">
        <v>85</v>
      </c>
      <c r="AH774" s="1">
        <v>45103</v>
      </c>
      <c r="AI774" s="1">
        <v>45104</v>
      </c>
      <c r="AJ774" s="1">
        <v>45112</v>
      </c>
      <c r="AK774" t="s">
        <v>3425</v>
      </c>
      <c r="AL774" t="s">
        <v>2664</v>
      </c>
    </row>
    <row r="775" spans="1:38" x14ac:dyDescent="0.35">
      <c r="A775" t="s">
        <v>2666</v>
      </c>
      <c r="B775" t="s">
        <v>613</v>
      </c>
      <c r="C775" t="s">
        <v>43</v>
      </c>
      <c r="D775" t="s">
        <v>183</v>
      </c>
      <c r="E775" t="s">
        <v>184</v>
      </c>
      <c r="F775" t="s">
        <v>185</v>
      </c>
      <c r="G775" t="s">
        <v>186</v>
      </c>
      <c r="H775">
        <v>120</v>
      </c>
      <c r="I775">
        <f>Sales_Transactions_Raw[[#This Row],[Unit_Price]]*Sales_Transactions_Raw[[#This Row],[Quantity]]</f>
        <v>120</v>
      </c>
      <c r="J775">
        <v>1</v>
      </c>
      <c r="K775">
        <v>15</v>
      </c>
      <c r="L775">
        <v>18</v>
      </c>
      <c r="M775">
        <v>102</v>
      </c>
      <c r="N775">
        <v>5</v>
      </c>
      <c r="O775">
        <v>5.0999999999999996</v>
      </c>
      <c r="P775">
        <v>149</v>
      </c>
      <c r="Q775">
        <v>107.1</v>
      </c>
      <c r="R775" t="s">
        <v>64</v>
      </c>
      <c r="S775" t="s">
        <v>93</v>
      </c>
      <c r="T775" t="s">
        <v>148</v>
      </c>
      <c r="U775" t="s">
        <v>161</v>
      </c>
      <c r="V775" t="s">
        <v>242</v>
      </c>
      <c r="W775" t="s">
        <v>70</v>
      </c>
      <c r="X775" t="s">
        <v>53</v>
      </c>
      <c r="Y775" t="s">
        <v>54</v>
      </c>
      <c r="Z775" t="s">
        <v>70</v>
      </c>
      <c r="AA775" t="s">
        <v>2668</v>
      </c>
      <c r="AB775" t="s">
        <v>3335</v>
      </c>
      <c r="AC775">
        <v>4</v>
      </c>
      <c r="AD775" t="s">
        <v>56</v>
      </c>
      <c r="AE775" t="s">
        <v>3336</v>
      </c>
      <c r="AF775" t="s">
        <v>326</v>
      </c>
      <c r="AG775" t="s">
        <v>58</v>
      </c>
      <c r="AH775" s="1">
        <v>45001</v>
      </c>
      <c r="AI775" s="1">
        <v>45002</v>
      </c>
      <c r="AJ775" s="1">
        <v>45007</v>
      </c>
      <c r="AK775" t="s">
        <v>3694</v>
      </c>
      <c r="AL775" t="s">
        <v>2667</v>
      </c>
    </row>
    <row r="776" spans="1:38" x14ac:dyDescent="0.35">
      <c r="A776" t="s">
        <v>2669</v>
      </c>
      <c r="B776" t="s">
        <v>940</v>
      </c>
      <c r="C776" t="s">
        <v>157</v>
      </c>
      <c r="D776" t="s">
        <v>432</v>
      </c>
      <c r="E776" t="s">
        <v>433</v>
      </c>
      <c r="F776" t="s">
        <v>146</v>
      </c>
      <c r="G776" t="s">
        <v>296</v>
      </c>
      <c r="H776">
        <v>4870</v>
      </c>
      <c r="I776">
        <f>Sales_Transactions_Raw[[#This Row],[Unit_Price]]*Sales_Transactions_Raw[[#This Row],[Quantity]]</f>
        <v>9740</v>
      </c>
      <c r="J776">
        <v>2</v>
      </c>
      <c r="K776">
        <v>0</v>
      </c>
      <c r="L776">
        <v>0</v>
      </c>
      <c r="M776">
        <v>9740</v>
      </c>
      <c r="N776">
        <v>12</v>
      </c>
      <c r="O776">
        <v>1168.8</v>
      </c>
      <c r="P776">
        <v>0</v>
      </c>
      <c r="Q776">
        <v>10908.8</v>
      </c>
      <c r="R776" t="s">
        <v>106</v>
      </c>
      <c r="S776" t="s">
        <v>107</v>
      </c>
      <c r="T776" t="s">
        <v>115</v>
      </c>
      <c r="U776" t="s">
        <v>50</v>
      </c>
      <c r="V776" t="s">
        <v>197</v>
      </c>
      <c r="W776" t="s">
        <v>68</v>
      </c>
      <c r="X776" t="s">
        <v>168</v>
      </c>
      <c r="Y776" t="s">
        <v>169</v>
      </c>
      <c r="Z776" t="s">
        <v>95</v>
      </c>
      <c r="AA776" t="s">
        <v>2671</v>
      </c>
      <c r="AB776" t="s">
        <v>3344</v>
      </c>
      <c r="AC776">
        <v>4</v>
      </c>
      <c r="AD776" t="s">
        <v>56</v>
      </c>
      <c r="AE776" t="s">
        <v>3336</v>
      </c>
      <c r="AF776" t="s">
        <v>57</v>
      </c>
      <c r="AG776" t="s">
        <v>85</v>
      </c>
      <c r="AH776" s="1">
        <v>45112</v>
      </c>
      <c r="AI776" s="1">
        <v>45116</v>
      </c>
      <c r="AJ776" s="1">
        <v>45125</v>
      </c>
      <c r="AK776" t="s">
        <v>3582</v>
      </c>
      <c r="AL776" t="s">
        <v>2670</v>
      </c>
    </row>
    <row r="777" spans="1:38" x14ac:dyDescent="0.35">
      <c r="A777" t="s">
        <v>2672</v>
      </c>
      <c r="B777" t="s">
        <v>588</v>
      </c>
      <c r="C777" t="s">
        <v>43</v>
      </c>
      <c r="D777" t="s">
        <v>367</v>
      </c>
      <c r="E777" t="s">
        <v>368</v>
      </c>
      <c r="F777" t="s">
        <v>46</v>
      </c>
      <c r="G777" t="s">
        <v>369</v>
      </c>
      <c r="H777">
        <v>28910</v>
      </c>
      <c r="I777">
        <f>Sales_Transactions_Raw[[#This Row],[Unit_Price]]*Sales_Transactions_Raw[[#This Row],[Quantity]]</f>
        <v>115640</v>
      </c>
      <c r="J777">
        <v>4</v>
      </c>
      <c r="K777">
        <v>5</v>
      </c>
      <c r="L777">
        <v>5782</v>
      </c>
      <c r="M777">
        <v>109858</v>
      </c>
      <c r="N777">
        <v>18</v>
      </c>
      <c r="O777">
        <v>19774.439999999999</v>
      </c>
      <c r="P777">
        <v>0</v>
      </c>
      <c r="Q777">
        <v>129632.44</v>
      </c>
      <c r="R777" t="s">
        <v>124</v>
      </c>
      <c r="S777" t="s">
        <v>93</v>
      </c>
      <c r="T777" t="s">
        <v>213</v>
      </c>
      <c r="U777" t="s">
        <v>161</v>
      </c>
      <c r="V777" t="s">
        <v>297</v>
      </c>
      <c r="W777" t="s">
        <v>52</v>
      </c>
      <c r="X777" t="s">
        <v>362</v>
      </c>
      <c r="Y777" t="s">
        <v>118</v>
      </c>
      <c r="Z777" t="s">
        <v>70</v>
      </c>
      <c r="AA777" t="s">
        <v>2674</v>
      </c>
      <c r="AB777" t="s">
        <v>3335</v>
      </c>
      <c r="AC777">
        <v>4</v>
      </c>
      <c r="AD777" t="s">
        <v>179</v>
      </c>
      <c r="AE777" t="s">
        <v>180</v>
      </c>
      <c r="AF777" t="s">
        <v>84</v>
      </c>
      <c r="AG777" t="s">
        <v>111</v>
      </c>
      <c r="AH777" s="1">
        <v>45244</v>
      </c>
      <c r="AI777" s="1">
        <v>45248</v>
      </c>
      <c r="AJ777" s="1">
        <v>45251</v>
      </c>
      <c r="AK777" t="s">
        <v>3419</v>
      </c>
      <c r="AL777" t="s">
        <v>2673</v>
      </c>
    </row>
    <row r="778" spans="1:38" x14ac:dyDescent="0.35">
      <c r="A778" t="s">
        <v>2675</v>
      </c>
      <c r="B778" t="s">
        <v>457</v>
      </c>
      <c r="C778" t="s">
        <v>157</v>
      </c>
      <c r="D778" t="s">
        <v>249</v>
      </c>
      <c r="E778" t="s">
        <v>250</v>
      </c>
      <c r="F778" t="s">
        <v>211</v>
      </c>
      <c r="G778" t="s">
        <v>251</v>
      </c>
      <c r="H778">
        <v>18380</v>
      </c>
      <c r="I778">
        <f>Sales_Transactions_Raw[[#This Row],[Unit_Price]]*Sales_Transactions_Raw[[#This Row],[Quantity]]</f>
        <v>55140</v>
      </c>
      <c r="J778">
        <v>3</v>
      </c>
      <c r="K778">
        <v>15</v>
      </c>
      <c r="L778">
        <v>8271</v>
      </c>
      <c r="M778">
        <v>46869</v>
      </c>
      <c r="N778">
        <v>5</v>
      </c>
      <c r="O778">
        <v>2343.4499999999998</v>
      </c>
      <c r="P778">
        <v>0</v>
      </c>
      <c r="Q778">
        <v>49212.45</v>
      </c>
      <c r="R778" t="s">
        <v>79</v>
      </c>
      <c r="S778" t="s">
        <v>65</v>
      </c>
      <c r="T778" t="s">
        <v>136</v>
      </c>
      <c r="U778" t="s">
        <v>50</v>
      </c>
      <c r="V778" t="s">
        <v>224</v>
      </c>
      <c r="W778" t="s">
        <v>95</v>
      </c>
      <c r="X778" t="s">
        <v>340</v>
      </c>
      <c r="Y778" t="s">
        <v>169</v>
      </c>
      <c r="Z778" t="s">
        <v>95</v>
      </c>
      <c r="AA778" t="s">
        <v>2677</v>
      </c>
      <c r="AB778" t="s">
        <v>3335</v>
      </c>
      <c r="AC778">
        <v>4</v>
      </c>
      <c r="AD778" t="s">
        <v>56</v>
      </c>
      <c r="AE778" t="s">
        <v>3336</v>
      </c>
      <c r="AF778" t="s">
        <v>326</v>
      </c>
      <c r="AG778" t="s">
        <v>3337</v>
      </c>
      <c r="AH778" s="1">
        <v>45402</v>
      </c>
      <c r="AI778" s="1">
        <v>45407</v>
      </c>
      <c r="AJ778" s="1">
        <v>45410</v>
      </c>
      <c r="AK778" t="s">
        <v>3606</v>
      </c>
      <c r="AL778" t="s">
        <v>2676</v>
      </c>
    </row>
    <row r="779" spans="1:38" x14ac:dyDescent="0.35">
      <c r="A779" t="s">
        <v>2678</v>
      </c>
      <c r="B779" t="s">
        <v>379</v>
      </c>
      <c r="C779" t="s">
        <v>89</v>
      </c>
      <c r="D779" t="s">
        <v>713</v>
      </c>
      <c r="E779" t="s">
        <v>714</v>
      </c>
      <c r="F779" t="s">
        <v>46</v>
      </c>
      <c r="G779" t="s">
        <v>47</v>
      </c>
      <c r="H779">
        <v>15480</v>
      </c>
      <c r="I779">
        <f>Sales_Transactions_Raw[[#This Row],[Unit_Price]]*Sales_Transactions_Raw[[#This Row],[Quantity]]</f>
        <v>15480</v>
      </c>
      <c r="J779">
        <v>1</v>
      </c>
      <c r="K779">
        <v>10</v>
      </c>
      <c r="L779">
        <v>1548</v>
      </c>
      <c r="M779">
        <v>13932</v>
      </c>
      <c r="N779">
        <v>18</v>
      </c>
      <c r="O779">
        <v>2507.7600000000002</v>
      </c>
      <c r="P779">
        <v>0</v>
      </c>
      <c r="Q779">
        <v>16439.760000000002</v>
      </c>
      <c r="R779" t="s">
        <v>92</v>
      </c>
      <c r="S779" t="s">
        <v>65</v>
      </c>
      <c r="T779" t="s">
        <v>148</v>
      </c>
      <c r="U779" t="s">
        <v>161</v>
      </c>
      <c r="V779" t="s">
        <v>149</v>
      </c>
      <c r="W779" t="s">
        <v>81</v>
      </c>
      <c r="X779" t="s">
        <v>750</v>
      </c>
      <c r="Y779" t="s">
        <v>127</v>
      </c>
      <c r="Z779" t="s">
        <v>68</v>
      </c>
      <c r="AA779" t="s">
        <v>2680</v>
      </c>
      <c r="AB779" t="s">
        <v>3340</v>
      </c>
      <c r="AC779">
        <v>4</v>
      </c>
      <c r="AD779" t="s">
        <v>56</v>
      </c>
      <c r="AE779" t="s">
        <v>3336</v>
      </c>
      <c r="AF779" t="s">
        <v>279</v>
      </c>
      <c r="AG779" t="s">
        <v>58</v>
      </c>
      <c r="AH779" s="1">
        <v>45330</v>
      </c>
      <c r="AI779" s="1">
        <v>45334</v>
      </c>
      <c r="AJ779" s="1">
        <v>45341</v>
      </c>
      <c r="AK779" t="s">
        <v>3416</v>
      </c>
      <c r="AL779" t="s">
        <v>2679</v>
      </c>
    </row>
    <row r="780" spans="1:38" x14ac:dyDescent="0.35">
      <c r="A780" t="s">
        <v>1831</v>
      </c>
      <c r="B780" t="s">
        <v>478</v>
      </c>
      <c r="C780" t="s">
        <v>89</v>
      </c>
      <c r="D780" t="s">
        <v>350</v>
      </c>
      <c r="E780" t="s">
        <v>351</v>
      </c>
      <c r="F780" t="s">
        <v>211</v>
      </c>
      <c r="G780" t="s">
        <v>352</v>
      </c>
      <c r="H780">
        <v>42010</v>
      </c>
      <c r="I780">
        <f>Sales_Transactions_Raw[[#This Row],[Unit_Price]]*Sales_Transactions_Raw[[#This Row],[Quantity]]</f>
        <v>210050</v>
      </c>
      <c r="J780">
        <v>5</v>
      </c>
      <c r="K780">
        <v>10</v>
      </c>
      <c r="L780">
        <v>21005</v>
      </c>
      <c r="M780">
        <v>189045</v>
      </c>
      <c r="N780">
        <v>5</v>
      </c>
      <c r="O780">
        <v>9452.25</v>
      </c>
      <c r="P780">
        <v>0</v>
      </c>
      <c r="Q780">
        <v>198497.25</v>
      </c>
      <c r="R780" t="s">
        <v>79</v>
      </c>
      <c r="S780" t="s">
        <v>93</v>
      </c>
      <c r="T780" t="s">
        <v>66</v>
      </c>
      <c r="U780" t="s">
        <v>196</v>
      </c>
      <c r="V780" t="s">
        <v>224</v>
      </c>
      <c r="W780" t="s">
        <v>95</v>
      </c>
      <c r="X780" t="s">
        <v>150</v>
      </c>
      <c r="Y780" t="s">
        <v>151</v>
      </c>
      <c r="Z780" t="s">
        <v>81</v>
      </c>
      <c r="AA780" t="s">
        <v>2682</v>
      </c>
      <c r="AB780" t="s">
        <v>3335</v>
      </c>
      <c r="AC780">
        <v>3</v>
      </c>
      <c r="AD780" t="s">
        <v>56</v>
      </c>
      <c r="AE780" t="s">
        <v>3336</v>
      </c>
      <c r="AF780" t="s">
        <v>227</v>
      </c>
      <c r="AG780" t="s">
        <v>3342</v>
      </c>
      <c r="AH780" s="1">
        <v>45113</v>
      </c>
      <c r="AI780" s="1">
        <v>45120</v>
      </c>
      <c r="AJ780" s="1">
        <v>45130</v>
      </c>
      <c r="AK780" t="s">
        <v>3513</v>
      </c>
      <c r="AL780" t="s">
        <v>2681</v>
      </c>
    </row>
    <row r="781" spans="1:38" x14ac:dyDescent="0.35">
      <c r="A781" t="s">
        <v>2683</v>
      </c>
      <c r="B781" t="s">
        <v>858</v>
      </c>
      <c r="C781" t="s">
        <v>43</v>
      </c>
      <c r="D781" t="s">
        <v>62</v>
      </c>
      <c r="E781" t="s">
        <v>45</v>
      </c>
      <c r="F781" t="s">
        <v>46</v>
      </c>
      <c r="G781" t="s">
        <v>63</v>
      </c>
      <c r="H781">
        <v>59990</v>
      </c>
      <c r="I781">
        <f>Sales_Transactions_Raw[[#This Row],[Unit_Price]]*Sales_Transactions_Raw[[#This Row],[Quantity]]</f>
        <v>239960</v>
      </c>
      <c r="J781">
        <v>4</v>
      </c>
      <c r="K781">
        <v>5</v>
      </c>
      <c r="L781">
        <v>11998</v>
      </c>
      <c r="M781">
        <v>227962</v>
      </c>
      <c r="N781">
        <v>18</v>
      </c>
      <c r="O781">
        <v>41033.160000000003</v>
      </c>
      <c r="P781">
        <v>0</v>
      </c>
      <c r="Q781">
        <v>268995.16000000003</v>
      </c>
      <c r="R781" t="s">
        <v>64</v>
      </c>
      <c r="S781" t="s">
        <v>93</v>
      </c>
      <c r="T781" t="s">
        <v>115</v>
      </c>
      <c r="U781" t="s">
        <v>108</v>
      </c>
      <c r="V781" t="s">
        <v>287</v>
      </c>
      <c r="W781" t="s">
        <v>95</v>
      </c>
      <c r="X781" t="s">
        <v>126</v>
      </c>
      <c r="Y781" t="s">
        <v>127</v>
      </c>
      <c r="Z781" t="s">
        <v>68</v>
      </c>
      <c r="AA781" t="s">
        <v>2685</v>
      </c>
      <c r="AB781" t="s">
        <v>3343</v>
      </c>
      <c r="AC781">
        <v>4</v>
      </c>
      <c r="AD781" t="s">
        <v>56</v>
      </c>
      <c r="AE781" t="s">
        <v>3336</v>
      </c>
      <c r="AF781" t="s">
        <v>262</v>
      </c>
      <c r="AG781" t="s">
        <v>3342</v>
      </c>
      <c r="AH781" s="1">
        <v>45438</v>
      </c>
      <c r="AI781" s="1">
        <v>45440</v>
      </c>
      <c r="AJ781" s="1">
        <v>45450</v>
      </c>
      <c r="AK781" t="s">
        <v>3576</v>
      </c>
      <c r="AL781" t="s">
        <v>2684</v>
      </c>
    </row>
    <row r="782" spans="1:38" x14ac:dyDescent="0.35">
      <c r="A782" t="s">
        <v>2686</v>
      </c>
      <c r="B782" t="s">
        <v>41</v>
      </c>
      <c r="C782" t="s">
        <v>131</v>
      </c>
      <c r="D782" t="s">
        <v>526</v>
      </c>
      <c r="E782" t="s">
        <v>527</v>
      </c>
      <c r="F782" t="s">
        <v>185</v>
      </c>
      <c r="G782" t="s">
        <v>528</v>
      </c>
      <c r="H782">
        <v>870</v>
      </c>
      <c r="I782">
        <f>Sales_Transactions_Raw[[#This Row],[Unit_Price]]*Sales_Transactions_Raw[[#This Row],[Quantity]]</f>
        <v>870</v>
      </c>
      <c r="J782">
        <v>1</v>
      </c>
      <c r="K782">
        <v>15</v>
      </c>
      <c r="L782">
        <v>130.5</v>
      </c>
      <c r="M782">
        <v>739.5</v>
      </c>
      <c r="N782">
        <v>5</v>
      </c>
      <c r="O782">
        <v>36.979999999999997</v>
      </c>
      <c r="P782">
        <v>79</v>
      </c>
      <c r="Q782">
        <v>776.48</v>
      </c>
      <c r="R782" t="s">
        <v>64</v>
      </c>
      <c r="S782" t="s">
        <v>93</v>
      </c>
      <c r="T782" t="s">
        <v>148</v>
      </c>
      <c r="U782" t="s">
        <v>214</v>
      </c>
      <c r="V782" t="s">
        <v>287</v>
      </c>
      <c r="W782" t="s">
        <v>95</v>
      </c>
      <c r="X782" t="s">
        <v>232</v>
      </c>
      <c r="Y782" t="s">
        <v>82</v>
      </c>
      <c r="Z782" t="s">
        <v>52</v>
      </c>
      <c r="AB782" t="s">
        <v>3335</v>
      </c>
      <c r="AC782">
        <v>3</v>
      </c>
      <c r="AD782" t="s">
        <v>56</v>
      </c>
      <c r="AE782" t="s">
        <v>3336</v>
      </c>
      <c r="AF782" t="s">
        <v>99</v>
      </c>
      <c r="AG782" t="s">
        <v>58</v>
      </c>
      <c r="AH782" s="1">
        <v>45234</v>
      </c>
      <c r="AI782" s="1">
        <v>45241</v>
      </c>
      <c r="AJ782" s="1">
        <v>45251</v>
      </c>
      <c r="AK782" t="s">
        <v>3376</v>
      </c>
      <c r="AL782" t="s">
        <v>2687</v>
      </c>
    </row>
    <row r="783" spans="1:38" x14ac:dyDescent="0.35">
      <c r="A783" t="s">
        <v>2688</v>
      </c>
      <c r="B783" t="s">
        <v>1107</v>
      </c>
      <c r="C783" t="s">
        <v>89</v>
      </c>
      <c r="D783" t="s">
        <v>122</v>
      </c>
      <c r="E783" t="s">
        <v>123</v>
      </c>
      <c r="F783" t="s">
        <v>46</v>
      </c>
      <c r="G783" t="s">
        <v>63</v>
      </c>
      <c r="H783">
        <v>53540</v>
      </c>
      <c r="I783">
        <f>Sales_Transactions_Raw[[#This Row],[Unit_Price]]*Sales_Transactions_Raw[[#This Row],[Quantity]]</f>
        <v>53540</v>
      </c>
      <c r="J783">
        <v>1</v>
      </c>
      <c r="K783">
        <v>0</v>
      </c>
      <c r="L783">
        <v>0</v>
      </c>
      <c r="M783">
        <v>53540</v>
      </c>
      <c r="N783">
        <v>18</v>
      </c>
      <c r="O783">
        <v>9637.2000000000007</v>
      </c>
      <c r="P783">
        <v>0</v>
      </c>
      <c r="Q783">
        <v>63177.2</v>
      </c>
      <c r="R783" t="s">
        <v>160</v>
      </c>
      <c r="S783" t="s">
        <v>107</v>
      </c>
      <c r="T783" t="s">
        <v>115</v>
      </c>
      <c r="U783" t="s">
        <v>196</v>
      </c>
      <c r="V783" t="s">
        <v>80</v>
      </c>
      <c r="W783" t="s">
        <v>81</v>
      </c>
      <c r="X783" t="s">
        <v>578</v>
      </c>
      <c r="Y783" t="s">
        <v>54</v>
      </c>
      <c r="Z783" t="s">
        <v>70</v>
      </c>
      <c r="AA783" t="s">
        <v>2690</v>
      </c>
      <c r="AB783" t="s">
        <v>3340</v>
      </c>
      <c r="AC783">
        <v>3</v>
      </c>
      <c r="AD783" t="s">
        <v>56</v>
      </c>
      <c r="AE783" t="s">
        <v>3336</v>
      </c>
      <c r="AF783" t="s">
        <v>84</v>
      </c>
      <c r="AG783" t="s">
        <v>85</v>
      </c>
      <c r="AH783" s="1">
        <v>45327</v>
      </c>
      <c r="AI783" s="1">
        <v>45332</v>
      </c>
      <c r="AJ783" s="1">
        <v>45337</v>
      </c>
      <c r="AK783" t="s">
        <v>3514</v>
      </c>
      <c r="AL783" t="s">
        <v>2689</v>
      </c>
    </row>
    <row r="784" spans="1:38" x14ac:dyDescent="0.35">
      <c r="A784" t="s">
        <v>2691</v>
      </c>
      <c r="B784" t="s">
        <v>409</v>
      </c>
      <c r="C784" t="s">
        <v>43</v>
      </c>
      <c r="D784" t="s">
        <v>323</v>
      </c>
      <c r="E784" t="s">
        <v>324</v>
      </c>
      <c r="F784" t="s">
        <v>146</v>
      </c>
      <c r="G784" t="s">
        <v>296</v>
      </c>
      <c r="H784">
        <v>11530</v>
      </c>
      <c r="I784">
        <f>Sales_Transactions_Raw[[#This Row],[Unit_Price]]*Sales_Transactions_Raw[[#This Row],[Quantity]]</f>
        <v>11530</v>
      </c>
      <c r="J784">
        <v>1</v>
      </c>
      <c r="K784">
        <v>10</v>
      </c>
      <c r="L784">
        <v>1153</v>
      </c>
      <c r="M784">
        <v>10377</v>
      </c>
      <c r="N784">
        <v>12</v>
      </c>
      <c r="O784">
        <v>1245.24</v>
      </c>
      <c r="P784">
        <v>0</v>
      </c>
      <c r="Q784">
        <v>11622.24</v>
      </c>
      <c r="R784" t="s">
        <v>124</v>
      </c>
      <c r="S784" t="s">
        <v>49</v>
      </c>
      <c r="T784" t="s">
        <v>115</v>
      </c>
      <c r="U784" t="s">
        <v>161</v>
      </c>
      <c r="V784" t="s">
        <v>242</v>
      </c>
      <c r="W784" t="s">
        <v>70</v>
      </c>
      <c r="X784" t="s">
        <v>381</v>
      </c>
      <c r="Y784" t="s">
        <v>199</v>
      </c>
      <c r="Z784" t="s">
        <v>52</v>
      </c>
      <c r="AA784" t="s">
        <v>2693</v>
      </c>
      <c r="AB784" t="s">
        <v>3335</v>
      </c>
      <c r="AC784">
        <v>4</v>
      </c>
      <c r="AD784" t="s">
        <v>56</v>
      </c>
      <c r="AE784" t="s">
        <v>3336</v>
      </c>
      <c r="AF784" t="s">
        <v>84</v>
      </c>
      <c r="AG784" t="s">
        <v>111</v>
      </c>
      <c r="AH784" s="1">
        <v>45436</v>
      </c>
      <c r="AI784" s="1">
        <v>45437</v>
      </c>
      <c r="AJ784" s="1">
        <v>45444</v>
      </c>
      <c r="AK784" t="s">
        <v>3425</v>
      </c>
      <c r="AL784" t="s">
        <v>2692</v>
      </c>
    </row>
    <row r="785" spans="1:38" x14ac:dyDescent="0.35">
      <c r="A785" t="s">
        <v>2694</v>
      </c>
      <c r="B785" t="s">
        <v>680</v>
      </c>
      <c r="C785" t="s">
        <v>43</v>
      </c>
      <c r="D785" t="s">
        <v>956</v>
      </c>
      <c r="E785" t="s">
        <v>957</v>
      </c>
      <c r="F785" t="s">
        <v>46</v>
      </c>
      <c r="G785" t="s">
        <v>147</v>
      </c>
      <c r="H785">
        <v>9330</v>
      </c>
      <c r="I785">
        <f>Sales_Transactions_Raw[[#This Row],[Unit_Price]]*Sales_Transactions_Raw[[#This Row],[Quantity]]</f>
        <v>46650</v>
      </c>
      <c r="J785">
        <v>5</v>
      </c>
      <c r="K785">
        <v>25</v>
      </c>
      <c r="L785">
        <v>11662.5</v>
      </c>
      <c r="M785">
        <v>34987.5</v>
      </c>
      <c r="N785">
        <v>18</v>
      </c>
      <c r="O785">
        <v>6297.75</v>
      </c>
      <c r="P785">
        <v>0</v>
      </c>
      <c r="Q785">
        <v>41285.25</v>
      </c>
      <c r="R785" t="s">
        <v>106</v>
      </c>
      <c r="S785" t="s">
        <v>93</v>
      </c>
      <c r="T785" t="s">
        <v>115</v>
      </c>
      <c r="U785" t="s">
        <v>196</v>
      </c>
      <c r="V785" t="s">
        <v>269</v>
      </c>
      <c r="W785" t="s">
        <v>70</v>
      </c>
      <c r="X785" t="s">
        <v>96</v>
      </c>
      <c r="Y785" t="s">
        <v>97</v>
      </c>
      <c r="Z785" t="s">
        <v>95</v>
      </c>
      <c r="AA785" t="s">
        <v>2696</v>
      </c>
      <c r="AB785" t="s">
        <v>3335</v>
      </c>
      <c r="AC785">
        <v>4</v>
      </c>
      <c r="AD785" t="s">
        <v>56</v>
      </c>
      <c r="AE785" t="s">
        <v>3336</v>
      </c>
      <c r="AF785" t="s">
        <v>99</v>
      </c>
      <c r="AG785" t="s">
        <v>58</v>
      </c>
      <c r="AH785" s="1">
        <v>45372</v>
      </c>
      <c r="AI785" s="1">
        <v>45373</v>
      </c>
      <c r="AJ785" s="1">
        <v>45378</v>
      </c>
      <c r="AK785" t="s">
        <v>3603</v>
      </c>
      <c r="AL785" t="s">
        <v>2695</v>
      </c>
    </row>
    <row r="786" spans="1:38" x14ac:dyDescent="0.35">
      <c r="A786" t="s">
        <v>2697</v>
      </c>
      <c r="B786" t="s">
        <v>717</v>
      </c>
      <c r="C786" t="s">
        <v>43</v>
      </c>
      <c r="D786" t="s">
        <v>490</v>
      </c>
      <c r="E786" t="s">
        <v>91</v>
      </c>
      <c r="F786" t="s">
        <v>46</v>
      </c>
      <c r="G786" t="s">
        <v>369</v>
      </c>
      <c r="H786">
        <v>74840</v>
      </c>
      <c r="I786">
        <f>Sales_Transactions_Raw[[#This Row],[Unit_Price]]*Sales_Transactions_Raw[[#This Row],[Quantity]]</f>
        <v>673560</v>
      </c>
      <c r="J786">
        <v>9</v>
      </c>
      <c r="K786">
        <v>0</v>
      </c>
      <c r="L786">
        <v>0</v>
      </c>
      <c r="M786">
        <v>673560</v>
      </c>
      <c r="N786">
        <v>18</v>
      </c>
      <c r="O786">
        <v>121240.8</v>
      </c>
      <c r="P786">
        <v>0</v>
      </c>
      <c r="Q786">
        <v>794800.8</v>
      </c>
      <c r="R786" t="s">
        <v>124</v>
      </c>
      <c r="S786" t="s">
        <v>65</v>
      </c>
      <c r="T786" t="s">
        <v>719</v>
      </c>
      <c r="U786" t="s">
        <v>50</v>
      </c>
      <c r="V786" t="s">
        <v>269</v>
      </c>
      <c r="W786" t="s">
        <v>70</v>
      </c>
      <c r="X786" t="s">
        <v>288</v>
      </c>
      <c r="Y786" t="s">
        <v>289</v>
      </c>
      <c r="Z786" t="s">
        <v>52</v>
      </c>
      <c r="AA786" t="s">
        <v>2699</v>
      </c>
      <c r="AB786" t="s">
        <v>3335</v>
      </c>
      <c r="AC786">
        <v>4</v>
      </c>
      <c r="AD786" t="s">
        <v>56</v>
      </c>
      <c r="AE786" t="s">
        <v>3336</v>
      </c>
      <c r="AF786" t="s">
        <v>57</v>
      </c>
      <c r="AG786" t="s">
        <v>3337</v>
      </c>
      <c r="AH786" s="1">
        <v>45364</v>
      </c>
      <c r="AI786" s="1">
        <v>45366</v>
      </c>
      <c r="AJ786" s="1">
        <v>45369</v>
      </c>
      <c r="AK786" t="s">
        <v>3445</v>
      </c>
      <c r="AL786" t="s">
        <v>2698</v>
      </c>
    </row>
    <row r="787" spans="1:38" x14ac:dyDescent="0.35">
      <c r="A787" t="s">
        <v>2700</v>
      </c>
      <c r="B787" t="s">
        <v>1036</v>
      </c>
      <c r="C787" t="s">
        <v>43</v>
      </c>
      <c r="D787" t="s">
        <v>402</v>
      </c>
      <c r="E787" t="s">
        <v>403</v>
      </c>
      <c r="F787" t="s">
        <v>146</v>
      </c>
      <c r="G787" t="s">
        <v>223</v>
      </c>
      <c r="H787">
        <v>1910</v>
      </c>
      <c r="I787">
        <f>Sales_Transactions_Raw[[#This Row],[Unit_Price]]*Sales_Transactions_Raw[[#This Row],[Quantity]]</f>
        <v>3820</v>
      </c>
      <c r="J787">
        <v>2</v>
      </c>
      <c r="K787">
        <v>10</v>
      </c>
      <c r="L787">
        <v>382</v>
      </c>
      <c r="M787">
        <v>3438</v>
      </c>
      <c r="N787">
        <v>12</v>
      </c>
      <c r="O787">
        <v>412.56</v>
      </c>
      <c r="P787">
        <v>49</v>
      </c>
      <c r="Q787">
        <v>3850.56</v>
      </c>
      <c r="R787" t="s">
        <v>160</v>
      </c>
      <c r="S787" t="s">
        <v>125</v>
      </c>
      <c r="T787" t="s">
        <v>115</v>
      </c>
      <c r="U787" t="s">
        <v>50</v>
      </c>
      <c r="V787" t="s">
        <v>80</v>
      </c>
      <c r="W787" t="s">
        <v>81</v>
      </c>
      <c r="X787" t="s">
        <v>599</v>
      </c>
      <c r="Y787" t="s">
        <v>319</v>
      </c>
      <c r="Z787" t="s">
        <v>95</v>
      </c>
      <c r="AA787" t="s">
        <v>2702</v>
      </c>
      <c r="AB787" t="s">
        <v>3335</v>
      </c>
      <c r="AC787">
        <v>3</v>
      </c>
      <c r="AD787" t="s">
        <v>56</v>
      </c>
      <c r="AE787" t="s">
        <v>3336</v>
      </c>
      <c r="AF787" t="s">
        <v>140</v>
      </c>
      <c r="AG787" t="s">
        <v>58</v>
      </c>
      <c r="AH787" s="1">
        <v>45274</v>
      </c>
      <c r="AI787" s="1">
        <v>45278</v>
      </c>
      <c r="AJ787" s="1">
        <v>45284</v>
      </c>
      <c r="AK787" t="s">
        <v>3504</v>
      </c>
      <c r="AL787" t="s">
        <v>2701</v>
      </c>
    </row>
    <row r="788" spans="1:38" x14ac:dyDescent="0.35">
      <c r="A788" t="s">
        <v>2703</v>
      </c>
      <c r="B788" t="s">
        <v>41</v>
      </c>
      <c r="C788" t="s">
        <v>43</v>
      </c>
      <c r="D788" t="s">
        <v>432</v>
      </c>
      <c r="E788" t="s">
        <v>433</v>
      </c>
      <c r="F788" t="s">
        <v>146</v>
      </c>
      <c r="G788" t="s">
        <v>296</v>
      </c>
      <c r="H788">
        <v>4640</v>
      </c>
      <c r="I788">
        <f>Sales_Transactions_Raw[[#This Row],[Unit_Price]]*Sales_Transactions_Raw[[#This Row],[Quantity]]</f>
        <v>32480</v>
      </c>
      <c r="J788">
        <v>7</v>
      </c>
      <c r="K788">
        <v>25</v>
      </c>
      <c r="L788">
        <v>8120</v>
      </c>
      <c r="M788">
        <v>24360</v>
      </c>
      <c r="N788">
        <v>12</v>
      </c>
      <c r="O788">
        <v>2923.2</v>
      </c>
      <c r="P788">
        <v>0</v>
      </c>
      <c r="Q788">
        <v>27283.200000000001</v>
      </c>
      <c r="R788" t="s">
        <v>48</v>
      </c>
      <c r="S788" t="s">
        <v>49</v>
      </c>
      <c r="T788" t="s">
        <v>115</v>
      </c>
      <c r="U788" t="s">
        <v>196</v>
      </c>
      <c r="V788" t="s">
        <v>80</v>
      </c>
      <c r="W788" t="s">
        <v>81</v>
      </c>
      <c r="X788" t="s">
        <v>204</v>
      </c>
      <c r="Y788" t="s">
        <v>118</v>
      </c>
      <c r="Z788" t="s">
        <v>70</v>
      </c>
      <c r="AA788" t="s">
        <v>2705</v>
      </c>
      <c r="AB788" t="s">
        <v>3341</v>
      </c>
      <c r="AC788">
        <v>5</v>
      </c>
      <c r="AD788" t="s">
        <v>56</v>
      </c>
      <c r="AE788" t="s">
        <v>3336</v>
      </c>
      <c r="AF788" t="s">
        <v>217</v>
      </c>
      <c r="AG788" t="s">
        <v>58</v>
      </c>
      <c r="AH788" s="1">
        <v>45119</v>
      </c>
      <c r="AI788" s="1">
        <v>45124</v>
      </c>
      <c r="AJ788" s="1">
        <v>45129</v>
      </c>
      <c r="AK788" t="s">
        <v>3577</v>
      </c>
      <c r="AL788" t="s">
        <v>2704</v>
      </c>
    </row>
    <row r="789" spans="1:38" x14ac:dyDescent="0.35">
      <c r="A789" t="s">
        <v>2706</v>
      </c>
      <c r="B789" t="s">
        <v>1036</v>
      </c>
      <c r="C789" t="s">
        <v>43</v>
      </c>
      <c r="D789" t="s">
        <v>335</v>
      </c>
      <c r="E789" t="s">
        <v>336</v>
      </c>
      <c r="F789" t="s">
        <v>134</v>
      </c>
      <c r="G789" t="s">
        <v>135</v>
      </c>
      <c r="H789">
        <v>10000</v>
      </c>
      <c r="I789">
        <f>Sales_Transactions_Raw[[#This Row],[Unit_Price]]*Sales_Transactions_Raw[[#This Row],[Quantity]]</f>
        <v>200000</v>
      </c>
      <c r="J789">
        <v>20</v>
      </c>
      <c r="K789">
        <v>5</v>
      </c>
      <c r="L789">
        <v>10000</v>
      </c>
      <c r="M789">
        <v>190000</v>
      </c>
      <c r="N789">
        <v>5</v>
      </c>
      <c r="O789">
        <v>9500</v>
      </c>
      <c r="P789">
        <v>0</v>
      </c>
      <c r="Q789">
        <v>199500</v>
      </c>
      <c r="R789" t="s">
        <v>79</v>
      </c>
      <c r="S789" t="s">
        <v>65</v>
      </c>
      <c r="T789" t="s">
        <v>115</v>
      </c>
      <c r="U789" t="s">
        <v>196</v>
      </c>
      <c r="V789" t="s">
        <v>276</v>
      </c>
      <c r="W789" t="s">
        <v>95</v>
      </c>
      <c r="X789" t="s">
        <v>491</v>
      </c>
      <c r="Y789" t="s">
        <v>358</v>
      </c>
      <c r="Z789" t="s">
        <v>95</v>
      </c>
      <c r="AA789" t="s">
        <v>2708</v>
      </c>
      <c r="AB789" t="s">
        <v>3338</v>
      </c>
      <c r="AC789">
        <v>5</v>
      </c>
      <c r="AD789" t="s">
        <v>56</v>
      </c>
      <c r="AE789" t="s">
        <v>3336</v>
      </c>
      <c r="AF789" t="s">
        <v>99</v>
      </c>
      <c r="AG789" t="s">
        <v>3342</v>
      </c>
      <c r="AH789" s="1">
        <v>44954</v>
      </c>
      <c r="AI789" s="1">
        <v>44959</v>
      </c>
      <c r="AJ789" s="1">
        <v>44968</v>
      </c>
      <c r="AK789" t="s">
        <v>3602</v>
      </c>
      <c r="AL789" t="s">
        <v>2707</v>
      </c>
    </row>
    <row r="790" spans="1:38" x14ac:dyDescent="0.35">
      <c r="A790" t="s">
        <v>2709</v>
      </c>
      <c r="B790" t="s">
        <v>87</v>
      </c>
      <c r="C790" t="s">
        <v>43</v>
      </c>
      <c r="D790" t="s">
        <v>294</v>
      </c>
      <c r="E790" t="s">
        <v>295</v>
      </c>
      <c r="F790" t="s">
        <v>146</v>
      </c>
      <c r="G790" t="s">
        <v>296</v>
      </c>
      <c r="H790">
        <v>14470</v>
      </c>
      <c r="I790">
        <f>Sales_Transactions_Raw[[#This Row],[Unit_Price]]*Sales_Transactions_Raw[[#This Row],[Quantity]]</f>
        <v>28940</v>
      </c>
      <c r="J790">
        <v>2</v>
      </c>
      <c r="K790">
        <v>15</v>
      </c>
      <c r="L790">
        <v>4341</v>
      </c>
      <c r="M790">
        <v>24599</v>
      </c>
      <c r="N790">
        <v>12</v>
      </c>
      <c r="O790">
        <v>2951.88</v>
      </c>
      <c r="P790">
        <v>0</v>
      </c>
      <c r="Q790">
        <v>27550.880000000001</v>
      </c>
      <c r="R790" t="s">
        <v>106</v>
      </c>
      <c r="S790" t="s">
        <v>65</v>
      </c>
      <c r="T790" t="s">
        <v>66</v>
      </c>
      <c r="U790" t="s">
        <v>196</v>
      </c>
      <c r="V790" t="s">
        <v>287</v>
      </c>
      <c r="W790" t="s">
        <v>95</v>
      </c>
      <c r="X790" t="s">
        <v>411</v>
      </c>
      <c r="Y790" t="s">
        <v>151</v>
      </c>
      <c r="Z790" t="s">
        <v>81</v>
      </c>
      <c r="AA790" t="s">
        <v>2711</v>
      </c>
      <c r="AB790" t="s">
        <v>3341</v>
      </c>
      <c r="AC790">
        <v>4</v>
      </c>
      <c r="AD790" t="s">
        <v>56</v>
      </c>
      <c r="AE790" t="s">
        <v>3336</v>
      </c>
      <c r="AF790" t="s">
        <v>84</v>
      </c>
      <c r="AG790" t="s">
        <v>85</v>
      </c>
      <c r="AH790" s="1">
        <v>45445</v>
      </c>
      <c r="AI790" s="1">
        <v>45451</v>
      </c>
      <c r="AJ790" s="1">
        <v>45461</v>
      </c>
      <c r="AK790" t="s">
        <v>3695</v>
      </c>
      <c r="AL790" t="s">
        <v>2710</v>
      </c>
    </row>
    <row r="791" spans="1:38" x14ac:dyDescent="0.35">
      <c r="A791" t="s">
        <v>2712</v>
      </c>
      <c r="B791" t="s">
        <v>343</v>
      </c>
      <c r="C791" t="s">
        <v>43</v>
      </c>
      <c r="D791" t="s">
        <v>90</v>
      </c>
      <c r="E791" t="s">
        <v>91</v>
      </c>
      <c r="F791" t="s">
        <v>46</v>
      </c>
      <c r="G791" t="s">
        <v>78</v>
      </c>
      <c r="H791">
        <v>100870</v>
      </c>
      <c r="I791">
        <f>Sales_Transactions_Raw[[#This Row],[Unit_Price]]*Sales_Transactions_Raw[[#This Row],[Quantity]]</f>
        <v>100870</v>
      </c>
      <c r="J791">
        <v>1</v>
      </c>
      <c r="K791">
        <v>10</v>
      </c>
      <c r="L791">
        <v>10087</v>
      </c>
      <c r="M791">
        <v>90783</v>
      </c>
      <c r="N791">
        <v>18</v>
      </c>
      <c r="O791">
        <v>16340.94</v>
      </c>
      <c r="P791">
        <v>0</v>
      </c>
      <c r="Q791">
        <v>107123.94</v>
      </c>
      <c r="R791" t="s">
        <v>106</v>
      </c>
      <c r="S791" t="s">
        <v>107</v>
      </c>
      <c r="T791" t="s">
        <v>66</v>
      </c>
      <c r="U791" t="s">
        <v>196</v>
      </c>
      <c r="V791" t="s">
        <v>116</v>
      </c>
      <c r="W791" t="s">
        <v>70</v>
      </c>
      <c r="X791" t="s">
        <v>611</v>
      </c>
      <c r="Y791" t="s">
        <v>97</v>
      </c>
      <c r="Z791" t="s">
        <v>95</v>
      </c>
      <c r="AA791" t="s">
        <v>2714</v>
      </c>
      <c r="AB791" t="s">
        <v>3335</v>
      </c>
      <c r="AC791">
        <v>4</v>
      </c>
      <c r="AD791" t="s">
        <v>56</v>
      </c>
      <c r="AE791" t="s">
        <v>3336</v>
      </c>
      <c r="AF791" t="s">
        <v>217</v>
      </c>
      <c r="AG791" t="s">
        <v>3342</v>
      </c>
      <c r="AH791" s="1">
        <v>45155</v>
      </c>
      <c r="AI791" s="1">
        <v>45159</v>
      </c>
      <c r="AJ791" s="1">
        <v>45162</v>
      </c>
      <c r="AK791" t="s">
        <v>3429</v>
      </c>
      <c r="AL791" t="s">
        <v>2713</v>
      </c>
    </row>
    <row r="792" spans="1:38" x14ac:dyDescent="0.35">
      <c r="A792" t="s">
        <v>2715</v>
      </c>
      <c r="B792" t="s">
        <v>60</v>
      </c>
      <c r="C792" t="s">
        <v>43</v>
      </c>
      <c r="D792" t="s">
        <v>441</v>
      </c>
      <c r="E792" t="s">
        <v>442</v>
      </c>
      <c r="F792" t="s">
        <v>46</v>
      </c>
      <c r="G792" t="s">
        <v>369</v>
      </c>
      <c r="H792">
        <v>65420</v>
      </c>
      <c r="I792">
        <f>Sales_Transactions_Raw[[#This Row],[Unit_Price]]*Sales_Transactions_Raw[[#This Row],[Quantity]]</f>
        <v>65420</v>
      </c>
      <c r="J792">
        <v>1</v>
      </c>
      <c r="K792">
        <v>5</v>
      </c>
      <c r="L792">
        <v>3271</v>
      </c>
      <c r="M792">
        <v>62149</v>
      </c>
      <c r="N792">
        <v>18</v>
      </c>
      <c r="O792">
        <v>11186.82</v>
      </c>
      <c r="P792">
        <v>0</v>
      </c>
      <c r="Q792">
        <v>73335.820000000007</v>
      </c>
      <c r="R792" t="s">
        <v>124</v>
      </c>
      <c r="S792" t="s">
        <v>49</v>
      </c>
      <c r="T792" t="s">
        <v>115</v>
      </c>
      <c r="U792" t="s">
        <v>214</v>
      </c>
      <c r="V792" t="s">
        <v>297</v>
      </c>
      <c r="W792" t="s">
        <v>52</v>
      </c>
      <c r="X792" t="s">
        <v>117</v>
      </c>
      <c r="Y792" t="s">
        <v>118</v>
      </c>
      <c r="Z792" t="s">
        <v>70</v>
      </c>
      <c r="AB792" t="s">
        <v>3344</v>
      </c>
      <c r="AC792">
        <v>4</v>
      </c>
      <c r="AD792" t="s">
        <v>56</v>
      </c>
      <c r="AE792" t="s">
        <v>3336</v>
      </c>
      <c r="AF792" t="s">
        <v>164</v>
      </c>
      <c r="AG792" t="s">
        <v>3342</v>
      </c>
      <c r="AH792" s="1">
        <v>45472</v>
      </c>
      <c r="AI792" s="1">
        <v>45478</v>
      </c>
      <c r="AJ792" s="1">
        <v>45488</v>
      </c>
      <c r="AK792" t="s">
        <v>3392</v>
      </c>
      <c r="AL792" t="s">
        <v>2716</v>
      </c>
    </row>
    <row r="793" spans="1:38" x14ac:dyDescent="0.35">
      <c r="A793" t="s">
        <v>2717</v>
      </c>
      <c r="B793" t="s">
        <v>699</v>
      </c>
      <c r="C793" t="s">
        <v>157</v>
      </c>
      <c r="D793" t="s">
        <v>441</v>
      </c>
      <c r="E793" t="s">
        <v>442</v>
      </c>
      <c r="F793" t="s">
        <v>46</v>
      </c>
      <c r="G793" t="s">
        <v>369</v>
      </c>
      <c r="H793">
        <v>65730</v>
      </c>
      <c r="I793">
        <f>Sales_Transactions_Raw[[#This Row],[Unit_Price]]*Sales_Transactions_Raw[[#This Row],[Quantity]]</f>
        <v>394380</v>
      </c>
      <c r="J793">
        <v>6</v>
      </c>
      <c r="K793">
        <v>10</v>
      </c>
      <c r="L793">
        <v>39438</v>
      </c>
      <c r="M793">
        <v>354942</v>
      </c>
      <c r="N793">
        <v>18</v>
      </c>
      <c r="O793">
        <v>63889.56</v>
      </c>
      <c r="P793">
        <v>0</v>
      </c>
      <c r="Q793">
        <v>418831.56</v>
      </c>
      <c r="R793" t="s">
        <v>124</v>
      </c>
      <c r="S793" t="s">
        <v>125</v>
      </c>
      <c r="T793" t="s">
        <v>213</v>
      </c>
      <c r="U793" t="s">
        <v>50</v>
      </c>
      <c r="V793" t="s">
        <v>94</v>
      </c>
      <c r="W793" t="s">
        <v>95</v>
      </c>
      <c r="X793" t="s">
        <v>232</v>
      </c>
      <c r="Y793" t="s">
        <v>82</v>
      </c>
      <c r="Z793" t="s">
        <v>52</v>
      </c>
      <c r="AA793" t="s">
        <v>2719</v>
      </c>
      <c r="AB793" t="s">
        <v>3338</v>
      </c>
      <c r="AC793">
        <v>4</v>
      </c>
      <c r="AD793" t="s">
        <v>179</v>
      </c>
      <c r="AE793" t="s">
        <v>3336</v>
      </c>
      <c r="AF793" t="s">
        <v>227</v>
      </c>
      <c r="AG793" t="s">
        <v>85</v>
      </c>
      <c r="AH793" s="1">
        <v>45068</v>
      </c>
      <c r="AI793" s="1">
        <v>45070</v>
      </c>
      <c r="AJ793" s="1">
        <v>45079</v>
      </c>
      <c r="AK793" t="s">
        <v>3696</v>
      </c>
      <c r="AL793" t="s">
        <v>2718</v>
      </c>
    </row>
    <row r="794" spans="1:38" x14ac:dyDescent="0.35">
      <c r="A794" t="s">
        <v>2720</v>
      </c>
      <c r="B794" t="s">
        <v>400</v>
      </c>
      <c r="C794" t="s">
        <v>43</v>
      </c>
      <c r="D794" t="s">
        <v>466</v>
      </c>
      <c r="E794" t="s">
        <v>467</v>
      </c>
      <c r="F794" t="s">
        <v>185</v>
      </c>
      <c r="G794" t="s">
        <v>468</v>
      </c>
      <c r="H794">
        <v>630</v>
      </c>
      <c r="I794">
        <f>Sales_Transactions_Raw[[#This Row],[Unit_Price]]*Sales_Transactions_Raw[[#This Row],[Quantity]]</f>
        <v>2520</v>
      </c>
      <c r="J794">
        <v>4</v>
      </c>
      <c r="K794">
        <v>15</v>
      </c>
      <c r="L794">
        <v>378</v>
      </c>
      <c r="M794">
        <v>2142</v>
      </c>
      <c r="N794">
        <v>5</v>
      </c>
      <c r="O794">
        <v>107.1</v>
      </c>
      <c r="P794">
        <v>149</v>
      </c>
      <c r="Q794">
        <v>2249.1</v>
      </c>
      <c r="R794" t="s">
        <v>48</v>
      </c>
      <c r="S794" t="s">
        <v>125</v>
      </c>
      <c r="T794" t="s">
        <v>115</v>
      </c>
      <c r="U794" t="s">
        <v>108</v>
      </c>
      <c r="V794" t="s">
        <v>177</v>
      </c>
      <c r="W794" t="s">
        <v>81</v>
      </c>
      <c r="X794" t="s">
        <v>237</v>
      </c>
      <c r="Y794" t="s">
        <v>138</v>
      </c>
      <c r="Z794" t="s">
        <v>81</v>
      </c>
      <c r="AA794" t="s">
        <v>2722</v>
      </c>
      <c r="AB794" t="s">
        <v>3338</v>
      </c>
      <c r="AC794">
        <v>4</v>
      </c>
      <c r="AD794" t="s">
        <v>56</v>
      </c>
      <c r="AE794" t="s">
        <v>3336</v>
      </c>
      <c r="AF794" t="s">
        <v>72</v>
      </c>
      <c r="AG794" t="s">
        <v>3342</v>
      </c>
      <c r="AH794" s="1">
        <v>45292</v>
      </c>
      <c r="AI794" s="1">
        <v>45294</v>
      </c>
      <c r="AJ794" s="1">
        <v>45304</v>
      </c>
      <c r="AK794" t="s">
        <v>3386</v>
      </c>
      <c r="AL794" t="s">
        <v>2721</v>
      </c>
    </row>
    <row r="795" spans="1:38" x14ac:dyDescent="0.35">
      <c r="A795" t="s">
        <v>2723</v>
      </c>
      <c r="B795" t="s">
        <v>717</v>
      </c>
      <c r="C795" t="s">
        <v>43</v>
      </c>
      <c r="D795" t="s">
        <v>122</v>
      </c>
      <c r="E795" t="s">
        <v>123</v>
      </c>
      <c r="F795" t="s">
        <v>46</v>
      </c>
      <c r="G795" t="s">
        <v>63</v>
      </c>
      <c r="H795">
        <v>61410</v>
      </c>
      <c r="I795">
        <f>Sales_Transactions_Raw[[#This Row],[Unit_Price]]*Sales_Transactions_Raw[[#This Row],[Quantity]]</f>
        <v>61410</v>
      </c>
      <c r="J795">
        <v>1</v>
      </c>
      <c r="K795">
        <v>15</v>
      </c>
      <c r="L795">
        <v>9211.5</v>
      </c>
      <c r="M795">
        <v>52198.5</v>
      </c>
      <c r="N795">
        <v>18</v>
      </c>
      <c r="O795">
        <v>9395.73</v>
      </c>
      <c r="P795">
        <v>0</v>
      </c>
      <c r="Q795">
        <v>61594.229999999996</v>
      </c>
      <c r="R795" t="s">
        <v>160</v>
      </c>
      <c r="S795" t="s">
        <v>125</v>
      </c>
      <c r="T795" t="s">
        <v>213</v>
      </c>
      <c r="U795" t="s">
        <v>161</v>
      </c>
      <c r="V795" t="s">
        <v>269</v>
      </c>
      <c r="W795" t="s">
        <v>70</v>
      </c>
      <c r="X795" t="s">
        <v>260</v>
      </c>
      <c r="Y795" t="s">
        <v>118</v>
      </c>
      <c r="Z795" t="s">
        <v>70</v>
      </c>
      <c r="AA795" t="s">
        <v>2725</v>
      </c>
      <c r="AB795" t="s">
        <v>3335</v>
      </c>
      <c r="AC795">
        <v>4</v>
      </c>
      <c r="AD795" t="s">
        <v>179</v>
      </c>
      <c r="AE795" t="s">
        <v>3336</v>
      </c>
      <c r="AF795" t="s">
        <v>72</v>
      </c>
      <c r="AG795" t="s">
        <v>3342</v>
      </c>
      <c r="AH795" s="1">
        <v>45339</v>
      </c>
      <c r="AI795" s="1">
        <v>45344</v>
      </c>
      <c r="AJ795" s="1">
        <v>45304</v>
      </c>
      <c r="AK795" t="s">
        <v>3531</v>
      </c>
      <c r="AL795" t="s">
        <v>2724</v>
      </c>
    </row>
    <row r="796" spans="1:38" x14ac:dyDescent="0.35">
      <c r="A796" t="s">
        <v>2726</v>
      </c>
      <c r="B796" t="s">
        <v>842</v>
      </c>
      <c r="C796" t="s">
        <v>43</v>
      </c>
      <c r="D796" t="s">
        <v>971</v>
      </c>
      <c r="E796" t="s">
        <v>972</v>
      </c>
      <c r="F796" t="s">
        <v>146</v>
      </c>
      <c r="G796" t="s">
        <v>195</v>
      </c>
      <c r="H796">
        <v>1720</v>
      </c>
      <c r="I796">
        <f>Sales_Transactions_Raw[[#This Row],[Unit_Price]]*Sales_Transactions_Raw[[#This Row],[Quantity]]</f>
        <v>1720</v>
      </c>
      <c r="J796">
        <v>1</v>
      </c>
      <c r="K796">
        <v>0</v>
      </c>
      <c r="L796">
        <v>0</v>
      </c>
      <c r="M796">
        <v>1720</v>
      </c>
      <c r="N796">
        <v>12</v>
      </c>
      <c r="O796">
        <v>206.4</v>
      </c>
      <c r="P796">
        <v>49</v>
      </c>
      <c r="Q796">
        <v>1926.4</v>
      </c>
      <c r="R796" t="s">
        <v>64</v>
      </c>
      <c r="S796" t="s">
        <v>93</v>
      </c>
      <c r="T796" t="s">
        <v>148</v>
      </c>
      <c r="U796" t="s">
        <v>50</v>
      </c>
      <c r="V796" t="s">
        <v>224</v>
      </c>
      <c r="W796" t="s">
        <v>95</v>
      </c>
      <c r="X796" t="s">
        <v>126</v>
      </c>
      <c r="Y796" t="s">
        <v>127</v>
      </c>
      <c r="Z796" t="s">
        <v>68</v>
      </c>
      <c r="AA796" t="s">
        <v>2728</v>
      </c>
      <c r="AB796" t="s">
        <v>3339</v>
      </c>
      <c r="AC796">
        <v>1</v>
      </c>
      <c r="AD796" t="s">
        <v>56</v>
      </c>
      <c r="AE796" t="s">
        <v>3336</v>
      </c>
      <c r="AF796" t="s">
        <v>153</v>
      </c>
      <c r="AG796" t="s">
        <v>3337</v>
      </c>
      <c r="AH796" s="1">
        <v>45073</v>
      </c>
      <c r="AI796" s="1">
        <v>45078</v>
      </c>
      <c r="AJ796" s="1">
        <v>45086</v>
      </c>
      <c r="AK796" t="s">
        <v>3484</v>
      </c>
      <c r="AL796" t="s">
        <v>2727</v>
      </c>
    </row>
    <row r="797" spans="1:38" x14ac:dyDescent="0.35">
      <c r="A797" t="s">
        <v>2729</v>
      </c>
      <c r="B797" t="s">
        <v>581</v>
      </c>
      <c r="C797" t="s">
        <v>89</v>
      </c>
      <c r="D797" t="s">
        <v>76</v>
      </c>
      <c r="E797" t="s">
        <v>77</v>
      </c>
      <c r="F797" t="s">
        <v>46</v>
      </c>
      <c r="G797" t="s">
        <v>78</v>
      </c>
      <c r="H797">
        <v>73600</v>
      </c>
      <c r="I797">
        <f>Sales_Transactions_Raw[[#This Row],[Unit_Price]]*Sales_Transactions_Raw[[#This Row],[Quantity]]</f>
        <v>147200</v>
      </c>
      <c r="J797">
        <v>2</v>
      </c>
      <c r="K797">
        <v>0</v>
      </c>
      <c r="L797">
        <v>0</v>
      </c>
      <c r="M797">
        <v>147200</v>
      </c>
      <c r="N797">
        <v>18</v>
      </c>
      <c r="O797">
        <v>26496</v>
      </c>
      <c r="P797">
        <v>0</v>
      </c>
      <c r="Q797">
        <v>173696</v>
      </c>
      <c r="R797" t="s">
        <v>92</v>
      </c>
      <c r="S797" t="s">
        <v>49</v>
      </c>
      <c r="T797" t="s">
        <v>66</v>
      </c>
      <c r="U797" t="s">
        <v>196</v>
      </c>
      <c r="V797" t="s">
        <v>51</v>
      </c>
      <c r="W797" t="s">
        <v>52</v>
      </c>
      <c r="X797" t="s">
        <v>243</v>
      </c>
      <c r="Y797" t="s">
        <v>244</v>
      </c>
      <c r="Z797" t="s">
        <v>70</v>
      </c>
      <c r="AA797" t="s">
        <v>2731</v>
      </c>
      <c r="AB797" t="s">
        <v>3343</v>
      </c>
      <c r="AC797">
        <v>5</v>
      </c>
      <c r="AD797" t="s">
        <v>56</v>
      </c>
      <c r="AE797" t="s">
        <v>3336</v>
      </c>
      <c r="AF797" t="s">
        <v>72</v>
      </c>
      <c r="AG797" t="s">
        <v>3342</v>
      </c>
      <c r="AH797" s="1">
        <v>45473</v>
      </c>
      <c r="AI797" s="1">
        <v>45358</v>
      </c>
      <c r="AJ797" s="1">
        <v>45450</v>
      </c>
      <c r="AK797" t="s">
        <v>3697</v>
      </c>
      <c r="AL797" t="s">
        <v>2730</v>
      </c>
    </row>
    <row r="798" spans="1:38" x14ac:dyDescent="0.35">
      <c r="A798" t="s">
        <v>2732</v>
      </c>
      <c r="B798" t="s">
        <v>60</v>
      </c>
      <c r="C798" t="s">
        <v>157</v>
      </c>
      <c r="D798" t="s">
        <v>335</v>
      </c>
      <c r="E798" t="s">
        <v>336</v>
      </c>
      <c r="F798" t="s">
        <v>134</v>
      </c>
      <c r="G798" t="s">
        <v>135</v>
      </c>
      <c r="H798">
        <v>10550</v>
      </c>
      <c r="I798">
        <f>Sales_Transactions_Raw[[#This Row],[Unit_Price]]*Sales_Transactions_Raw[[#This Row],[Quantity]]</f>
        <v>31650</v>
      </c>
      <c r="J798">
        <v>3</v>
      </c>
      <c r="K798">
        <v>15</v>
      </c>
      <c r="L798">
        <v>4747.5</v>
      </c>
      <c r="M798">
        <v>26902.5</v>
      </c>
      <c r="N798">
        <v>5</v>
      </c>
      <c r="O798">
        <v>1345.12</v>
      </c>
      <c r="P798">
        <v>0</v>
      </c>
      <c r="Q798">
        <v>28247.62</v>
      </c>
      <c r="R798" t="s">
        <v>124</v>
      </c>
      <c r="S798" t="s">
        <v>93</v>
      </c>
      <c r="T798" t="s">
        <v>115</v>
      </c>
      <c r="U798" t="s">
        <v>196</v>
      </c>
      <c r="V798" t="s">
        <v>297</v>
      </c>
      <c r="W798" t="s">
        <v>52</v>
      </c>
      <c r="X798" t="s">
        <v>288</v>
      </c>
      <c r="Y798" t="s">
        <v>289</v>
      </c>
      <c r="Z798" t="s">
        <v>52</v>
      </c>
      <c r="AA798" t="s">
        <v>2734</v>
      </c>
      <c r="AB798" t="s">
        <v>3335</v>
      </c>
      <c r="AC798">
        <v>4</v>
      </c>
      <c r="AD798" t="s">
        <v>179</v>
      </c>
      <c r="AE798" t="s">
        <v>3336</v>
      </c>
      <c r="AF798" t="s">
        <v>140</v>
      </c>
      <c r="AG798" t="s">
        <v>3342</v>
      </c>
      <c r="AH798" s="1">
        <v>45328</v>
      </c>
      <c r="AI798" s="1">
        <v>45541</v>
      </c>
      <c r="AJ798" s="1">
        <v>45462</v>
      </c>
      <c r="AK798" t="s">
        <v>3410</v>
      </c>
      <c r="AL798" t="s">
        <v>2733</v>
      </c>
    </row>
    <row r="799" spans="1:38" x14ac:dyDescent="0.35">
      <c r="A799" t="s">
        <v>2735</v>
      </c>
      <c r="B799" t="s">
        <v>461</v>
      </c>
      <c r="C799" t="s">
        <v>43</v>
      </c>
      <c r="D799" t="s">
        <v>144</v>
      </c>
      <c r="E799" t="s">
        <v>145</v>
      </c>
      <c r="F799" t="s">
        <v>146</v>
      </c>
      <c r="G799" t="s">
        <v>147</v>
      </c>
      <c r="H799">
        <v>2650</v>
      </c>
      <c r="I799">
        <f>Sales_Transactions_Raw[[#This Row],[Unit_Price]]*Sales_Transactions_Raw[[#This Row],[Quantity]]</f>
        <v>10600</v>
      </c>
      <c r="J799">
        <v>4</v>
      </c>
      <c r="K799">
        <v>0</v>
      </c>
      <c r="L799">
        <v>0</v>
      </c>
      <c r="M799">
        <v>10600</v>
      </c>
      <c r="N799">
        <v>12</v>
      </c>
      <c r="O799">
        <v>1272</v>
      </c>
      <c r="P799">
        <v>0</v>
      </c>
      <c r="Q799">
        <v>11872</v>
      </c>
      <c r="R799" t="s">
        <v>124</v>
      </c>
      <c r="S799" t="s">
        <v>93</v>
      </c>
      <c r="T799" t="s">
        <v>115</v>
      </c>
      <c r="U799" t="s">
        <v>196</v>
      </c>
      <c r="V799" t="s">
        <v>51</v>
      </c>
      <c r="W799" t="s">
        <v>696</v>
      </c>
      <c r="X799" t="s">
        <v>69</v>
      </c>
      <c r="Y799" t="s">
        <v>54</v>
      </c>
      <c r="Z799" t="s">
        <v>70</v>
      </c>
      <c r="AA799" t="s">
        <v>2737</v>
      </c>
      <c r="AB799" t="s">
        <v>3335</v>
      </c>
      <c r="AC799">
        <v>5</v>
      </c>
      <c r="AD799" t="s">
        <v>56</v>
      </c>
      <c r="AE799" t="s">
        <v>3336</v>
      </c>
      <c r="AF799" t="s">
        <v>164</v>
      </c>
      <c r="AG799" t="s">
        <v>3342</v>
      </c>
      <c r="AH799" s="1">
        <v>45131</v>
      </c>
      <c r="AI799" s="1">
        <v>45132</v>
      </c>
      <c r="AJ799" s="1">
        <v>45139</v>
      </c>
      <c r="AK799" t="s">
        <v>3477</v>
      </c>
      <c r="AL799" t="s">
        <v>2736</v>
      </c>
    </row>
    <row r="800" spans="1:38" x14ac:dyDescent="0.35">
      <c r="A800" t="s">
        <v>2738</v>
      </c>
      <c r="B800" t="s">
        <v>524</v>
      </c>
      <c r="C800" t="s">
        <v>131</v>
      </c>
      <c r="D800" t="s">
        <v>174</v>
      </c>
      <c r="E800" t="s">
        <v>175</v>
      </c>
      <c r="F800" t="s">
        <v>46</v>
      </c>
      <c r="G800" t="s">
        <v>176</v>
      </c>
      <c r="H800">
        <v>1460</v>
      </c>
      <c r="I800">
        <f>Sales_Transactions_Raw[[#This Row],[Unit_Price]]*Sales_Transactions_Raw[[#This Row],[Quantity]]</f>
        <v>11680</v>
      </c>
      <c r="J800">
        <v>8</v>
      </c>
      <c r="K800">
        <v>10</v>
      </c>
      <c r="L800">
        <v>1168</v>
      </c>
      <c r="M800">
        <v>10512</v>
      </c>
      <c r="N800">
        <v>18</v>
      </c>
      <c r="O800">
        <v>1892.16</v>
      </c>
      <c r="P800">
        <v>0</v>
      </c>
      <c r="Q800">
        <v>12404.16</v>
      </c>
      <c r="R800" t="s">
        <v>64</v>
      </c>
      <c r="S800" t="s">
        <v>49</v>
      </c>
      <c r="T800" t="s">
        <v>66</v>
      </c>
      <c r="U800" t="s">
        <v>161</v>
      </c>
      <c r="V800" t="s">
        <v>177</v>
      </c>
      <c r="W800" t="s">
        <v>81</v>
      </c>
      <c r="X800" t="s">
        <v>362</v>
      </c>
      <c r="Y800" t="s">
        <v>118</v>
      </c>
      <c r="Z800" t="s">
        <v>70</v>
      </c>
      <c r="AA800" t="s">
        <v>2740</v>
      </c>
      <c r="AB800" t="s">
        <v>3335</v>
      </c>
      <c r="AC800">
        <v>4</v>
      </c>
      <c r="AD800" t="s">
        <v>56</v>
      </c>
      <c r="AE800" t="s">
        <v>3336</v>
      </c>
      <c r="AF800" t="s">
        <v>84</v>
      </c>
      <c r="AG800" t="s">
        <v>111</v>
      </c>
      <c r="AH800" s="1">
        <v>45433</v>
      </c>
      <c r="AI800" s="1">
        <v>45438</v>
      </c>
      <c r="AJ800" s="1">
        <v>45442</v>
      </c>
      <c r="AK800" t="s">
        <v>3406</v>
      </c>
      <c r="AL800" t="s">
        <v>2739</v>
      </c>
    </row>
    <row r="801" spans="1:38" x14ac:dyDescent="0.35">
      <c r="A801" t="s">
        <v>2741</v>
      </c>
      <c r="B801" t="s">
        <v>617</v>
      </c>
      <c r="C801" t="s">
        <v>43</v>
      </c>
      <c r="D801" t="s">
        <v>367</v>
      </c>
      <c r="E801" t="s">
        <v>368</v>
      </c>
      <c r="F801" t="s">
        <v>46</v>
      </c>
      <c r="G801" t="s">
        <v>369</v>
      </c>
      <c r="H801">
        <v>26630</v>
      </c>
      <c r="I801">
        <f>Sales_Transactions_Raw[[#This Row],[Unit_Price]]*Sales_Transactions_Raw[[#This Row],[Quantity]]</f>
        <v>79890</v>
      </c>
      <c r="J801">
        <v>3</v>
      </c>
      <c r="K801">
        <v>0</v>
      </c>
      <c r="L801">
        <v>0</v>
      </c>
      <c r="M801">
        <v>79890</v>
      </c>
      <c r="N801">
        <v>18</v>
      </c>
      <c r="O801">
        <v>14380.2</v>
      </c>
      <c r="P801">
        <v>0</v>
      </c>
      <c r="Q801">
        <v>94270.2</v>
      </c>
      <c r="R801" t="s">
        <v>48</v>
      </c>
      <c r="S801" t="s">
        <v>65</v>
      </c>
      <c r="T801" t="s">
        <v>213</v>
      </c>
      <c r="U801" t="s">
        <v>108</v>
      </c>
      <c r="V801" t="s">
        <v>224</v>
      </c>
      <c r="W801" t="s">
        <v>95</v>
      </c>
      <c r="X801" t="s">
        <v>381</v>
      </c>
      <c r="Y801" t="s">
        <v>199</v>
      </c>
      <c r="Z801" t="s">
        <v>52</v>
      </c>
      <c r="AA801" t="s">
        <v>2743</v>
      </c>
      <c r="AB801" t="s">
        <v>3344</v>
      </c>
      <c r="AC801">
        <v>5</v>
      </c>
      <c r="AD801" t="s">
        <v>179</v>
      </c>
      <c r="AE801" t="s">
        <v>3336</v>
      </c>
      <c r="AF801" t="s">
        <v>164</v>
      </c>
      <c r="AG801" t="s">
        <v>58</v>
      </c>
      <c r="AH801" s="1">
        <v>45391</v>
      </c>
      <c r="AI801" s="1">
        <v>45392</v>
      </c>
      <c r="AJ801" s="1">
        <v>45398</v>
      </c>
      <c r="AK801" t="s">
        <v>3424</v>
      </c>
      <c r="AL801" t="s">
        <v>2742</v>
      </c>
    </row>
    <row r="802" spans="1:38" x14ac:dyDescent="0.35">
      <c r="A802" t="s">
        <v>2744</v>
      </c>
      <c r="B802" t="s">
        <v>753</v>
      </c>
      <c r="C802" t="s">
        <v>43</v>
      </c>
      <c r="D802" t="s">
        <v>103</v>
      </c>
      <c r="E802" t="s">
        <v>104</v>
      </c>
      <c r="F802" t="s">
        <v>46</v>
      </c>
      <c r="G802" t="s">
        <v>105</v>
      </c>
      <c r="H802">
        <v>29347.846790890268</v>
      </c>
      <c r="I802">
        <f>Sales_Transactions_Raw[[#This Row],[Unit_Price]]*Sales_Transactions_Raw[[#This Row],[Quantity]]</f>
        <v>88043.540372670803</v>
      </c>
      <c r="J802">
        <v>3</v>
      </c>
      <c r="K802">
        <v>5</v>
      </c>
      <c r="L802">
        <v>5254.5</v>
      </c>
      <c r="M802">
        <v>99835.5</v>
      </c>
      <c r="N802">
        <v>18</v>
      </c>
      <c r="O802">
        <v>17970.39</v>
      </c>
      <c r="P802">
        <v>0</v>
      </c>
      <c r="Q802">
        <v>117805.89</v>
      </c>
      <c r="R802" t="s">
        <v>160</v>
      </c>
      <c r="S802" t="s">
        <v>125</v>
      </c>
      <c r="T802" t="s">
        <v>115</v>
      </c>
      <c r="U802" t="s">
        <v>161</v>
      </c>
      <c r="V802" t="s">
        <v>224</v>
      </c>
      <c r="W802" t="s">
        <v>95</v>
      </c>
      <c r="X802" t="s">
        <v>198</v>
      </c>
      <c r="Y802" t="s">
        <v>199</v>
      </c>
      <c r="Z802" t="s">
        <v>52</v>
      </c>
      <c r="AA802" t="s">
        <v>2746</v>
      </c>
      <c r="AB802" t="s">
        <v>3335</v>
      </c>
      <c r="AC802">
        <v>4</v>
      </c>
      <c r="AD802" t="s">
        <v>56</v>
      </c>
      <c r="AE802" t="s">
        <v>3336</v>
      </c>
      <c r="AF802" t="s">
        <v>153</v>
      </c>
      <c r="AG802" t="s">
        <v>85</v>
      </c>
      <c r="AH802" s="1">
        <v>45229</v>
      </c>
      <c r="AI802" s="1">
        <v>45233</v>
      </c>
      <c r="AJ802" s="1">
        <v>45240</v>
      </c>
      <c r="AK802" t="s">
        <v>3454</v>
      </c>
      <c r="AL802" t="s">
        <v>2745</v>
      </c>
    </row>
    <row r="803" spans="1:38" x14ac:dyDescent="0.35">
      <c r="A803" t="s">
        <v>2747</v>
      </c>
      <c r="B803" t="s">
        <v>2748</v>
      </c>
      <c r="C803" t="s">
        <v>43</v>
      </c>
      <c r="D803" t="s">
        <v>971</v>
      </c>
      <c r="E803" t="s">
        <v>972</v>
      </c>
      <c r="F803" t="s">
        <v>146</v>
      </c>
      <c r="G803" t="s">
        <v>195</v>
      </c>
      <c r="H803">
        <v>1640</v>
      </c>
      <c r="I803">
        <f>Sales_Transactions_Raw[[#This Row],[Unit_Price]]*Sales_Transactions_Raw[[#This Row],[Quantity]]</f>
        <v>8200</v>
      </c>
      <c r="J803">
        <v>5</v>
      </c>
      <c r="K803">
        <v>10</v>
      </c>
      <c r="L803">
        <v>820</v>
      </c>
      <c r="M803">
        <v>7380</v>
      </c>
      <c r="N803">
        <v>12</v>
      </c>
      <c r="O803">
        <v>885.6</v>
      </c>
      <c r="P803">
        <v>0</v>
      </c>
      <c r="Q803">
        <v>8265.6</v>
      </c>
      <c r="R803" t="s">
        <v>79</v>
      </c>
      <c r="S803" t="s">
        <v>65</v>
      </c>
      <c r="T803" t="s">
        <v>115</v>
      </c>
      <c r="U803" t="s">
        <v>108</v>
      </c>
      <c r="V803" t="s">
        <v>177</v>
      </c>
      <c r="W803" t="s">
        <v>81</v>
      </c>
      <c r="X803" t="s">
        <v>551</v>
      </c>
      <c r="Y803" t="s">
        <v>138</v>
      </c>
      <c r="Z803" t="s">
        <v>81</v>
      </c>
      <c r="AA803" t="s">
        <v>2750</v>
      </c>
      <c r="AB803" t="s">
        <v>3338</v>
      </c>
      <c r="AC803">
        <v>3</v>
      </c>
      <c r="AD803" t="s">
        <v>56</v>
      </c>
      <c r="AE803" t="s">
        <v>3336</v>
      </c>
      <c r="AF803" t="s">
        <v>279</v>
      </c>
      <c r="AG803" t="s">
        <v>58</v>
      </c>
      <c r="AH803" s="1">
        <v>45124</v>
      </c>
      <c r="AI803" s="1">
        <v>45126</v>
      </c>
      <c r="AJ803" s="1">
        <v>45131</v>
      </c>
      <c r="AK803" t="s">
        <v>3536</v>
      </c>
      <c r="AL803" t="s">
        <v>2749</v>
      </c>
    </row>
    <row r="804" spans="1:38" x14ac:dyDescent="0.35">
      <c r="A804" t="s">
        <v>2751</v>
      </c>
      <c r="B804" t="s">
        <v>832</v>
      </c>
      <c r="C804" t="s">
        <v>43</v>
      </c>
      <c r="D804" t="s">
        <v>441</v>
      </c>
      <c r="E804" t="s">
        <v>442</v>
      </c>
      <c r="F804" t="s">
        <v>46</v>
      </c>
      <c r="G804" t="s">
        <v>369</v>
      </c>
      <c r="H804">
        <v>69120</v>
      </c>
      <c r="I804">
        <f>Sales_Transactions_Raw[[#This Row],[Unit_Price]]*Sales_Transactions_Raw[[#This Row],[Quantity]]</f>
        <v>69120</v>
      </c>
      <c r="J804">
        <v>1</v>
      </c>
      <c r="K804">
        <v>0</v>
      </c>
      <c r="L804">
        <v>0</v>
      </c>
      <c r="M804">
        <v>69120</v>
      </c>
      <c r="N804">
        <v>18</v>
      </c>
      <c r="O804">
        <v>12441.6</v>
      </c>
      <c r="P804">
        <v>0</v>
      </c>
      <c r="Q804">
        <v>81561.600000000006</v>
      </c>
      <c r="R804" t="s">
        <v>106</v>
      </c>
      <c r="S804" t="s">
        <v>125</v>
      </c>
      <c r="T804" t="s">
        <v>148</v>
      </c>
      <c r="U804" t="s">
        <v>161</v>
      </c>
      <c r="V804" t="s">
        <v>197</v>
      </c>
      <c r="W804" t="s">
        <v>68</v>
      </c>
      <c r="X804" t="s">
        <v>422</v>
      </c>
      <c r="Y804" t="s">
        <v>319</v>
      </c>
      <c r="Z804" t="s">
        <v>95</v>
      </c>
      <c r="AA804" t="s">
        <v>2753</v>
      </c>
      <c r="AB804" t="s">
        <v>3335</v>
      </c>
      <c r="AC804">
        <v>5</v>
      </c>
      <c r="AD804" t="s">
        <v>56</v>
      </c>
      <c r="AE804" t="s">
        <v>3336</v>
      </c>
      <c r="AF804" t="s">
        <v>279</v>
      </c>
      <c r="AG804" t="s">
        <v>58</v>
      </c>
      <c r="AH804" s="1">
        <v>45039</v>
      </c>
      <c r="AI804" s="1">
        <v>45044</v>
      </c>
      <c r="AJ804" s="1">
        <v>45051</v>
      </c>
      <c r="AK804" t="s">
        <v>3543</v>
      </c>
      <c r="AL804" t="s">
        <v>2752</v>
      </c>
    </row>
    <row r="805" spans="1:38" x14ac:dyDescent="0.35">
      <c r="A805" t="s">
        <v>2754</v>
      </c>
      <c r="B805" t="s">
        <v>1225</v>
      </c>
      <c r="C805" t="s">
        <v>89</v>
      </c>
      <c r="D805" t="s">
        <v>317</v>
      </c>
      <c r="E805" t="s">
        <v>77</v>
      </c>
      <c r="F805" t="s">
        <v>46</v>
      </c>
      <c r="G805" t="s">
        <v>176</v>
      </c>
      <c r="H805">
        <v>29260</v>
      </c>
      <c r="I805">
        <f>Sales_Transactions_Raw[[#This Row],[Unit_Price]]*Sales_Transactions_Raw[[#This Row],[Quantity]]</f>
        <v>117040</v>
      </c>
      <c r="J805">
        <v>4</v>
      </c>
      <c r="K805">
        <v>5</v>
      </c>
      <c r="L805">
        <v>5852</v>
      </c>
      <c r="M805">
        <v>111188</v>
      </c>
      <c r="N805">
        <v>18</v>
      </c>
      <c r="O805">
        <v>20013.84</v>
      </c>
      <c r="P805">
        <v>0</v>
      </c>
      <c r="Q805">
        <v>131201.84</v>
      </c>
      <c r="R805" t="s">
        <v>160</v>
      </c>
      <c r="S805" t="s">
        <v>93</v>
      </c>
      <c r="T805" t="s">
        <v>115</v>
      </c>
      <c r="U805" t="s">
        <v>50</v>
      </c>
      <c r="V805" t="s">
        <v>80</v>
      </c>
      <c r="W805" t="s">
        <v>81</v>
      </c>
      <c r="X805" t="s">
        <v>362</v>
      </c>
      <c r="Y805" t="s">
        <v>118</v>
      </c>
      <c r="Z805" t="s">
        <v>70</v>
      </c>
      <c r="AA805" t="s">
        <v>2756</v>
      </c>
      <c r="AB805" t="s">
        <v>3335</v>
      </c>
      <c r="AC805">
        <v>4</v>
      </c>
      <c r="AD805" t="s">
        <v>56</v>
      </c>
      <c r="AE805" t="s">
        <v>3336</v>
      </c>
      <c r="AF805" t="s">
        <v>57</v>
      </c>
      <c r="AG805" t="s">
        <v>58</v>
      </c>
      <c r="AH805" s="1">
        <v>45434</v>
      </c>
      <c r="AI805" s="1">
        <v>45441</v>
      </c>
      <c r="AJ805" s="1">
        <v>45450</v>
      </c>
      <c r="AK805" t="s">
        <v>3698</v>
      </c>
      <c r="AL805" t="s">
        <v>2755</v>
      </c>
    </row>
    <row r="806" spans="1:38" x14ac:dyDescent="0.35">
      <c r="A806" t="s">
        <v>2757</v>
      </c>
      <c r="B806" t="s">
        <v>191</v>
      </c>
      <c r="C806" t="s">
        <v>43</v>
      </c>
      <c r="D806" t="s">
        <v>420</v>
      </c>
      <c r="E806" t="s">
        <v>421</v>
      </c>
      <c r="F806" t="s">
        <v>134</v>
      </c>
      <c r="G806" t="s">
        <v>135</v>
      </c>
      <c r="H806">
        <v>3680</v>
      </c>
      <c r="I806">
        <f>Sales_Transactions_Raw[[#This Row],[Unit_Price]]*Sales_Transactions_Raw[[#This Row],[Quantity]]</f>
        <v>7360</v>
      </c>
      <c r="J806">
        <v>2</v>
      </c>
      <c r="K806">
        <v>0</v>
      </c>
      <c r="L806">
        <v>0</v>
      </c>
      <c r="M806">
        <v>7360</v>
      </c>
      <c r="N806">
        <v>5</v>
      </c>
      <c r="O806">
        <v>368</v>
      </c>
      <c r="P806">
        <v>0</v>
      </c>
      <c r="Q806">
        <v>7728</v>
      </c>
      <c r="R806" t="s">
        <v>79</v>
      </c>
      <c r="S806" t="s">
        <v>65</v>
      </c>
      <c r="T806" t="s">
        <v>115</v>
      </c>
      <c r="U806" t="s">
        <v>161</v>
      </c>
      <c r="V806" t="s">
        <v>297</v>
      </c>
      <c r="W806" t="s">
        <v>52</v>
      </c>
      <c r="X806" t="s">
        <v>626</v>
      </c>
      <c r="Y806" t="s">
        <v>289</v>
      </c>
      <c r="Z806" t="s">
        <v>52</v>
      </c>
      <c r="AA806" t="s">
        <v>2759</v>
      </c>
      <c r="AB806" t="s">
        <v>3335</v>
      </c>
      <c r="AC806">
        <v>5</v>
      </c>
      <c r="AD806" t="s">
        <v>56</v>
      </c>
      <c r="AE806" t="s">
        <v>3336</v>
      </c>
      <c r="AF806" t="s">
        <v>72</v>
      </c>
      <c r="AG806" t="s">
        <v>85</v>
      </c>
      <c r="AH806" s="1">
        <v>45244</v>
      </c>
      <c r="AI806" s="1">
        <v>45247</v>
      </c>
      <c r="AJ806" s="1">
        <v>45249</v>
      </c>
      <c r="AK806" t="s">
        <v>3358</v>
      </c>
      <c r="AL806" t="s">
        <v>2758</v>
      </c>
    </row>
    <row r="807" spans="1:38" x14ac:dyDescent="0.35">
      <c r="A807" t="s">
        <v>2760</v>
      </c>
      <c r="B807" t="s">
        <v>772</v>
      </c>
      <c r="C807" t="s">
        <v>43</v>
      </c>
      <c r="D807" t="s">
        <v>375</v>
      </c>
      <c r="E807" t="s">
        <v>376</v>
      </c>
      <c r="F807" t="s">
        <v>146</v>
      </c>
      <c r="G807" t="s">
        <v>147</v>
      </c>
      <c r="H807">
        <v>8670</v>
      </c>
      <c r="I807">
        <f>Sales_Transactions_Raw[[#This Row],[Unit_Price]]*Sales_Transactions_Raw[[#This Row],[Quantity]]</f>
        <v>8670</v>
      </c>
      <c r="J807">
        <v>1</v>
      </c>
      <c r="K807">
        <v>10</v>
      </c>
      <c r="L807">
        <v>867</v>
      </c>
      <c r="M807">
        <v>7803</v>
      </c>
      <c r="N807">
        <v>12</v>
      </c>
      <c r="O807">
        <v>936.36</v>
      </c>
      <c r="P807">
        <v>0</v>
      </c>
      <c r="Q807">
        <v>8739.36</v>
      </c>
      <c r="R807" t="s">
        <v>64</v>
      </c>
      <c r="S807" t="s">
        <v>65</v>
      </c>
      <c r="T807" t="s">
        <v>115</v>
      </c>
      <c r="U807" t="s">
        <v>108</v>
      </c>
      <c r="V807" t="s">
        <v>67</v>
      </c>
      <c r="W807" t="s">
        <v>68</v>
      </c>
      <c r="X807" t="s">
        <v>362</v>
      </c>
      <c r="Y807" t="s">
        <v>118</v>
      </c>
      <c r="Z807" t="s">
        <v>70</v>
      </c>
      <c r="AA807" t="s">
        <v>2762</v>
      </c>
      <c r="AB807" t="s">
        <v>3338</v>
      </c>
      <c r="AC807">
        <v>5</v>
      </c>
      <c r="AD807" t="s">
        <v>56</v>
      </c>
      <c r="AE807" t="s">
        <v>3336</v>
      </c>
      <c r="AF807" t="s">
        <v>217</v>
      </c>
      <c r="AG807" t="s">
        <v>58</v>
      </c>
      <c r="AH807" s="1">
        <v>45224</v>
      </c>
      <c r="AI807" s="1">
        <v>45225</v>
      </c>
      <c r="AJ807" s="1">
        <v>45228</v>
      </c>
      <c r="AK807" t="s">
        <v>3472</v>
      </c>
      <c r="AL807" t="s">
        <v>2761</v>
      </c>
    </row>
    <row r="808" spans="1:38" x14ac:dyDescent="0.35">
      <c r="A808" t="s">
        <v>2763</v>
      </c>
      <c r="B808" t="s">
        <v>1158</v>
      </c>
      <c r="C808" t="s">
        <v>43</v>
      </c>
      <c r="D808" t="s">
        <v>122</v>
      </c>
      <c r="E808" t="s">
        <v>123</v>
      </c>
      <c r="F808" t="s">
        <v>46</v>
      </c>
      <c r="G808" t="s">
        <v>63</v>
      </c>
      <c r="H808">
        <v>56360</v>
      </c>
      <c r="I808">
        <f>Sales_Transactions_Raw[[#This Row],[Unit_Price]]*Sales_Transactions_Raw[[#This Row],[Quantity]]</f>
        <v>56360</v>
      </c>
      <c r="J808">
        <v>1</v>
      </c>
      <c r="K808">
        <v>15</v>
      </c>
      <c r="L808">
        <v>8454</v>
      </c>
      <c r="M808">
        <v>47906</v>
      </c>
      <c r="N808">
        <v>18</v>
      </c>
      <c r="O808">
        <v>8623.08</v>
      </c>
      <c r="P808">
        <v>0</v>
      </c>
      <c r="Q808">
        <v>56529.08</v>
      </c>
      <c r="R808" t="s">
        <v>64</v>
      </c>
      <c r="S808" t="s">
        <v>49</v>
      </c>
      <c r="T808" t="s">
        <v>115</v>
      </c>
      <c r="U808" t="s">
        <v>161</v>
      </c>
      <c r="V808" t="s">
        <v>197</v>
      </c>
      <c r="W808" t="s">
        <v>68</v>
      </c>
      <c r="X808" t="s">
        <v>225</v>
      </c>
      <c r="Y808" t="s">
        <v>226</v>
      </c>
      <c r="Z808" t="s">
        <v>95</v>
      </c>
      <c r="AA808" t="s">
        <v>2765</v>
      </c>
      <c r="AB808" t="s">
        <v>3335</v>
      </c>
      <c r="AC808">
        <v>4</v>
      </c>
      <c r="AD808" t="s">
        <v>56</v>
      </c>
      <c r="AE808" t="s">
        <v>3336</v>
      </c>
      <c r="AF808" t="s">
        <v>217</v>
      </c>
      <c r="AG808" t="s">
        <v>58</v>
      </c>
      <c r="AH808" s="1">
        <v>45203</v>
      </c>
      <c r="AI808" s="1">
        <v>45208</v>
      </c>
      <c r="AJ808" s="1">
        <v>45215</v>
      </c>
      <c r="AK808" t="s">
        <v>3520</v>
      </c>
      <c r="AL808" t="s">
        <v>2764</v>
      </c>
    </row>
    <row r="809" spans="1:38" x14ac:dyDescent="0.35">
      <c r="A809" t="s">
        <v>2766</v>
      </c>
      <c r="B809" t="s">
        <v>1286</v>
      </c>
      <c r="C809" t="s">
        <v>89</v>
      </c>
      <c r="D809" t="s">
        <v>310</v>
      </c>
      <c r="E809" t="s">
        <v>311</v>
      </c>
      <c r="F809" t="s">
        <v>211</v>
      </c>
      <c r="G809" t="s">
        <v>312</v>
      </c>
      <c r="H809">
        <v>11220</v>
      </c>
      <c r="I809">
        <f>Sales_Transactions_Raw[[#This Row],[Unit_Price]]*Sales_Transactions_Raw[[#This Row],[Quantity]]</f>
        <v>22440</v>
      </c>
      <c r="J809">
        <v>2</v>
      </c>
      <c r="K809">
        <v>5</v>
      </c>
      <c r="L809">
        <v>1122</v>
      </c>
      <c r="M809">
        <v>21318</v>
      </c>
      <c r="N809">
        <v>5</v>
      </c>
      <c r="O809">
        <v>1065.9000000000001</v>
      </c>
      <c r="P809">
        <v>0</v>
      </c>
      <c r="Q809">
        <v>22383.9</v>
      </c>
      <c r="R809" t="s">
        <v>48</v>
      </c>
      <c r="S809" t="s">
        <v>125</v>
      </c>
      <c r="T809" t="s">
        <v>136</v>
      </c>
      <c r="U809" t="s">
        <v>214</v>
      </c>
      <c r="V809" t="s">
        <v>67</v>
      </c>
      <c r="W809" t="s">
        <v>68</v>
      </c>
      <c r="X809" t="s">
        <v>232</v>
      </c>
      <c r="Y809" t="s">
        <v>82</v>
      </c>
      <c r="Z809" t="s">
        <v>52</v>
      </c>
      <c r="AA809" t="s">
        <v>2768</v>
      </c>
      <c r="AB809" t="s">
        <v>3340</v>
      </c>
      <c r="AC809">
        <v>4</v>
      </c>
      <c r="AD809" t="s">
        <v>56</v>
      </c>
      <c r="AE809" t="s">
        <v>3336</v>
      </c>
      <c r="AF809" t="s">
        <v>217</v>
      </c>
      <c r="AG809" t="s">
        <v>85</v>
      </c>
      <c r="AH809" s="1">
        <v>45407</v>
      </c>
      <c r="AI809" s="1">
        <v>45409</v>
      </c>
      <c r="AJ809" s="1">
        <v>45215</v>
      </c>
      <c r="AK809" t="s">
        <v>3699</v>
      </c>
      <c r="AL809" t="s">
        <v>2767</v>
      </c>
    </row>
    <row r="810" spans="1:38" x14ac:dyDescent="0.35">
      <c r="A810" t="s">
        <v>2769</v>
      </c>
      <c r="B810" t="s">
        <v>656</v>
      </c>
      <c r="C810" t="s">
        <v>157</v>
      </c>
      <c r="D810" t="s">
        <v>209</v>
      </c>
      <c r="E810" t="s">
        <v>210</v>
      </c>
      <c r="F810" t="s">
        <v>211</v>
      </c>
      <c r="G810" t="s">
        <v>212</v>
      </c>
      <c r="H810">
        <v>4570</v>
      </c>
      <c r="I810">
        <f>Sales_Transactions_Raw[[#This Row],[Unit_Price]]*Sales_Transactions_Raw[[#This Row],[Quantity]]</f>
        <v>4570</v>
      </c>
      <c r="J810">
        <v>1</v>
      </c>
      <c r="K810">
        <v>20</v>
      </c>
      <c r="L810">
        <v>914</v>
      </c>
      <c r="M810">
        <v>3656</v>
      </c>
      <c r="N810">
        <v>5</v>
      </c>
      <c r="O810">
        <v>182.8</v>
      </c>
      <c r="P810">
        <v>49</v>
      </c>
      <c r="Q810">
        <v>3838.8</v>
      </c>
      <c r="R810" t="s">
        <v>64</v>
      </c>
      <c r="S810" t="s">
        <v>93</v>
      </c>
      <c r="T810" t="s">
        <v>136</v>
      </c>
      <c r="U810" t="s">
        <v>214</v>
      </c>
      <c r="V810" t="s">
        <v>80</v>
      </c>
      <c r="W810" t="s">
        <v>81</v>
      </c>
      <c r="X810" t="s">
        <v>515</v>
      </c>
      <c r="Y810" t="s">
        <v>82</v>
      </c>
      <c r="Z810" t="s">
        <v>52</v>
      </c>
      <c r="AA810" t="s">
        <v>2771</v>
      </c>
      <c r="AB810" t="s">
        <v>3335</v>
      </c>
      <c r="AC810">
        <v>4</v>
      </c>
      <c r="AD810" t="s">
        <v>56</v>
      </c>
      <c r="AE810" t="s">
        <v>3336</v>
      </c>
      <c r="AF810" t="s">
        <v>227</v>
      </c>
      <c r="AG810" t="s">
        <v>58</v>
      </c>
      <c r="AH810" s="1">
        <v>45221</v>
      </c>
      <c r="AI810" s="1">
        <v>45222</v>
      </c>
      <c r="AJ810" s="1">
        <v>45230</v>
      </c>
      <c r="AK810" t="s">
        <v>3433</v>
      </c>
      <c r="AL810" t="s">
        <v>2770</v>
      </c>
    </row>
    <row r="811" spans="1:38" x14ac:dyDescent="0.35">
      <c r="A811" t="s">
        <v>2772</v>
      </c>
      <c r="B811" t="s">
        <v>1107</v>
      </c>
      <c r="C811" t="s">
        <v>43</v>
      </c>
      <c r="D811" t="s">
        <v>230</v>
      </c>
      <c r="E811" t="s">
        <v>231</v>
      </c>
      <c r="F811" t="s">
        <v>46</v>
      </c>
      <c r="G811" t="s">
        <v>63</v>
      </c>
      <c r="H811">
        <v>109180</v>
      </c>
      <c r="I811">
        <f>Sales_Transactions_Raw[[#This Row],[Unit_Price]]*Sales_Transactions_Raw[[#This Row],[Quantity]]</f>
        <v>436720</v>
      </c>
      <c r="J811">
        <v>4</v>
      </c>
      <c r="K811">
        <v>0</v>
      </c>
      <c r="L811">
        <v>0</v>
      </c>
      <c r="M811">
        <v>436720</v>
      </c>
      <c r="N811">
        <v>18</v>
      </c>
      <c r="O811">
        <v>78609.600000000006</v>
      </c>
      <c r="P811">
        <v>0</v>
      </c>
      <c r="Q811">
        <v>515329.6</v>
      </c>
      <c r="R811" t="s">
        <v>48</v>
      </c>
      <c r="S811" t="s">
        <v>93</v>
      </c>
      <c r="T811" t="s">
        <v>66</v>
      </c>
      <c r="U811" t="s">
        <v>196</v>
      </c>
      <c r="V811" t="s">
        <v>116</v>
      </c>
      <c r="W811" t="s">
        <v>70</v>
      </c>
      <c r="X811" t="s">
        <v>96</v>
      </c>
      <c r="Y811" t="s">
        <v>97</v>
      </c>
      <c r="Z811" t="s">
        <v>95</v>
      </c>
      <c r="AA811" t="s">
        <v>2774</v>
      </c>
      <c r="AB811" t="s">
        <v>3343</v>
      </c>
      <c r="AC811">
        <v>5</v>
      </c>
      <c r="AD811" t="s">
        <v>56</v>
      </c>
      <c r="AE811" t="s">
        <v>3336</v>
      </c>
      <c r="AF811" t="s">
        <v>279</v>
      </c>
      <c r="AG811" t="s">
        <v>3342</v>
      </c>
      <c r="AH811" s="1">
        <v>45121</v>
      </c>
      <c r="AI811" s="1">
        <v>45124</v>
      </c>
      <c r="AJ811" s="1">
        <v>45230</v>
      </c>
      <c r="AK811" t="s">
        <v>3565</v>
      </c>
      <c r="AL811" t="s">
        <v>2773</v>
      </c>
    </row>
    <row r="812" spans="1:38" x14ac:dyDescent="0.35">
      <c r="A812" t="s">
        <v>2775</v>
      </c>
      <c r="B812" t="s">
        <v>461</v>
      </c>
      <c r="C812" t="s">
        <v>43</v>
      </c>
      <c r="D812" t="s">
        <v>375</v>
      </c>
      <c r="E812" t="s">
        <v>376</v>
      </c>
      <c r="F812" t="s">
        <v>146</v>
      </c>
      <c r="G812" t="s">
        <v>147</v>
      </c>
      <c r="H812">
        <v>8580</v>
      </c>
      <c r="I812">
        <f>Sales_Transactions_Raw[[#This Row],[Unit_Price]]*Sales_Transactions_Raw[[#This Row],[Quantity]]</f>
        <v>8580</v>
      </c>
      <c r="J812">
        <v>1</v>
      </c>
      <c r="K812">
        <v>10</v>
      </c>
      <c r="L812">
        <v>858</v>
      </c>
      <c r="M812">
        <v>7722</v>
      </c>
      <c r="N812">
        <v>12</v>
      </c>
      <c r="O812">
        <v>926.64</v>
      </c>
      <c r="P812">
        <v>0</v>
      </c>
      <c r="Q812">
        <v>8648.64</v>
      </c>
      <c r="R812" t="s">
        <v>48</v>
      </c>
      <c r="S812" t="s">
        <v>107</v>
      </c>
      <c r="T812" t="s">
        <v>115</v>
      </c>
      <c r="U812" t="s">
        <v>108</v>
      </c>
      <c r="V812" t="s">
        <v>269</v>
      </c>
      <c r="W812" t="s">
        <v>70</v>
      </c>
      <c r="X812" t="s">
        <v>340</v>
      </c>
      <c r="Y812" t="s">
        <v>169</v>
      </c>
      <c r="Z812" t="s">
        <v>95</v>
      </c>
      <c r="AA812" t="s">
        <v>2777</v>
      </c>
      <c r="AB812" t="s">
        <v>3335</v>
      </c>
      <c r="AC812">
        <v>5</v>
      </c>
      <c r="AD812" t="s">
        <v>56</v>
      </c>
      <c r="AE812" t="s">
        <v>3336</v>
      </c>
      <c r="AF812" t="s">
        <v>72</v>
      </c>
      <c r="AG812" t="s">
        <v>111</v>
      </c>
      <c r="AH812" s="1">
        <v>45156</v>
      </c>
      <c r="AI812" s="1">
        <v>45160</v>
      </c>
      <c r="AJ812" s="1">
        <v>45166</v>
      </c>
      <c r="AK812" t="s">
        <v>3483</v>
      </c>
      <c r="AL812" t="s">
        <v>2776</v>
      </c>
    </row>
    <row r="813" spans="1:38" x14ac:dyDescent="0.35">
      <c r="A813" t="s">
        <v>2778</v>
      </c>
      <c r="B813" t="s">
        <v>254</v>
      </c>
      <c r="C813" t="s">
        <v>43</v>
      </c>
      <c r="D813" t="s">
        <v>526</v>
      </c>
      <c r="E813" t="s">
        <v>527</v>
      </c>
      <c r="F813" t="s">
        <v>185</v>
      </c>
      <c r="G813" t="s">
        <v>528</v>
      </c>
      <c r="H813">
        <v>850</v>
      </c>
      <c r="I813">
        <f>Sales_Transactions_Raw[[#This Row],[Unit_Price]]*Sales_Transactions_Raw[[#This Row],[Quantity]]</f>
        <v>850</v>
      </c>
      <c r="J813">
        <v>1</v>
      </c>
      <c r="K813">
        <v>5</v>
      </c>
      <c r="L813">
        <v>42.5</v>
      </c>
      <c r="M813">
        <v>807.5</v>
      </c>
      <c r="N813">
        <v>5</v>
      </c>
      <c r="O813">
        <v>40.380000000000003</v>
      </c>
      <c r="P813">
        <v>149</v>
      </c>
      <c r="Q813">
        <v>847.88</v>
      </c>
      <c r="R813" t="s">
        <v>48</v>
      </c>
      <c r="S813" t="s">
        <v>93</v>
      </c>
      <c r="T813" t="s">
        <v>213</v>
      </c>
      <c r="U813" t="s">
        <v>50</v>
      </c>
      <c r="V813" t="s">
        <v>287</v>
      </c>
      <c r="W813" t="s">
        <v>696</v>
      </c>
      <c r="X813" t="s">
        <v>215</v>
      </c>
      <c r="Y813" t="s">
        <v>169</v>
      </c>
      <c r="Z813" t="s">
        <v>95</v>
      </c>
      <c r="AA813" t="s">
        <v>2780</v>
      </c>
      <c r="AB813" t="s">
        <v>3343</v>
      </c>
      <c r="AC813">
        <v>4</v>
      </c>
      <c r="AD813" t="s">
        <v>179</v>
      </c>
      <c r="AE813" t="s">
        <v>180</v>
      </c>
      <c r="AF813" t="s">
        <v>84</v>
      </c>
      <c r="AG813" t="s">
        <v>58</v>
      </c>
      <c r="AH813" s="1">
        <v>45238</v>
      </c>
      <c r="AI813" s="1">
        <v>45240</v>
      </c>
      <c r="AJ813" s="1">
        <v>45243</v>
      </c>
      <c r="AK813" t="s">
        <v>3700</v>
      </c>
      <c r="AL813" t="s">
        <v>2779</v>
      </c>
    </row>
    <row r="814" spans="1:38" x14ac:dyDescent="0.35">
      <c r="A814" t="s">
        <v>2781</v>
      </c>
      <c r="B814" t="s">
        <v>832</v>
      </c>
      <c r="C814" t="s">
        <v>43</v>
      </c>
      <c r="D814" t="s">
        <v>402</v>
      </c>
      <c r="E814" t="s">
        <v>403</v>
      </c>
      <c r="F814" t="s">
        <v>146</v>
      </c>
      <c r="G814" t="s">
        <v>223</v>
      </c>
      <c r="H814">
        <v>2110</v>
      </c>
      <c r="I814">
        <f>Sales_Transactions_Raw[[#This Row],[Unit_Price]]*Sales_Transactions_Raw[[#This Row],[Quantity]]</f>
        <v>2110</v>
      </c>
      <c r="J814">
        <v>1</v>
      </c>
      <c r="K814">
        <v>20</v>
      </c>
      <c r="L814">
        <v>422</v>
      </c>
      <c r="M814">
        <v>1688</v>
      </c>
      <c r="N814">
        <v>12</v>
      </c>
      <c r="O814">
        <v>202.56</v>
      </c>
      <c r="P814">
        <v>49</v>
      </c>
      <c r="Q814">
        <v>1890.56</v>
      </c>
      <c r="R814" t="s">
        <v>48</v>
      </c>
      <c r="S814" t="s">
        <v>125</v>
      </c>
      <c r="T814" t="s">
        <v>115</v>
      </c>
      <c r="U814" t="s">
        <v>196</v>
      </c>
      <c r="V814" t="s">
        <v>276</v>
      </c>
      <c r="W814" t="s">
        <v>95</v>
      </c>
      <c r="X814" t="s">
        <v>443</v>
      </c>
      <c r="Y814" t="s">
        <v>97</v>
      </c>
      <c r="Z814" t="s">
        <v>95</v>
      </c>
      <c r="AA814" t="s">
        <v>2783</v>
      </c>
      <c r="AB814" t="s">
        <v>3335</v>
      </c>
      <c r="AC814">
        <v>5</v>
      </c>
      <c r="AD814" t="s">
        <v>56</v>
      </c>
      <c r="AE814" t="s">
        <v>3336</v>
      </c>
      <c r="AF814" t="s">
        <v>140</v>
      </c>
      <c r="AG814" t="s">
        <v>58</v>
      </c>
      <c r="AH814" s="1">
        <v>45100</v>
      </c>
      <c r="AI814" s="1">
        <v>45103</v>
      </c>
      <c r="AJ814" s="1">
        <v>45110</v>
      </c>
      <c r="AK814" t="s">
        <v>3533</v>
      </c>
      <c r="AL814" t="s">
        <v>2782</v>
      </c>
    </row>
    <row r="815" spans="1:38" x14ac:dyDescent="0.35">
      <c r="A815" t="s">
        <v>2784</v>
      </c>
      <c r="B815" t="s">
        <v>355</v>
      </c>
      <c r="C815" t="s">
        <v>89</v>
      </c>
      <c r="D815" t="s">
        <v>426</v>
      </c>
      <c r="E815" t="s">
        <v>427</v>
      </c>
      <c r="F815" t="s">
        <v>134</v>
      </c>
      <c r="G815" t="s">
        <v>305</v>
      </c>
      <c r="H815">
        <v>42990</v>
      </c>
      <c r="I815">
        <f>Sales_Transactions_Raw[[#This Row],[Unit_Price]]*Sales_Transactions_Raw[[#This Row],[Quantity]]</f>
        <v>300930</v>
      </c>
      <c r="J815">
        <v>7</v>
      </c>
      <c r="K815">
        <v>10</v>
      </c>
      <c r="L815">
        <v>30093</v>
      </c>
      <c r="M815">
        <v>270837</v>
      </c>
      <c r="N815">
        <v>5</v>
      </c>
      <c r="O815">
        <v>13541.85</v>
      </c>
      <c r="P815">
        <v>0</v>
      </c>
      <c r="Q815">
        <v>284378.84999999998</v>
      </c>
      <c r="R815" t="s">
        <v>64</v>
      </c>
      <c r="S815" t="s">
        <v>93</v>
      </c>
      <c r="T815" t="s">
        <v>719</v>
      </c>
      <c r="U815" t="s">
        <v>108</v>
      </c>
      <c r="V815" t="s">
        <v>276</v>
      </c>
      <c r="W815" t="s">
        <v>95</v>
      </c>
      <c r="X815" t="s">
        <v>397</v>
      </c>
      <c r="Y815" t="s">
        <v>226</v>
      </c>
      <c r="Z815" t="s">
        <v>95</v>
      </c>
      <c r="AA815" t="s">
        <v>2786</v>
      </c>
      <c r="AB815" t="s">
        <v>3340</v>
      </c>
      <c r="AC815">
        <v>5</v>
      </c>
      <c r="AD815" t="s">
        <v>56</v>
      </c>
      <c r="AE815" t="s">
        <v>3336</v>
      </c>
      <c r="AF815" t="s">
        <v>153</v>
      </c>
      <c r="AG815" t="s">
        <v>3342</v>
      </c>
      <c r="AH815" s="1">
        <v>45432</v>
      </c>
      <c r="AI815" s="1">
        <v>45433</v>
      </c>
      <c r="AJ815" s="1">
        <v>45441</v>
      </c>
      <c r="AK815" t="s">
        <v>3379</v>
      </c>
      <c r="AL815" t="s">
        <v>2785</v>
      </c>
    </row>
    <row r="816" spans="1:38" x14ac:dyDescent="0.35">
      <c r="A816" t="s">
        <v>2787</v>
      </c>
      <c r="B816" t="s">
        <v>207</v>
      </c>
      <c r="C816" t="s">
        <v>43</v>
      </c>
      <c r="D816" t="s">
        <v>495</v>
      </c>
      <c r="E816" t="s">
        <v>496</v>
      </c>
      <c r="F816" t="s">
        <v>134</v>
      </c>
      <c r="G816" t="s">
        <v>497</v>
      </c>
      <c r="H816">
        <v>31280</v>
      </c>
      <c r="I816">
        <f>Sales_Transactions_Raw[[#This Row],[Unit_Price]]*Sales_Transactions_Raw[[#This Row],[Quantity]]</f>
        <v>31280</v>
      </c>
      <c r="J816">
        <v>1</v>
      </c>
      <c r="K816">
        <v>15</v>
      </c>
      <c r="L816">
        <v>4692</v>
      </c>
      <c r="M816">
        <v>26588</v>
      </c>
      <c r="N816">
        <v>5</v>
      </c>
      <c r="O816">
        <v>1329.4</v>
      </c>
      <c r="P816">
        <v>0</v>
      </c>
      <c r="Q816">
        <v>27917.4</v>
      </c>
      <c r="R816" t="s">
        <v>106</v>
      </c>
      <c r="S816" t="s">
        <v>93</v>
      </c>
      <c r="T816" t="s">
        <v>115</v>
      </c>
      <c r="U816" t="s">
        <v>196</v>
      </c>
      <c r="V816" t="s">
        <v>177</v>
      </c>
      <c r="W816" t="s">
        <v>81</v>
      </c>
      <c r="X816" t="s">
        <v>260</v>
      </c>
      <c r="Y816" t="s">
        <v>118</v>
      </c>
      <c r="Z816" t="s">
        <v>70</v>
      </c>
      <c r="AA816" t="s">
        <v>2789</v>
      </c>
      <c r="AB816" t="s">
        <v>3343</v>
      </c>
      <c r="AC816">
        <v>4</v>
      </c>
      <c r="AD816" t="s">
        <v>56</v>
      </c>
      <c r="AE816" t="s">
        <v>3336</v>
      </c>
      <c r="AF816" t="s">
        <v>227</v>
      </c>
      <c r="AG816" t="s">
        <v>3342</v>
      </c>
      <c r="AH816" s="1">
        <v>45368</v>
      </c>
      <c r="AI816" s="1">
        <v>45373</v>
      </c>
      <c r="AJ816" s="1">
        <v>45379</v>
      </c>
      <c r="AK816" t="s">
        <v>3360</v>
      </c>
      <c r="AL816" t="s">
        <v>2788</v>
      </c>
    </row>
    <row r="817" spans="1:38" x14ac:dyDescent="0.35">
      <c r="A817" t="s">
        <v>2790</v>
      </c>
      <c r="B817" t="s">
        <v>1107</v>
      </c>
      <c r="C817" t="s">
        <v>43</v>
      </c>
      <c r="D817" t="s">
        <v>466</v>
      </c>
      <c r="E817" t="s">
        <v>467</v>
      </c>
      <c r="F817" t="s">
        <v>185</v>
      </c>
      <c r="G817" t="s">
        <v>468</v>
      </c>
      <c r="H817">
        <v>550</v>
      </c>
      <c r="I817">
        <f>Sales_Transactions_Raw[[#This Row],[Unit_Price]]*Sales_Transactions_Raw[[#This Row],[Quantity]]</f>
        <v>11000</v>
      </c>
      <c r="J817">
        <v>20</v>
      </c>
      <c r="K817">
        <v>5</v>
      </c>
      <c r="L817">
        <v>550</v>
      </c>
      <c r="M817">
        <v>10450</v>
      </c>
      <c r="N817">
        <v>5</v>
      </c>
      <c r="O817">
        <v>522.5</v>
      </c>
      <c r="P817">
        <v>0</v>
      </c>
      <c r="Q817">
        <v>10972.5</v>
      </c>
      <c r="R817" t="s">
        <v>64</v>
      </c>
      <c r="S817" t="s">
        <v>125</v>
      </c>
      <c r="T817" t="s">
        <v>115</v>
      </c>
      <c r="U817" t="s">
        <v>108</v>
      </c>
      <c r="V817" t="s">
        <v>197</v>
      </c>
      <c r="W817" t="s">
        <v>68</v>
      </c>
      <c r="X817" t="s">
        <v>510</v>
      </c>
      <c r="Y817" t="s">
        <v>199</v>
      </c>
      <c r="Z817" t="s">
        <v>52</v>
      </c>
      <c r="AA817" t="s">
        <v>2792</v>
      </c>
      <c r="AB817" t="s">
        <v>3344</v>
      </c>
      <c r="AC817">
        <v>5</v>
      </c>
      <c r="AD817" t="s">
        <v>56</v>
      </c>
      <c r="AE817" t="s">
        <v>3336</v>
      </c>
      <c r="AF817" t="s">
        <v>84</v>
      </c>
      <c r="AG817" t="s">
        <v>58</v>
      </c>
      <c r="AH817" s="1">
        <v>45008</v>
      </c>
      <c r="AI817" s="1">
        <v>45015</v>
      </c>
      <c r="AJ817" s="1">
        <v>45024</v>
      </c>
      <c r="AK817" t="s">
        <v>3701</v>
      </c>
      <c r="AL817" t="s">
        <v>2791</v>
      </c>
    </row>
    <row r="818" spans="1:38" x14ac:dyDescent="0.35">
      <c r="A818" t="s">
        <v>2793</v>
      </c>
      <c r="B818" t="s">
        <v>191</v>
      </c>
      <c r="C818" t="s">
        <v>157</v>
      </c>
      <c r="D818" t="s">
        <v>956</v>
      </c>
      <c r="E818" t="s">
        <v>957</v>
      </c>
      <c r="F818" t="s">
        <v>46</v>
      </c>
      <c r="G818" t="s">
        <v>147</v>
      </c>
      <c r="H818">
        <v>9670</v>
      </c>
      <c r="I818">
        <f>Sales_Transactions_Raw[[#This Row],[Unit_Price]]*Sales_Transactions_Raw[[#This Row],[Quantity]]</f>
        <v>9670</v>
      </c>
      <c r="J818">
        <v>1</v>
      </c>
      <c r="K818">
        <v>15</v>
      </c>
      <c r="L818">
        <v>1450.5</v>
      </c>
      <c r="M818">
        <v>8219.5</v>
      </c>
      <c r="N818">
        <v>18</v>
      </c>
      <c r="O818">
        <v>1479.51</v>
      </c>
      <c r="P818">
        <v>0</v>
      </c>
      <c r="Q818">
        <v>9699.01</v>
      </c>
      <c r="R818" t="s">
        <v>92</v>
      </c>
      <c r="S818" t="s">
        <v>93</v>
      </c>
      <c r="T818" t="s">
        <v>115</v>
      </c>
      <c r="U818" t="s">
        <v>108</v>
      </c>
      <c r="V818" t="s">
        <v>177</v>
      </c>
      <c r="W818" t="s">
        <v>81</v>
      </c>
      <c r="X818" t="s">
        <v>437</v>
      </c>
      <c r="Y818" t="s">
        <v>319</v>
      </c>
      <c r="Z818" t="s">
        <v>95</v>
      </c>
      <c r="AA818" t="s">
        <v>2795</v>
      </c>
      <c r="AB818" t="s">
        <v>3338</v>
      </c>
      <c r="AC818">
        <v>5</v>
      </c>
      <c r="AD818" t="s">
        <v>56</v>
      </c>
      <c r="AE818" t="s">
        <v>3336</v>
      </c>
      <c r="AF818" t="s">
        <v>262</v>
      </c>
      <c r="AG818" t="s">
        <v>3342</v>
      </c>
      <c r="AH818" s="1">
        <v>45400</v>
      </c>
      <c r="AI818" s="1">
        <v>45404</v>
      </c>
      <c r="AJ818" s="1">
        <v>45414</v>
      </c>
      <c r="AK818" t="s">
        <v>3358</v>
      </c>
      <c r="AL818" t="s">
        <v>2794</v>
      </c>
    </row>
    <row r="819" spans="1:38" x14ac:dyDescent="0.35">
      <c r="A819" t="s">
        <v>2796</v>
      </c>
      <c r="B819" t="s">
        <v>940</v>
      </c>
      <c r="C819" t="s">
        <v>157</v>
      </c>
      <c r="D819" t="s">
        <v>956</v>
      </c>
      <c r="E819" t="s">
        <v>957</v>
      </c>
      <c r="F819" t="s">
        <v>46</v>
      </c>
      <c r="G819" t="s">
        <v>147</v>
      </c>
      <c r="H819">
        <v>9510</v>
      </c>
      <c r="I819">
        <f>Sales_Transactions_Raw[[#This Row],[Unit_Price]]*Sales_Transactions_Raw[[#This Row],[Quantity]]</f>
        <v>47550</v>
      </c>
      <c r="J819">
        <v>5</v>
      </c>
      <c r="K819">
        <v>25</v>
      </c>
      <c r="L819">
        <v>11887.5</v>
      </c>
      <c r="M819">
        <v>35662.5</v>
      </c>
      <c r="N819">
        <v>18</v>
      </c>
      <c r="O819">
        <v>6419.25</v>
      </c>
      <c r="P819">
        <v>0</v>
      </c>
      <c r="Q819">
        <v>42081.75</v>
      </c>
      <c r="R819" t="s">
        <v>48</v>
      </c>
      <c r="S819" t="s">
        <v>65</v>
      </c>
      <c r="T819" t="s">
        <v>66</v>
      </c>
      <c r="U819" t="s">
        <v>108</v>
      </c>
      <c r="V819" t="s">
        <v>224</v>
      </c>
      <c r="W819" t="s">
        <v>95</v>
      </c>
      <c r="X819" t="s">
        <v>393</v>
      </c>
      <c r="Y819" t="s">
        <v>393</v>
      </c>
      <c r="Z819" t="s">
        <v>70</v>
      </c>
      <c r="AA819" t="s">
        <v>2798</v>
      </c>
      <c r="AB819" t="s">
        <v>3341</v>
      </c>
      <c r="AC819">
        <v>5</v>
      </c>
      <c r="AD819" t="s">
        <v>56</v>
      </c>
      <c r="AE819" t="s">
        <v>3336</v>
      </c>
      <c r="AF819" t="s">
        <v>140</v>
      </c>
      <c r="AG819" t="s">
        <v>111</v>
      </c>
      <c r="AH819" s="1">
        <v>45370</v>
      </c>
      <c r="AI819" s="1">
        <v>45376</v>
      </c>
      <c r="AJ819" s="1">
        <v>45382</v>
      </c>
      <c r="AK819" t="s">
        <v>3521</v>
      </c>
      <c r="AL819" t="s">
        <v>2797</v>
      </c>
    </row>
    <row r="820" spans="1:38" x14ac:dyDescent="0.35">
      <c r="A820" t="s">
        <v>2799</v>
      </c>
      <c r="B820" t="s">
        <v>520</v>
      </c>
      <c r="C820" t="s">
        <v>43</v>
      </c>
      <c r="D820" t="s">
        <v>266</v>
      </c>
      <c r="E820" t="s">
        <v>267</v>
      </c>
      <c r="F820" t="s">
        <v>211</v>
      </c>
      <c r="G820" t="s">
        <v>268</v>
      </c>
      <c r="H820">
        <v>56910</v>
      </c>
      <c r="I820">
        <f>Sales_Transactions_Raw[[#This Row],[Unit_Price]]*Sales_Transactions_Raw[[#This Row],[Quantity]]</f>
        <v>113820</v>
      </c>
      <c r="J820">
        <v>2</v>
      </c>
      <c r="K820">
        <v>25</v>
      </c>
      <c r="L820">
        <v>28455</v>
      </c>
      <c r="M820">
        <v>85365</v>
      </c>
      <c r="N820">
        <v>5</v>
      </c>
      <c r="O820">
        <v>4268.25</v>
      </c>
      <c r="P820">
        <v>0</v>
      </c>
      <c r="Q820">
        <v>89633.25</v>
      </c>
      <c r="R820" t="s">
        <v>106</v>
      </c>
      <c r="S820" t="s">
        <v>125</v>
      </c>
      <c r="T820" t="s">
        <v>115</v>
      </c>
      <c r="U820" t="s">
        <v>196</v>
      </c>
      <c r="V820" t="s">
        <v>177</v>
      </c>
      <c r="W820" t="s">
        <v>81</v>
      </c>
      <c r="X820" t="s">
        <v>150</v>
      </c>
      <c r="Y820" t="s">
        <v>151</v>
      </c>
      <c r="Z820" t="s">
        <v>81</v>
      </c>
      <c r="AA820" t="s">
        <v>2801</v>
      </c>
      <c r="AB820" t="s">
        <v>3335</v>
      </c>
      <c r="AC820">
        <v>5</v>
      </c>
      <c r="AD820" t="s">
        <v>56</v>
      </c>
      <c r="AE820" t="s">
        <v>3336</v>
      </c>
      <c r="AF820" t="s">
        <v>164</v>
      </c>
      <c r="AG820" t="s">
        <v>111</v>
      </c>
      <c r="AH820" s="1">
        <v>45431</v>
      </c>
      <c r="AI820" s="1">
        <v>45437</v>
      </c>
      <c r="AJ820" s="1">
        <v>45441</v>
      </c>
      <c r="AK820" t="s">
        <v>3552</v>
      </c>
      <c r="AL820" t="s">
        <v>2800</v>
      </c>
    </row>
    <row r="821" spans="1:38" x14ac:dyDescent="0.35">
      <c r="A821" t="s">
        <v>2802</v>
      </c>
      <c r="B821" t="s">
        <v>447</v>
      </c>
      <c r="C821" t="s">
        <v>43</v>
      </c>
      <c r="D821" t="s">
        <v>144</v>
      </c>
      <c r="E821" t="s">
        <v>145</v>
      </c>
      <c r="F821" t="s">
        <v>146</v>
      </c>
      <c r="G821" t="s">
        <v>147</v>
      </c>
      <c r="H821">
        <v>29347.846790890268</v>
      </c>
      <c r="I821">
        <f>Sales_Transactions_Raw[[#This Row],[Unit_Price]]*Sales_Transactions_Raw[[#This Row],[Quantity]]</f>
        <v>58695.693581780535</v>
      </c>
      <c r="J821">
        <v>2</v>
      </c>
      <c r="K821">
        <v>5</v>
      </c>
      <c r="L821">
        <v>247</v>
      </c>
      <c r="M821">
        <v>4693</v>
      </c>
      <c r="N821">
        <v>12</v>
      </c>
      <c r="O821">
        <v>563.16</v>
      </c>
      <c r="P821">
        <v>0</v>
      </c>
      <c r="Q821">
        <v>5256.16</v>
      </c>
      <c r="R821" t="s">
        <v>124</v>
      </c>
      <c r="S821" t="s">
        <v>65</v>
      </c>
      <c r="T821" t="s">
        <v>115</v>
      </c>
      <c r="U821" t="s">
        <v>50</v>
      </c>
      <c r="V821" t="s">
        <v>116</v>
      </c>
      <c r="W821" t="s">
        <v>70</v>
      </c>
      <c r="X821" t="s">
        <v>474</v>
      </c>
      <c r="Y821" t="s">
        <v>169</v>
      </c>
      <c r="Z821" t="s">
        <v>95</v>
      </c>
      <c r="AA821" t="s">
        <v>2804</v>
      </c>
      <c r="AB821" t="s">
        <v>3340</v>
      </c>
      <c r="AC821">
        <v>4</v>
      </c>
      <c r="AD821" t="s">
        <v>56</v>
      </c>
      <c r="AE821" t="s">
        <v>3336</v>
      </c>
      <c r="AF821" t="s">
        <v>99</v>
      </c>
      <c r="AG821" t="s">
        <v>3342</v>
      </c>
      <c r="AH821" s="1">
        <v>45360</v>
      </c>
      <c r="AI821" s="1">
        <v>45362</v>
      </c>
      <c r="AJ821" s="1">
        <v>45372</v>
      </c>
      <c r="AK821" t="s">
        <v>3434</v>
      </c>
      <c r="AL821" t="s">
        <v>2803</v>
      </c>
    </row>
    <row r="822" spans="1:38" x14ac:dyDescent="0.35">
      <c r="A822" t="s">
        <v>2805</v>
      </c>
      <c r="B822" t="s">
        <v>355</v>
      </c>
      <c r="C822" t="s">
        <v>43</v>
      </c>
      <c r="D822" t="s">
        <v>183</v>
      </c>
      <c r="E822" t="s">
        <v>184</v>
      </c>
      <c r="F822" t="s">
        <v>185</v>
      </c>
      <c r="G822" t="s">
        <v>186</v>
      </c>
      <c r="H822">
        <v>130</v>
      </c>
      <c r="I822">
        <f>Sales_Transactions_Raw[[#This Row],[Unit_Price]]*Sales_Transactions_Raw[[#This Row],[Quantity]]</f>
        <v>390</v>
      </c>
      <c r="J822">
        <v>3</v>
      </c>
      <c r="K822">
        <v>10</v>
      </c>
      <c r="L822">
        <v>13</v>
      </c>
      <c r="M822">
        <v>117</v>
      </c>
      <c r="N822">
        <v>5</v>
      </c>
      <c r="O822">
        <v>5.85</v>
      </c>
      <c r="P822">
        <v>99</v>
      </c>
      <c r="Q822">
        <v>122.85</v>
      </c>
      <c r="R822" t="s">
        <v>92</v>
      </c>
      <c r="S822" t="s">
        <v>49</v>
      </c>
      <c r="T822" t="s">
        <v>115</v>
      </c>
      <c r="U822" t="s">
        <v>196</v>
      </c>
      <c r="V822" t="s">
        <v>297</v>
      </c>
      <c r="W822" t="s">
        <v>52</v>
      </c>
      <c r="X822" t="s">
        <v>243</v>
      </c>
      <c r="Y822" t="s">
        <v>244</v>
      </c>
      <c r="Z822" t="s">
        <v>70</v>
      </c>
      <c r="AA822" t="s">
        <v>2807</v>
      </c>
      <c r="AB822" t="s">
        <v>3335</v>
      </c>
      <c r="AC822">
        <v>5</v>
      </c>
      <c r="AD822" t="s">
        <v>56</v>
      </c>
      <c r="AE822" t="s">
        <v>3336</v>
      </c>
      <c r="AF822" t="s">
        <v>279</v>
      </c>
      <c r="AG822" t="s">
        <v>3342</v>
      </c>
      <c r="AH822" s="1">
        <v>45304</v>
      </c>
      <c r="AI822" s="1">
        <v>45307</v>
      </c>
      <c r="AJ822" s="1">
        <v>45313</v>
      </c>
      <c r="AK822" t="s">
        <v>3702</v>
      </c>
      <c r="AL822" t="s">
        <v>2806</v>
      </c>
    </row>
    <row r="823" spans="1:38" x14ac:dyDescent="0.35">
      <c r="A823" t="s">
        <v>2808</v>
      </c>
      <c r="B823" t="s">
        <v>301</v>
      </c>
      <c r="C823" t="s">
        <v>43</v>
      </c>
      <c r="D823" t="s">
        <v>526</v>
      </c>
      <c r="E823" t="s">
        <v>527</v>
      </c>
      <c r="F823" t="s">
        <v>185</v>
      </c>
      <c r="G823" t="s">
        <v>528</v>
      </c>
      <c r="H823">
        <v>840</v>
      </c>
      <c r="I823">
        <f>Sales_Transactions_Raw[[#This Row],[Unit_Price]]*Sales_Transactions_Raw[[#This Row],[Quantity]]</f>
        <v>2520</v>
      </c>
      <c r="J823">
        <v>3</v>
      </c>
      <c r="K823">
        <v>5</v>
      </c>
      <c r="L823">
        <v>126</v>
      </c>
      <c r="M823">
        <v>2394</v>
      </c>
      <c r="N823">
        <v>5</v>
      </c>
      <c r="O823">
        <v>119.7</v>
      </c>
      <c r="P823">
        <v>79</v>
      </c>
      <c r="Q823">
        <v>2513.6999999999998</v>
      </c>
      <c r="R823" t="s">
        <v>124</v>
      </c>
      <c r="S823" t="s">
        <v>107</v>
      </c>
      <c r="T823" t="s">
        <v>115</v>
      </c>
      <c r="U823" t="s">
        <v>50</v>
      </c>
      <c r="V823" t="s">
        <v>242</v>
      </c>
      <c r="W823" t="s">
        <v>70</v>
      </c>
      <c r="X823" t="s">
        <v>198</v>
      </c>
      <c r="Y823" t="s">
        <v>199</v>
      </c>
      <c r="Z823" t="s">
        <v>52</v>
      </c>
      <c r="AA823" t="s">
        <v>2810</v>
      </c>
      <c r="AB823" t="s">
        <v>3339</v>
      </c>
      <c r="AC823">
        <v>5</v>
      </c>
      <c r="AD823" t="s">
        <v>56</v>
      </c>
      <c r="AE823" t="s">
        <v>3336</v>
      </c>
      <c r="AF823" t="s">
        <v>227</v>
      </c>
      <c r="AG823" t="s">
        <v>3337</v>
      </c>
      <c r="AH823" s="1">
        <v>45206</v>
      </c>
      <c r="AI823" s="1">
        <v>45213</v>
      </c>
      <c r="AJ823" s="1">
        <v>45217</v>
      </c>
      <c r="AK823" t="s">
        <v>3385</v>
      </c>
      <c r="AL823" t="s">
        <v>2809</v>
      </c>
    </row>
    <row r="824" spans="1:38" x14ac:dyDescent="0.35">
      <c r="A824" t="s">
        <v>2459</v>
      </c>
      <c r="B824" t="s">
        <v>315</v>
      </c>
      <c r="C824" t="s">
        <v>43</v>
      </c>
      <c r="D824" t="s">
        <v>174</v>
      </c>
      <c r="E824" t="s">
        <v>175</v>
      </c>
      <c r="F824" t="s">
        <v>46</v>
      </c>
      <c r="G824" t="s">
        <v>176</v>
      </c>
      <c r="H824">
        <v>1460</v>
      </c>
      <c r="I824">
        <f>Sales_Transactions_Raw[[#This Row],[Unit_Price]]*Sales_Transactions_Raw[[#This Row],[Quantity]]</f>
        <v>4380</v>
      </c>
      <c r="J824">
        <v>3</v>
      </c>
      <c r="K824">
        <v>10</v>
      </c>
      <c r="L824">
        <v>438</v>
      </c>
      <c r="M824">
        <v>3942</v>
      </c>
      <c r="N824">
        <v>18</v>
      </c>
      <c r="O824">
        <v>709.56</v>
      </c>
      <c r="P824">
        <v>49</v>
      </c>
      <c r="Q824">
        <v>4651.5599999999995</v>
      </c>
      <c r="R824" t="s">
        <v>160</v>
      </c>
      <c r="S824" t="s">
        <v>49</v>
      </c>
      <c r="T824" t="s">
        <v>115</v>
      </c>
      <c r="U824" t="s">
        <v>214</v>
      </c>
      <c r="V824" t="s">
        <v>242</v>
      </c>
      <c r="W824" t="s">
        <v>70</v>
      </c>
      <c r="X824" t="s">
        <v>422</v>
      </c>
      <c r="Y824" t="s">
        <v>319</v>
      </c>
      <c r="Z824" t="s">
        <v>95</v>
      </c>
      <c r="AA824" t="s">
        <v>2812</v>
      </c>
      <c r="AB824" t="s">
        <v>3339</v>
      </c>
      <c r="AC824">
        <v>4</v>
      </c>
      <c r="AD824" t="s">
        <v>56</v>
      </c>
      <c r="AE824" t="s">
        <v>3336</v>
      </c>
      <c r="AF824" t="s">
        <v>153</v>
      </c>
      <c r="AG824" t="s">
        <v>445</v>
      </c>
      <c r="AH824" s="1">
        <v>45107</v>
      </c>
      <c r="AI824" s="1">
        <v>45110</v>
      </c>
      <c r="AJ824" s="1">
        <v>45112</v>
      </c>
      <c r="AK824" t="s">
        <v>3466</v>
      </c>
      <c r="AL824" t="s">
        <v>2811</v>
      </c>
    </row>
    <row r="825" spans="1:38" x14ac:dyDescent="0.35">
      <c r="A825" t="s">
        <v>2813</v>
      </c>
      <c r="B825" t="s">
        <v>2814</v>
      </c>
      <c r="C825" t="s">
        <v>43</v>
      </c>
      <c r="D825" t="s">
        <v>209</v>
      </c>
      <c r="E825" t="s">
        <v>210</v>
      </c>
      <c r="F825" t="s">
        <v>211</v>
      </c>
      <c r="G825" t="s">
        <v>212</v>
      </c>
      <c r="H825">
        <v>4240</v>
      </c>
      <c r="I825">
        <f>Sales_Transactions_Raw[[#This Row],[Unit_Price]]*Sales_Transactions_Raw[[#This Row],[Quantity]]</f>
        <v>4240</v>
      </c>
      <c r="J825">
        <v>1</v>
      </c>
      <c r="K825">
        <v>15</v>
      </c>
      <c r="L825">
        <v>636</v>
      </c>
      <c r="M825">
        <v>3604</v>
      </c>
      <c r="N825">
        <v>5</v>
      </c>
      <c r="O825">
        <v>180.2</v>
      </c>
      <c r="P825">
        <v>79</v>
      </c>
      <c r="Q825">
        <v>3784.2</v>
      </c>
      <c r="R825" t="s">
        <v>64</v>
      </c>
      <c r="S825" t="s">
        <v>65</v>
      </c>
      <c r="T825" t="s">
        <v>66</v>
      </c>
      <c r="U825" t="s">
        <v>196</v>
      </c>
      <c r="V825" t="s">
        <v>177</v>
      </c>
      <c r="W825" t="s">
        <v>81</v>
      </c>
      <c r="X825" t="s">
        <v>204</v>
      </c>
      <c r="Y825" t="s">
        <v>118</v>
      </c>
      <c r="Z825" t="s">
        <v>70</v>
      </c>
      <c r="AA825" t="s">
        <v>2816</v>
      </c>
      <c r="AB825" t="s">
        <v>3335</v>
      </c>
      <c r="AC825">
        <v>5</v>
      </c>
      <c r="AD825" t="s">
        <v>179</v>
      </c>
      <c r="AE825" t="s">
        <v>476</v>
      </c>
      <c r="AF825" t="s">
        <v>217</v>
      </c>
      <c r="AG825" t="s">
        <v>3337</v>
      </c>
      <c r="AH825" s="1">
        <v>45372</v>
      </c>
      <c r="AI825" s="1">
        <v>45375</v>
      </c>
      <c r="AJ825" s="1">
        <v>45382</v>
      </c>
      <c r="AK825" t="s">
        <v>3455</v>
      </c>
      <c r="AL825" t="s">
        <v>2815</v>
      </c>
    </row>
    <row r="826" spans="1:38" x14ac:dyDescent="0.35">
      <c r="A826" t="s">
        <v>2817</v>
      </c>
      <c r="B826" t="s">
        <v>617</v>
      </c>
      <c r="C826" t="s">
        <v>43</v>
      </c>
      <c r="D826" t="s">
        <v>90</v>
      </c>
      <c r="E826" t="s">
        <v>91</v>
      </c>
      <c r="F826" t="s">
        <v>46</v>
      </c>
      <c r="G826" t="s">
        <v>78</v>
      </c>
      <c r="H826">
        <v>91140</v>
      </c>
      <c r="I826">
        <f>Sales_Transactions_Raw[[#This Row],[Unit_Price]]*Sales_Transactions_Raw[[#This Row],[Quantity]]</f>
        <v>364560</v>
      </c>
      <c r="J826">
        <v>4</v>
      </c>
      <c r="K826">
        <v>5</v>
      </c>
      <c r="L826">
        <v>18228</v>
      </c>
      <c r="M826">
        <v>346332</v>
      </c>
      <c r="N826">
        <v>18</v>
      </c>
      <c r="O826">
        <v>62339.76</v>
      </c>
      <c r="P826">
        <v>0</v>
      </c>
      <c r="Q826">
        <v>408671.76</v>
      </c>
      <c r="R826" t="s">
        <v>160</v>
      </c>
      <c r="S826" t="s">
        <v>93</v>
      </c>
      <c r="T826" t="s">
        <v>115</v>
      </c>
      <c r="U826" t="s">
        <v>161</v>
      </c>
      <c r="V826" t="s">
        <v>269</v>
      </c>
      <c r="W826" t="s">
        <v>70</v>
      </c>
      <c r="X826" t="s">
        <v>225</v>
      </c>
      <c r="Y826" t="s">
        <v>226</v>
      </c>
      <c r="Z826" t="s">
        <v>95</v>
      </c>
      <c r="AA826" t="s">
        <v>2819</v>
      </c>
      <c r="AB826" t="s">
        <v>3335</v>
      </c>
      <c r="AC826">
        <v>5</v>
      </c>
      <c r="AD826" t="s">
        <v>56</v>
      </c>
      <c r="AE826" t="s">
        <v>3336</v>
      </c>
      <c r="AF826" t="s">
        <v>326</v>
      </c>
      <c r="AG826" t="s">
        <v>3342</v>
      </c>
      <c r="AH826" s="1">
        <v>45076</v>
      </c>
      <c r="AI826" s="1">
        <v>45079</v>
      </c>
      <c r="AJ826" s="1">
        <v>45085</v>
      </c>
      <c r="AK826" t="s">
        <v>3424</v>
      </c>
      <c r="AL826" t="s">
        <v>2818</v>
      </c>
    </row>
    <row r="827" spans="1:38" x14ac:dyDescent="0.35">
      <c r="A827" t="s">
        <v>2820</v>
      </c>
      <c r="B827" t="s">
        <v>731</v>
      </c>
      <c r="C827" t="s">
        <v>43</v>
      </c>
      <c r="D827" t="s">
        <v>490</v>
      </c>
      <c r="E827" t="s">
        <v>91</v>
      </c>
      <c r="F827" t="s">
        <v>46</v>
      </c>
      <c r="G827" t="s">
        <v>369</v>
      </c>
      <c r="H827">
        <v>69830</v>
      </c>
      <c r="I827">
        <f>Sales_Transactions_Raw[[#This Row],[Unit_Price]]*Sales_Transactions_Raw[[#This Row],[Quantity]]</f>
        <v>69830</v>
      </c>
      <c r="J827">
        <v>1</v>
      </c>
      <c r="K827">
        <v>10</v>
      </c>
      <c r="L827">
        <v>6983</v>
      </c>
      <c r="M827">
        <v>62847</v>
      </c>
      <c r="N827">
        <v>18</v>
      </c>
      <c r="O827">
        <v>11312.46</v>
      </c>
      <c r="P827">
        <v>0</v>
      </c>
      <c r="Q827">
        <v>74159.459999999992</v>
      </c>
      <c r="R827" t="s">
        <v>48</v>
      </c>
      <c r="S827" t="s">
        <v>49</v>
      </c>
      <c r="T827" t="s">
        <v>136</v>
      </c>
      <c r="U827" t="s">
        <v>161</v>
      </c>
      <c r="V827" t="s">
        <v>287</v>
      </c>
      <c r="W827" t="s">
        <v>95</v>
      </c>
      <c r="X827" t="s">
        <v>306</v>
      </c>
      <c r="Y827" t="s">
        <v>97</v>
      </c>
      <c r="Z827" t="s">
        <v>95</v>
      </c>
      <c r="AA827" t="s">
        <v>2822</v>
      </c>
      <c r="AB827" t="s">
        <v>3339</v>
      </c>
      <c r="AC827">
        <v>5</v>
      </c>
      <c r="AD827" t="s">
        <v>56</v>
      </c>
      <c r="AE827" t="s">
        <v>3336</v>
      </c>
      <c r="AF827" t="s">
        <v>140</v>
      </c>
      <c r="AG827" t="s">
        <v>58</v>
      </c>
      <c r="AH827" s="1">
        <v>45197</v>
      </c>
      <c r="AI827" s="1">
        <v>45198</v>
      </c>
      <c r="AJ827" s="1">
        <v>45200</v>
      </c>
      <c r="AK827" t="s">
        <v>3615</v>
      </c>
      <c r="AL827" t="s">
        <v>2821</v>
      </c>
    </row>
    <row r="828" spans="1:38" x14ac:dyDescent="0.35">
      <c r="A828" t="s">
        <v>2823</v>
      </c>
      <c r="B828" t="s">
        <v>1158</v>
      </c>
      <c r="C828" t="s">
        <v>43</v>
      </c>
      <c r="D828" t="s">
        <v>406</v>
      </c>
      <c r="E828" t="s">
        <v>231</v>
      </c>
      <c r="F828" t="s">
        <v>46</v>
      </c>
      <c r="G828" t="s">
        <v>369</v>
      </c>
      <c r="H828">
        <v>89730</v>
      </c>
      <c r="I828">
        <f>Sales_Transactions_Raw[[#This Row],[Unit_Price]]*Sales_Transactions_Raw[[#This Row],[Quantity]]</f>
        <v>538380</v>
      </c>
      <c r="J828">
        <v>6</v>
      </c>
      <c r="K828">
        <v>10</v>
      </c>
      <c r="L828">
        <v>53838</v>
      </c>
      <c r="M828">
        <v>484542</v>
      </c>
      <c r="N828">
        <v>18</v>
      </c>
      <c r="O828">
        <v>87217.56</v>
      </c>
      <c r="P828">
        <v>0</v>
      </c>
      <c r="Q828">
        <v>571759.56000000006</v>
      </c>
      <c r="R828" t="s">
        <v>106</v>
      </c>
      <c r="S828" t="s">
        <v>65</v>
      </c>
      <c r="T828" t="s">
        <v>115</v>
      </c>
      <c r="U828" t="s">
        <v>108</v>
      </c>
      <c r="V828" t="s">
        <v>116</v>
      </c>
      <c r="W828" t="s">
        <v>70</v>
      </c>
      <c r="X828" t="s">
        <v>117</v>
      </c>
      <c r="Y828" t="s">
        <v>118</v>
      </c>
      <c r="Z828" t="s">
        <v>70</v>
      </c>
      <c r="AA828" t="s">
        <v>2825</v>
      </c>
      <c r="AB828" t="s">
        <v>3335</v>
      </c>
      <c r="AC828">
        <v>5</v>
      </c>
      <c r="AD828" t="s">
        <v>56</v>
      </c>
      <c r="AE828" t="s">
        <v>3336</v>
      </c>
      <c r="AF828" t="s">
        <v>153</v>
      </c>
      <c r="AG828" t="s">
        <v>58</v>
      </c>
      <c r="AH828" s="1">
        <v>45382</v>
      </c>
      <c r="AI828" s="1">
        <v>45384</v>
      </c>
      <c r="AJ828" s="1">
        <v>45393</v>
      </c>
      <c r="AK828" t="s">
        <v>3614</v>
      </c>
      <c r="AL828" t="s">
        <v>2824</v>
      </c>
    </row>
    <row r="829" spans="1:38" x14ac:dyDescent="0.35">
      <c r="A829" t="s">
        <v>2826</v>
      </c>
      <c r="B829" t="s">
        <v>1036</v>
      </c>
      <c r="C829" t="s">
        <v>43</v>
      </c>
      <c r="D829" t="s">
        <v>345</v>
      </c>
      <c r="E829" t="s">
        <v>346</v>
      </c>
      <c r="F829" t="s">
        <v>46</v>
      </c>
      <c r="G829" t="s">
        <v>63</v>
      </c>
      <c r="H829">
        <v>124640</v>
      </c>
      <c r="I829">
        <f>Sales_Transactions_Raw[[#This Row],[Unit_Price]]*Sales_Transactions_Raw[[#This Row],[Quantity]]</f>
        <v>1246400</v>
      </c>
      <c r="J829">
        <v>10</v>
      </c>
      <c r="K829">
        <v>10</v>
      </c>
      <c r="L829">
        <v>124640</v>
      </c>
      <c r="M829">
        <v>1121760</v>
      </c>
      <c r="N829">
        <v>18</v>
      </c>
      <c r="O829">
        <v>201916.79999999999</v>
      </c>
      <c r="P829">
        <v>0</v>
      </c>
      <c r="Q829">
        <v>1323676.8</v>
      </c>
      <c r="R829" t="s">
        <v>64</v>
      </c>
      <c r="S829" t="s">
        <v>125</v>
      </c>
      <c r="T829" t="s">
        <v>115</v>
      </c>
      <c r="U829" t="s">
        <v>161</v>
      </c>
      <c r="V829" t="s">
        <v>116</v>
      </c>
      <c r="W829" t="s">
        <v>70</v>
      </c>
      <c r="X829" t="s">
        <v>370</v>
      </c>
      <c r="Y829" t="s">
        <v>151</v>
      </c>
      <c r="Z829" t="s">
        <v>81</v>
      </c>
      <c r="AA829" t="s">
        <v>2828</v>
      </c>
      <c r="AB829" t="s">
        <v>3335</v>
      </c>
      <c r="AC829">
        <v>4</v>
      </c>
      <c r="AD829" t="s">
        <v>56</v>
      </c>
      <c r="AE829" t="s">
        <v>3336</v>
      </c>
      <c r="AF829" t="s">
        <v>153</v>
      </c>
      <c r="AG829" t="s">
        <v>85</v>
      </c>
      <c r="AH829" s="1">
        <v>45262</v>
      </c>
      <c r="AI829" s="1">
        <v>45267</v>
      </c>
      <c r="AJ829" s="1">
        <v>45275</v>
      </c>
      <c r="AK829" t="s">
        <v>3602</v>
      </c>
      <c r="AL829" t="s">
        <v>2827</v>
      </c>
    </row>
    <row r="830" spans="1:38" x14ac:dyDescent="0.35">
      <c r="A830" t="s">
        <v>2829</v>
      </c>
      <c r="B830" t="s">
        <v>447</v>
      </c>
      <c r="C830" t="s">
        <v>157</v>
      </c>
      <c r="D830" t="s">
        <v>426</v>
      </c>
      <c r="E830" t="s">
        <v>427</v>
      </c>
      <c r="F830" t="s">
        <v>134</v>
      </c>
      <c r="G830" t="s">
        <v>305</v>
      </c>
      <c r="H830">
        <v>44930</v>
      </c>
      <c r="I830">
        <f>Sales_Transactions_Raw[[#This Row],[Unit_Price]]*Sales_Transactions_Raw[[#This Row],[Quantity]]</f>
        <v>269580</v>
      </c>
      <c r="J830">
        <v>6</v>
      </c>
      <c r="K830">
        <v>5</v>
      </c>
      <c r="L830">
        <v>13479</v>
      </c>
      <c r="M830">
        <v>256101</v>
      </c>
      <c r="N830">
        <v>5</v>
      </c>
      <c r="O830">
        <v>12805.05</v>
      </c>
      <c r="P830">
        <v>0</v>
      </c>
      <c r="Q830">
        <v>268906.05</v>
      </c>
      <c r="R830" t="s">
        <v>124</v>
      </c>
      <c r="S830" t="s">
        <v>93</v>
      </c>
      <c r="T830" t="s">
        <v>66</v>
      </c>
      <c r="U830" t="s">
        <v>50</v>
      </c>
      <c r="V830" t="s">
        <v>297</v>
      </c>
      <c r="W830" t="s">
        <v>52</v>
      </c>
      <c r="X830" t="s">
        <v>486</v>
      </c>
      <c r="Y830" t="s">
        <v>138</v>
      </c>
      <c r="Z830" t="s">
        <v>81</v>
      </c>
      <c r="AA830" t="s">
        <v>2831</v>
      </c>
      <c r="AB830" t="s">
        <v>3335</v>
      </c>
      <c r="AC830">
        <v>5</v>
      </c>
      <c r="AD830" t="s">
        <v>56</v>
      </c>
      <c r="AE830" t="s">
        <v>3336</v>
      </c>
      <c r="AF830" t="s">
        <v>164</v>
      </c>
      <c r="AG830" t="s">
        <v>58</v>
      </c>
      <c r="AH830" s="1">
        <v>44948</v>
      </c>
      <c r="AI830" s="1">
        <v>44949</v>
      </c>
      <c r="AJ830" s="1">
        <v>44958</v>
      </c>
      <c r="AK830" t="s">
        <v>3703</v>
      </c>
      <c r="AL830" t="s">
        <v>2830</v>
      </c>
    </row>
    <row r="831" spans="1:38" x14ac:dyDescent="0.35">
      <c r="A831" t="s">
        <v>2832</v>
      </c>
      <c r="B831" t="s">
        <v>74</v>
      </c>
      <c r="C831" t="s">
        <v>89</v>
      </c>
      <c r="D831" t="s">
        <v>713</v>
      </c>
      <c r="E831" t="s">
        <v>714</v>
      </c>
      <c r="F831" t="s">
        <v>46</v>
      </c>
      <c r="G831" t="s">
        <v>47</v>
      </c>
      <c r="H831">
        <v>16390</v>
      </c>
      <c r="I831">
        <f>Sales_Transactions_Raw[[#This Row],[Unit_Price]]*Sales_Transactions_Raw[[#This Row],[Quantity]]</f>
        <v>16390</v>
      </c>
      <c r="J831">
        <v>1</v>
      </c>
      <c r="K831">
        <v>0</v>
      </c>
      <c r="L831">
        <v>0</v>
      </c>
      <c r="M831">
        <v>16390</v>
      </c>
      <c r="N831">
        <v>18</v>
      </c>
      <c r="O831">
        <v>2950.2</v>
      </c>
      <c r="P831">
        <v>0</v>
      </c>
      <c r="Q831">
        <v>19340.2</v>
      </c>
      <c r="R831" t="s">
        <v>92</v>
      </c>
      <c r="S831" t="s">
        <v>49</v>
      </c>
      <c r="T831" t="s">
        <v>115</v>
      </c>
      <c r="U831" t="s">
        <v>161</v>
      </c>
      <c r="V831" t="s">
        <v>67</v>
      </c>
      <c r="W831" t="s">
        <v>68</v>
      </c>
      <c r="X831" t="s">
        <v>362</v>
      </c>
      <c r="Y831" t="s">
        <v>118</v>
      </c>
      <c r="Z831" t="s">
        <v>70</v>
      </c>
      <c r="AA831" t="s">
        <v>2834</v>
      </c>
      <c r="AB831" t="s">
        <v>3344</v>
      </c>
      <c r="AC831">
        <v>4</v>
      </c>
      <c r="AD831" t="s">
        <v>56</v>
      </c>
      <c r="AE831" t="s">
        <v>3336</v>
      </c>
      <c r="AF831" t="s">
        <v>326</v>
      </c>
      <c r="AG831" t="s">
        <v>3342</v>
      </c>
      <c r="AH831" s="1">
        <v>44932</v>
      </c>
      <c r="AI831" s="1">
        <v>44936</v>
      </c>
      <c r="AJ831" s="1">
        <v>44944</v>
      </c>
      <c r="AK831" t="s">
        <v>3391</v>
      </c>
      <c r="AL831" t="s">
        <v>2833</v>
      </c>
    </row>
    <row r="832" spans="1:38" x14ac:dyDescent="0.35">
      <c r="A832" t="s">
        <v>2835</v>
      </c>
      <c r="B832" t="s">
        <v>264</v>
      </c>
      <c r="C832" t="s">
        <v>89</v>
      </c>
      <c r="D832" t="s">
        <v>432</v>
      </c>
      <c r="E832" t="s">
        <v>433</v>
      </c>
      <c r="F832" t="s">
        <v>146</v>
      </c>
      <c r="G832" t="s">
        <v>296</v>
      </c>
      <c r="H832">
        <v>5080</v>
      </c>
      <c r="I832">
        <f>Sales_Transactions_Raw[[#This Row],[Unit_Price]]*Sales_Transactions_Raw[[#This Row],[Quantity]]</f>
        <v>20320</v>
      </c>
      <c r="J832">
        <v>4</v>
      </c>
      <c r="K832">
        <v>0</v>
      </c>
      <c r="L832">
        <v>0</v>
      </c>
      <c r="M832">
        <v>20320</v>
      </c>
      <c r="N832">
        <v>12</v>
      </c>
      <c r="O832">
        <v>2438.4</v>
      </c>
      <c r="P832">
        <v>0</v>
      </c>
      <c r="Q832">
        <v>22758.400000000001</v>
      </c>
      <c r="R832" t="s">
        <v>160</v>
      </c>
      <c r="S832" t="s">
        <v>49</v>
      </c>
      <c r="T832" t="s">
        <v>136</v>
      </c>
      <c r="U832" t="s">
        <v>196</v>
      </c>
      <c r="V832" t="s">
        <v>197</v>
      </c>
      <c r="W832" t="s">
        <v>68</v>
      </c>
      <c r="X832" t="s">
        <v>215</v>
      </c>
      <c r="Y832" t="s">
        <v>169</v>
      </c>
      <c r="Z832" t="s">
        <v>95</v>
      </c>
      <c r="AA832" t="s">
        <v>2837</v>
      </c>
      <c r="AB832" t="s">
        <v>3335</v>
      </c>
      <c r="AC832">
        <v>5</v>
      </c>
      <c r="AD832" t="s">
        <v>56</v>
      </c>
      <c r="AE832" t="s">
        <v>3336</v>
      </c>
      <c r="AF832" t="s">
        <v>84</v>
      </c>
      <c r="AG832" t="s">
        <v>445</v>
      </c>
      <c r="AH832" s="1">
        <v>44973</v>
      </c>
      <c r="AI832" s="1">
        <v>44977</v>
      </c>
      <c r="AJ832" s="1">
        <v>44985</v>
      </c>
      <c r="AK832" t="s">
        <v>3526</v>
      </c>
      <c r="AL832" t="s">
        <v>2836</v>
      </c>
    </row>
    <row r="833" spans="1:38" x14ac:dyDescent="0.35">
      <c r="A833" t="s">
        <v>2838</v>
      </c>
      <c r="B833" t="s">
        <v>240</v>
      </c>
      <c r="C833" t="s">
        <v>43</v>
      </c>
      <c r="D833" t="s">
        <v>504</v>
      </c>
      <c r="E833" t="s">
        <v>91</v>
      </c>
      <c r="F833" t="s">
        <v>134</v>
      </c>
      <c r="G833" t="s">
        <v>330</v>
      </c>
      <c r="H833">
        <v>24900</v>
      </c>
      <c r="I833">
        <f>Sales_Transactions_Raw[[#This Row],[Unit_Price]]*Sales_Transactions_Raw[[#This Row],[Quantity]]</f>
        <v>24900</v>
      </c>
      <c r="J833">
        <v>1</v>
      </c>
      <c r="K833">
        <v>10</v>
      </c>
      <c r="L833">
        <v>2490</v>
      </c>
      <c r="M833">
        <v>22410</v>
      </c>
      <c r="N833">
        <v>5</v>
      </c>
      <c r="O833">
        <v>1120.5</v>
      </c>
      <c r="P833">
        <v>0</v>
      </c>
      <c r="Q833">
        <v>23530.5</v>
      </c>
      <c r="R833" t="s">
        <v>92</v>
      </c>
      <c r="S833" t="s">
        <v>93</v>
      </c>
      <c r="T833" t="s">
        <v>115</v>
      </c>
      <c r="U833" t="s">
        <v>108</v>
      </c>
      <c r="V833" t="s">
        <v>276</v>
      </c>
      <c r="W833" t="s">
        <v>95</v>
      </c>
      <c r="X833" t="s">
        <v>277</v>
      </c>
      <c r="Y833" t="s">
        <v>127</v>
      </c>
      <c r="Z833" t="s">
        <v>68</v>
      </c>
      <c r="AA833" t="s">
        <v>2840</v>
      </c>
      <c r="AB833" t="s">
        <v>3340</v>
      </c>
      <c r="AC833">
        <v>5</v>
      </c>
      <c r="AD833" t="s">
        <v>56</v>
      </c>
      <c r="AE833" t="s">
        <v>3336</v>
      </c>
      <c r="AF833" t="s">
        <v>326</v>
      </c>
      <c r="AG833" t="s">
        <v>58</v>
      </c>
      <c r="AH833" s="1">
        <v>45059</v>
      </c>
      <c r="AI833" s="1">
        <v>45060</v>
      </c>
      <c r="AJ833" s="1">
        <v>45070</v>
      </c>
      <c r="AK833" t="s">
        <v>3704</v>
      </c>
      <c r="AL833" t="s">
        <v>2839</v>
      </c>
    </row>
    <row r="834" spans="1:38" x14ac:dyDescent="0.35">
      <c r="A834" t="s">
        <v>2841</v>
      </c>
      <c r="B834" t="s">
        <v>130</v>
      </c>
      <c r="C834" t="s">
        <v>157</v>
      </c>
      <c r="D834" t="s">
        <v>630</v>
      </c>
      <c r="E834" t="s">
        <v>450</v>
      </c>
      <c r="F834" t="s">
        <v>134</v>
      </c>
      <c r="G834" t="s">
        <v>497</v>
      </c>
      <c r="H834">
        <v>47130</v>
      </c>
      <c r="I834">
        <f>Sales_Transactions_Raw[[#This Row],[Unit_Price]]*Sales_Transactions_Raw[[#This Row],[Quantity]]</f>
        <v>141390</v>
      </c>
      <c r="J834">
        <v>3</v>
      </c>
      <c r="K834">
        <v>0</v>
      </c>
      <c r="L834">
        <v>0</v>
      </c>
      <c r="M834">
        <v>377040</v>
      </c>
      <c r="N834">
        <v>5</v>
      </c>
      <c r="O834">
        <v>18852</v>
      </c>
      <c r="P834">
        <v>0</v>
      </c>
      <c r="Q834">
        <v>395892</v>
      </c>
      <c r="R834" t="s">
        <v>160</v>
      </c>
      <c r="S834" t="s">
        <v>93</v>
      </c>
      <c r="T834" t="s">
        <v>66</v>
      </c>
      <c r="U834" t="s">
        <v>214</v>
      </c>
      <c r="V834" t="s">
        <v>297</v>
      </c>
      <c r="W834" t="s">
        <v>52</v>
      </c>
      <c r="X834" t="s">
        <v>443</v>
      </c>
      <c r="Y834" t="s">
        <v>97</v>
      </c>
      <c r="Z834" t="s">
        <v>95</v>
      </c>
      <c r="AA834" t="s">
        <v>2843</v>
      </c>
      <c r="AB834" t="s">
        <v>3335</v>
      </c>
      <c r="AC834">
        <v>5</v>
      </c>
      <c r="AD834" t="s">
        <v>56</v>
      </c>
      <c r="AE834" t="s">
        <v>3336</v>
      </c>
      <c r="AF834" t="s">
        <v>279</v>
      </c>
      <c r="AG834" t="s">
        <v>85</v>
      </c>
      <c r="AH834" s="1">
        <v>44974</v>
      </c>
      <c r="AI834" s="1">
        <v>44981</v>
      </c>
      <c r="AJ834" s="1">
        <v>44991</v>
      </c>
      <c r="AK834" t="s">
        <v>3705</v>
      </c>
      <c r="AL834" t="s">
        <v>2842</v>
      </c>
    </row>
    <row r="835" spans="1:38" x14ac:dyDescent="0.35">
      <c r="A835" t="s">
        <v>2844</v>
      </c>
      <c r="B835" t="s">
        <v>687</v>
      </c>
      <c r="C835" t="s">
        <v>43</v>
      </c>
      <c r="D835" t="s">
        <v>426</v>
      </c>
      <c r="E835" t="s">
        <v>427</v>
      </c>
      <c r="F835" t="s">
        <v>134</v>
      </c>
      <c r="G835" t="s">
        <v>305</v>
      </c>
      <c r="H835">
        <v>44400</v>
      </c>
      <c r="I835">
        <f>Sales_Transactions_Raw[[#This Row],[Unit_Price]]*Sales_Transactions_Raw[[#This Row],[Quantity]]</f>
        <v>44400</v>
      </c>
      <c r="J835">
        <v>1</v>
      </c>
      <c r="K835">
        <v>20</v>
      </c>
      <c r="L835">
        <v>8880</v>
      </c>
      <c r="M835">
        <v>35520</v>
      </c>
      <c r="N835">
        <v>5</v>
      </c>
      <c r="O835">
        <v>1776</v>
      </c>
      <c r="P835">
        <v>0</v>
      </c>
      <c r="Q835">
        <v>37296</v>
      </c>
      <c r="R835" t="s">
        <v>64</v>
      </c>
      <c r="S835" t="s">
        <v>125</v>
      </c>
      <c r="T835" t="s">
        <v>719</v>
      </c>
      <c r="U835" t="s">
        <v>50</v>
      </c>
      <c r="V835" t="s">
        <v>242</v>
      </c>
      <c r="W835" t="s">
        <v>696</v>
      </c>
      <c r="X835" t="s">
        <v>443</v>
      </c>
      <c r="Y835" t="s">
        <v>97</v>
      </c>
      <c r="Z835" t="s">
        <v>95</v>
      </c>
      <c r="AA835" t="s">
        <v>2846</v>
      </c>
      <c r="AB835" t="s">
        <v>3341</v>
      </c>
      <c r="AC835">
        <v>4</v>
      </c>
      <c r="AD835" t="s">
        <v>56</v>
      </c>
      <c r="AE835" t="s">
        <v>3336</v>
      </c>
      <c r="AF835" t="s">
        <v>217</v>
      </c>
      <c r="AG835" t="s">
        <v>58</v>
      </c>
      <c r="AH835" s="1">
        <v>45177</v>
      </c>
      <c r="AI835" s="1">
        <v>45181</v>
      </c>
      <c r="AJ835" s="1">
        <v>45188</v>
      </c>
      <c r="AK835" t="s">
        <v>3439</v>
      </c>
      <c r="AL835" t="s">
        <v>2845</v>
      </c>
    </row>
    <row r="836" spans="1:38" x14ac:dyDescent="0.35">
      <c r="A836" t="s">
        <v>2847</v>
      </c>
      <c r="B836" t="s">
        <v>944</v>
      </c>
      <c r="C836" t="s">
        <v>89</v>
      </c>
      <c r="D836" t="s">
        <v>303</v>
      </c>
      <c r="E836" t="s">
        <v>304</v>
      </c>
      <c r="F836" t="s">
        <v>134</v>
      </c>
      <c r="G836" t="s">
        <v>305</v>
      </c>
      <c r="H836">
        <v>35670</v>
      </c>
      <c r="I836">
        <f>Sales_Transactions_Raw[[#This Row],[Unit_Price]]*Sales_Transactions_Raw[[#This Row],[Quantity]]</f>
        <v>249690</v>
      </c>
      <c r="J836">
        <v>7</v>
      </c>
      <c r="K836">
        <v>5</v>
      </c>
      <c r="L836">
        <v>12484.5</v>
      </c>
      <c r="M836">
        <v>237205.5</v>
      </c>
      <c r="N836">
        <v>5</v>
      </c>
      <c r="O836">
        <v>11860.27</v>
      </c>
      <c r="P836">
        <v>0</v>
      </c>
      <c r="Q836">
        <v>249065.77</v>
      </c>
      <c r="R836" t="s">
        <v>79</v>
      </c>
      <c r="S836" t="s">
        <v>65</v>
      </c>
      <c r="T836" t="s">
        <v>115</v>
      </c>
      <c r="U836" t="s">
        <v>161</v>
      </c>
      <c r="V836" t="s">
        <v>80</v>
      </c>
      <c r="W836" t="s">
        <v>81</v>
      </c>
      <c r="X836" t="s">
        <v>298</v>
      </c>
      <c r="Y836" t="s">
        <v>151</v>
      </c>
      <c r="Z836" t="s">
        <v>81</v>
      </c>
      <c r="AA836" t="s">
        <v>2849</v>
      </c>
      <c r="AB836" t="s">
        <v>3335</v>
      </c>
      <c r="AC836">
        <v>4</v>
      </c>
      <c r="AD836" t="s">
        <v>56</v>
      </c>
      <c r="AE836" t="s">
        <v>3336</v>
      </c>
      <c r="AF836" t="s">
        <v>72</v>
      </c>
      <c r="AG836" t="s">
        <v>3342</v>
      </c>
      <c r="AH836" s="1">
        <v>45296</v>
      </c>
      <c r="AI836" s="1">
        <v>45297</v>
      </c>
      <c r="AJ836" s="1">
        <v>45304</v>
      </c>
      <c r="AK836" t="s">
        <v>3573</v>
      </c>
      <c r="AL836" t="s">
        <v>2848</v>
      </c>
    </row>
    <row r="837" spans="1:38" x14ac:dyDescent="0.35">
      <c r="A837" t="s">
        <v>2850</v>
      </c>
      <c r="B837" t="s">
        <v>1078</v>
      </c>
      <c r="C837" t="s">
        <v>157</v>
      </c>
      <c r="D837" t="s">
        <v>375</v>
      </c>
      <c r="E837" t="s">
        <v>376</v>
      </c>
      <c r="F837" t="s">
        <v>146</v>
      </c>
      <c r="G837" t="s">
        <v>147</v>
      </c>
      <c r="H837">
        <v>8570</v>
      </c>
      <c r="I837">
        <f>Sales_Transactions_Raw[[#This Row],[Unit_Price]]*Sales_Transactions_Raw[[#This Row],[Quantity]]</f>
        <v>51420</v>
      </c>
      <c r="J837">
        <v>6</v>
      </c>
      <c r="K837">
        <v>10</v>
      </c>
      <c r="L837">
        <v>5142</v>
      </c>
      <c r="M837">
        <v>46278</v>
      </c>
      <c r="N837">
        <v>12</v>
      </c>
      <c r="O837">
        <v>5553.36</v>
      </c>
      <c r="P837">
        <v>0</v>
      </c>
      <c r="Q837">
        <v>51831.360000000001</v>
      </c>
      <c r="R837" t="s">
        <v>92</v>
      </c>
      <c r="S837" t="s">
        <v>49</v>
      </c>
      <c r="T837" t="s">
        <v>115</v>
      </c>
      <c r="U837" t="s">
        <v>214</v>
      </c>
      <c r="V837" t="s">
        <v>242</v>
      </c>
      <c r="W837" t="s">
        <v>70</v>
      </c>
      <c r="X837" t="s">
        <v>480</v>
      </c>
      <c r="Y837" t="s">
        <v>481</v>
      </c>
      <c r="Z837" t="s">
        <v>52</v>
      </c>
      <c r="AA837" t="s">
        <v>2852</v>
      </c>
      <c r="AB837" t="s">
        <v>3335</v>
      </c>
      <c r="AC837">
        <v>4</v>
      </c>
      <c r="AD837" t="s">
        <v>179</v>
      </c>
      <c r="AE837" t="s">
        <v>3336</v>
      </c>
      <c r="AF837" t="s">
        <v>326</v>
      </c>
      <c r="AG837" t="s">
        <v>445</v>
      </c>
      <c r="AH837" s="1">
        <v>45198</v>
      </c>
      <c r="AI837" s="1">
        <v>45202</v>
      </c>
      <c r="AJ837" s="1">
        <v>45207</v>
      </c>
      <c r="AK837" t="s">
        <v>3690</v>
      </c>
      <c r="AL837" t="s">
        <v>2851</v>
      </c>
    </row>
    <row r="838" spans="1:38" x14ac:dyDescent="0.35">
      <c r="A838" t="s">
        <v>2853</v>
      </c>
      <c r="B838" t="s">
        <v>409</v>
      </c>
      <c r="C838" t="s">
        <v>43</v>
      </c>
      <c r="D838" t="s">
        <v>221</v>
      </c>
      <c r="E838" t="s">
        <v>222</v>
      </c>
      <c r="F838" t="s">
        <v>146</v>
      </c>
      <c r="G838" t="s">
        <v>223</v>
      </c>
      <c r="H838">
        <v>2620</v>
      </c>
      <c r="I838">
        <f>Sales_Transactions_Raw[[#This Row],[Unit_Price]]*Sales_Transactions_Raw[[#This Row],[Quantity]]</f>
        <v>20960</v>
      </c>
      <c r="J838">
        <v>8</v>
      </c>
      <c r="K838">
        <v>5</v>
      </c>
      <c r="L838">
        <v>1048</v>
      </c>
      <c r="M838">
        <v>19912</v>
      </c>
      <c r="N838">
        <v>12</v>
      </c>
      <c r="O838">
        <v>2389.44</v>
      </c>
      <c r="P838">
        <v>0</v>
      </c>
      <c r="Q838">
        <v>22301.439999999999</v>
      </c>
      <c r="R838" t="s">
        <v>124</v>
      </c>
      <c r="S838" t="s">
        <v>93</v>
      </c>
      <c r="T838" t="s">
        <v>66</v>
      </c>
      <c r="U838" t="s">
        <v>214</v>
      </c>
      <c r="V838" t="s">
        <v>116</v>
      </c>
      <c r="W838" t="s">
        <v>70</v>
      </c>
      <c r="X838" t="s">
        <v>599</v>
      </c>
      <c r="Y838" t="s">
        <v>319</v>
      </c>
      <c r="Z838" t="s">
        <v>95</v>
      </c>
      <c r="AA838" t="s">
        <v>2855</v>
      </c>
      <c r="AB838" t="s">
        <v>3341</v>
      </c>
      <c r="AC838">
        <v>5</v>
      </c>
      <c r="AD838" t="s">
        <v>56</v>
      </c>
      <c r="AE838" t="s">
        <v>3336</v>
      </c>
      <c r="AF838" t="s">
        <v>262</v>
      </c>
      <c r="AG838" t="s">
        <v>85</v>
      </c>
      <c r="AH838" s="1">
        <v>45227</v>
      </c>
      <c r="AI838" s="1">
        <v>45202</v>
      </c>
      <c r="AJ838" s="1">
        <v>45236</v>
      </c>
      <c r="AK838" t="s">
        <v>3387</v>
      </c>
      <c r="AL838" t="s">
        <v>2854</v>
      </c>
    </row>
    <row r="839" spans="1:38" x14ac:dyDescent="0.35">
      <c r="A839" t="s">
        <v>2856</v>
      </c>
      <c r="B839" t="s">
        <v>365</v>
      </c>
      <c r="C839" t="s">
        <v>89</v>
      </c>
      <c r="D839" t="s">
        <v>971</v>
      </c>
      <c r="E839" t="s">
        <v>972</v>
      </c>
      <c r="F839" t="s">
        <v>146</v>
      </c>
      <c r="G839" t="s">
        <v>195</v>
      </c>
      <c r="H839">
        <v>1720</v>
      </c>
      <c r="I839">
        <f>Sales_Transactions_Raw[[#This Row],[Unit_Price]]*Sales_Transactions_Raw[[#This Row],[Quantity]]</f>
        <v>3440</v>
      </c>
      <c r="J839">
        <v>2</v>
      </c>
      <c r="K839">
        <v>5</v>
      </c>
      <c r="L839">
        <v>172</v>
      </c>
      <c r="M839">
        <v>3268</v>
      </c>
      <c r="N839">
        <v>12</v>
      </c>
      <c r="O839">
        <v>392.16</v>
      </c>
      <c r="P839">
        <v>49</v>
      </c>
      <c r="Q839">
        <v>3660.16</v>
      </c>
      <c r="R839" t="s">
        <v>106</v>
      </c>
      <c r="S839" t="s">
        <v>107</v>
      </c>
      <c r="T839" t="s">
        <v>148</v>
      </c>
      <c r="U839" t="s">
        <v>214</v>
      </c>
      <c r="V839" t="s">
        <v>276</v>
      </c>
      <c r="W839" t="s">
        <v>95</v>
      </c>
      <c r="X839" t="s">
        <v>626</v>
      </c>
      <c r="Y839" t="s">
        <v>289</v>
      </c>
      <c r="Z839" t="s">
        <v>52</v>
      </c>
      <c r="AA839" t="s">
        <v>2858</v>
      </c>
      <c r="AB839" t="s">
        <v>3341</v>
      </c>
      <c r="AC839">
        <v>4</v>
      </c>
      <c r="AD839" t="s">
        <v>56</v>
      </c>
      <c r="AE839" t="s">
        <v>3336</v>
      </c>
      <c r="AF839" t="s">
        <v>84</v>
      </c>
      <c r="AG839" t="s">
        <v>111</v>
      </c>
      <c r="AH839" s="1">
        <v>45363</v>
      </c>
      <c r="AI839" s="1">
        <v>45202</v>
      </c>
      <c r="AJ839" s="1">
        <v>45373</v>
      </c>
      <c r="AK839" t="s">
        <v>3601</v>
      </c>
      <c r="AL839" t="s">
        <v>2857</v>
      </c>
    </row>
    <row r="840" spans="1:38" x14ac:dyDescent="0.35">
      <c r="A840" t="s">
        <v>2859</v>
      </c>
      <c r="B840" t="s">
        <v>472</v>
      </c>
      <c r="C840" t="s">
        <v>43</v>
      </c>
      <c r="D840" t="s">
        <v>971</v>
      </c>
      <c r="E840" t="s">
        <v>972</v>
      </c>
      <c r="F840" t="s">
        <v>146</v>
      </c>
      <c r="G840" t="s">
        <v>195</v>
      </c>
      <c r="H840">
        <v>1690</v>
      </c>
      <c r="I840">
        <f>Sales_Transactions_Raw[[#This Row],[Unit_Price]]*Sales_Transactions_Raw[[#This Row],[Quantity]]</f>
        <v>3380</v>
      </c>
      <c r="J840">
        <v>2</v>
      </c>
      <c r="K840">
        <v>5</v>
      </c>
      <c r="L840">
        <v>169</v>
      </c>
      <c r="M840">
        <v>3211</v>
      </c>
      <c r="N840">
        <v>12</v>
      </c>
      <c r="O840">
        <v>385.32</v>
      </c>
      <c r="P840">
        <v>99</v>
      </c>
      <c r="Q840">
        <v>3596.32</v>
      </c>
      <c r="R840" t="s">
        <v>160</v>
      </c>
      <c r="S840" t="s">
        <v>65</v>
      </c>
      <c r="T840" t="s">
        <v>115</v>
      </c>
      <c r="U840" t="s">
        <v>161</v>
      </c>
      <c r="V840" t="s">
        <v>94</v>
      </c>
      <c r="W840" t="s">
        <v>95</v>
      </c>
      <c r="X840" t="s">
        <v>150</v>
      </c>
      <c r="Y840" t="s">
        <v>151</v>
      </c>
      <c r="Z840" t="s">
        <v>81</v>
      </c>
      <c r="AA840" t="s">
        <v>2861</v>
      </c>
      <c r="AB840" t="s">
        <v>3335</v>
      </c>
      <c r="AC840">
        <v>5</v>
      </c>
      <c r="AD840" t="s">
        <v>56</v>
      </c>
      <c r="AE840" t="s">
        <v>3336</v>
      </c>
      <c r="AF840" t="s">
        <v>84</v>
      </c>
      <c r="AG840" t="s">
        <v>58</v>
      </c>
      <c r="AH840" s="1">
        <v>44991</v>
      </c>
      <c r="AI840" s="1">
        <v>44993</v>
      </c>
      <c r="AJ840" s="1">
        <v>45002</v>
      </c>
      <c r="AK840" t="s">
        <v>3657</v>
      </c>
      <c r="AL840" t="s">
        <v>2860</v>
      </c>
    </row>
    <row r="841" spans="1:38" x14ac:dyDescent="0.35">
      <c r="A841" t="s">
        <v>2862</v>
      </c>
      <c r="B841" t="s">
        <v>1078</v>
      </c>
      <c r="C841" t="s">
        <v>157</v>
      </c>
      <c r="D841" t="s">
        <v>183</v>
      </c>
      <c r="E841" t="s">
        <v>184</v>
      </c>
      <c r="F841" t="s">
        <v>185</v>
      </c>
      <c r="G841" t="s">
        <v>186</v>
      </c>
      <c r="H841">
        <v>120</v>
      </c>
      <c r="I841">
        <f>Sales_Transactions_Raw[[#This Row],[Unit_Price]]*Sales_Transactions_Raw[[#This Row],[Quantity]]</f>
        <v>120</v>
      </c>
      <c r="J841">
        <v>1</v>
      </c>
      <c r="K841">
        <v>10</v>
      </c>
      <c r="L841">
        <v>12</v>
      </c>
      <c r="M841">
        <v>108</v>
      </c>
      <c r="N841">
        <v>5</v>
      </c>
      <c r="O841">
        <v>5.4</v>
      </c>
      <c r="P841">
        <v>49</v>
      </c>
      <c r="Q841">
        <v>113.4</v>
      </c>
      <c r="R841" t="s">
        <v>124</v>
      </c>
      <c r="S841" t="s">
        <v>93</v>
      </c>
      <c r="T841" t="s">
        <v>115</v>
      </c>
      <c r="U841" t="s">
        <v>196</v>
      </c>
      <c r="V841" t="s">
        <v>149</v>
      </c>
      <c r="W841" t="s">
        <v>81</v>
      </c>
      <c r="X841" t="s">
        <v>474</v>
      </c>
      <c r="Y841" t="s">
        <v>169</v>
      </c>
      <c r="Z841" t="s">
        <v>95</v>
      </c>
      <c r="AA841" t="s">
        <v>2864</v>
      </c>
      <c r="AB841" t="s">
        <v>3339</v>
      </c>
      <c r="AC841">
        <v>3</v>
      </c>
      <c r="AD841" t="s">
        <v>56</v>
      </c>
      <c r="AE841" t="s">
        <v>3336</v>
      </c>
      <c r="AF841" t="s">
        <v>140</v>
      </c>
      <c r="AG841" t="s">
        <v>85</v>
      </c>
      <c r="AH841" s="1">
        <v>45065</v>
      </c>
      <c r="AI841" s="1">
        <v>45069</v>
      </c>
      <c r="AJ841" s="1">
        <v>45071</v>
      </c>
      <c r="AK841" t="s">
        <v>3570</v>
      </c>
      <c r="AL841" t="s">
        <v>2863</v>
      </c>
    </row>
    <row r="842" spans="1:38" x14ac:dyDescent="0.35">
      <c r="A842" t="s">
        <v>2865</v>
      </c>
      <c r="B842" t="s">
        <v>1000</v>
      </c>
      <c r="C842" t="s">
        <v>43</v>
      </c>
      <c r="D842" t="s">
        <v>504</v>
      </c>
      <c r="E842" t="s">
        <v>91</v>
      </c>
      <c r="F842" t="s">
        <v>134</v>
      </c>
      <c r="G842" t="s">
        <v>330</v>
      </c>
      <c r="H842">
        <v>25690</v>
      </c>
      <c r="I842">
        <f>Sales_Transactions_Raw[[#This Row],[Unit_Price]]*Sales_Transactions_Raw[[#This Row],[Quantity]]</f>
        <v>25690</v>
      </c>
      <c r="J842">
        <v>1</v>
      </c>
      <c r="K842">
        <v>0</v>
      </c>
      <c r="L842">
        <v>0</v>
      </c>
      <c r="M842">
        <v>25690</v>
      </c>
      <c r="N842">
        <v>5</v>
      </c>
      <c r="O842">
        <v>1284.5</v>
      </c>
      <c r="P842">
        <v>0</v>
      </c>
      <c r="Q842">
        <v>26974.5</v>
      </c>
      <c r="R842" t="s">
        <v>48</v>
      </c>
      <c r="S842" t="s">
        <v>93</v>
      </c>
      <c r="T842" t="s">
        <v>719</v>
      </c>
      <c r="U842" t="s">
        <v>214</v>
      </c>
      <c r="V842" t="s">
        <v>80</v>
      </c>
      <c r="W842" t="s">
        <v>81</v>
      </c>
      <c r="X842" t="s">
        <v>491</v>
      </c>
      <c r="Y842" t="s">
        <v>358</v>
      </c>
      <c r="Z842" t="s">
        <v>95</v>
      </c>
      <c r="AA842" t="s">
        <v>2867</v>
      </c>
      <c r="AB842" t="s">
        <v>3339</v>
      </c>
      <c r="AC842">
        <v>3</v>
      </c>
      <c r="AD842" t="s">
        <v>56</v>
      </c>
      <c r="AE842" t="s">
        <v>3336</v>
      </c>
      <c r="AF842" t="s">
        <v>326</v>
      </c>
      <c r="AG842" t="s">
        <v>3337</v>
      </c>
      <c r="AH842" s="1">
        <v>45203</v>
      </c>
      <c r="AI842" s="1">
        <v>45207</v>
      </c>
      <c r="AJ842" s="1">
        <v>45071</v>
      </c>
      <c r="AK842" t="s">
        <v>3507</v>
      </c>
      <c r="AL842" t="s">
        <v>2866</v>
      </c>
    </row>
    <row r="843" spans="1:38" x14ac:dyDescent="0.35">
      <c r="A843" t="s">
        <v>2868</v>
      </c>
      <c r="B843" t="s">
        <v>781</v>
      </c>
      <c r="C843" t="s">
        <v>43</v>
      </c>
      <c r="D843" t="s">
        <v>174</v>
      </c>
      <c r="E843" t="s">
        <v>175</v>
      </c>
      <c r="F843" t="s">
        <v>46</v>
      </c>
      <c r="G843" t="s">
        <v>176</v>
      </c>
      <c r="H843">
        <v>1490</v>
      </c>
      <c r="I843">
        <f>Sales_Transactions_Raw[[#This Row],[Unit_Price]]*Sales_Transactions_Raw[[#This Row],[Quantity]]</f>
        <v>5960</v>
      </c>
      <c r="J843">
        <v>4</v>
      </c>
      <c r="K843">
        <v>0</v>
      </c>
      <c r="L843">
        <v>0</v>
      </c>
      <c r="M843">
        <v>5960</v>
      </c>
      <c r="N843">
        <v>18</v>
      </c>
      <c r="O843">
        <v>1072.8</v>
      </c>
      <c r="P843">
        <v>0</v>
      </c>
      <c r="Q843">
        <v>7032.8</v>
      </c>
      <c r="R843" t="s">
        <v>79</v>
      </c>
      <c r="S843" t="s">
        <v>65</v>
      </c>
      <c r="T843" t="s">
        <v>115</v>
      </c>
      <c r="U843" t="s">
        <v>196</v>
      </c>
      <c r="V843" t="s">
        <v>242</v>
      </c>
      <c r="W843" t="s">
        <v>70</v>
      </c>
      <c r="X843" t="s">
        <v>480</v>
      </c>
      <c r="Y843" t="s">
        <v>481</v>
      </c>
      <c r="Z843" t="s">
        <v>52</v>
      </c>
      <c r="AA843" t="s">
        <v>2870</v>
      </c>
      <c r="AB843" t="s">
        <v>3338</v>
      </c>
      <c r="AC843">
        <v>4</v>
      </c>
      <c r="AD843" t="s">
        <v>56</v>
      </c>
      <c r="AE843" t="s">
        <v>3336</v>
      </c>
      <c r="AF843" t="s">
        <v>84</v>
      </c>
      <c r="AG843" t="s">
        <v>111</v>
      </c>
      <c r="AH843" s="1">
        <v>44983</v>
      </c>
      <c r="AI843" s="1">
        <v>44987</v>
      </c>
      <c r="AJ843" s="1">
        <v>44991</v>
      </c>
      <c r="AK843" t="s">
        <v>3706</v>
      </c>
      <c r="AL843" t="s">
        <v>2869</v>
      </c>
    </row>
    <row r="844" spans="1:38" x14ac:dyDescent="0.35">
      <c r="A844" t="s">
        <v>2871</v>
      </c>
      <c r="B844" t="s">
        <v>333</v>
      </c>
      <c r="C844" t="s">
        <v>43</v>
      </c>
      <c r="D844" t="s">
        <v>526</v>
      </c>
      <c r="E844" t="s">
        <v>527</v>
      </c>
      <c r="F844" t="s">
        <v>185</v>
      </c>
      <c r="G844" t="s">
        <v>528</v>
      </c>
      <c r="H844">
        <v>29347.846790890268</v>
      </c>
      <c r="I844">
        <f>Sales_Transactions_Raw[[#This Row],[Unit_Price]]*Sales_Transactions_Raw[[#This Row],[Quantity]]</f>
        <v>88043.540372670803</v>
      </c>
      <c r="J844">
        <v>3</v>
      </c>
      <c r="K844">
        <v>5</v>
      </c>
      <c r="L844">
        <v>117</v>
      </c>
      <c r="M844">
        <v>2223</v>
      </c>
      <c r="N844">
        <v>5</v>
      </c>
      <c r="O844">
        <v>111.15</v>
      </c>
      <c r="P844">
        <v>49</v>
      </c>
      <c r="Q844">
        <v>2334.15</v>
      </c>
      <c r="R844" t="s">
        <v>48</v>
      </c>
      <c r="S844" t="s">
        <v>93</v>
      </c>
      <c r="T844" t="s">
        <v>66</v>
      </c>
      <c r="U844" t="s">
        <v>161</v>
      </c>
      <c r="V844" t="s">
        <v>67</v>
      </c>
      <c r="W844" t="s">
        <v>68</v>
      </c>
      <c r="X844" t="s">
        <v>611</v>
      </c>
      <c r="Y844" t="s">
        <v>97</v>
      </c>
      <c r="Z844" t="s">
        <v>95</v>
      </c>
      <c r="AA844" t="s">
        <v>2873</v>
      </c>
      <c r="AB844" t="s">
        <v>3338</v>
      </c>
      <c r="AC844">
        <v>5</v>
      </c>
      <c r="AD844" t="s">
        <v>56</v>
      </c>
      <c r="AE844" t="s">
        <v>3336</v>
      </c>
      <c r="AF844" t="s">
        <v>99</v>
      </c>
      <c r="AG844" t="s">
        <v>85</v>
      </c>
      <c r="AH844" s="1">
        <v>45091</v>
      </c>
      <c r="AI844" s="1">
        <v>45095</v>
      </c>
      <c r="AJ844" s="1">
        <v>45099</v>
      </c>
      <c r="AK844" t="s">
        <v>3375</v>
      </c>
      <c r="AL844" t="s">
        <v>2872</v>
      </c>
    </row>
    <row r="845" spans="1:38" x14ac:dyDescent="0.35">
      <c r="A845" t="s">
        <v>2874</v>
      </c>
      <c r="B845" t="s">
        <v>605</v>
      </c>
      <c r="C845" t="s">
        <v>43</v>
      </c>
      <c r="D845" t="s">
        <v>504</v>
      </c>
      <c r="E845" t="s">
        <v>91</v>
      </c>
      <c r="F845" t="s">
        <v>134</v>
      </c>
      <c r="G845" t="s">
        <v>330</v>
      </c>
      <c r="H845">
        <v>25700</v>
      </c>
      <c r="I845">
        <f>Sales_Transactions_Raw[[#This Row],[Unit_Price]]*Sales_Transactions_Raw[[#This Row],[Quantity]]</f>
        <v>128500</v>
      </c>
      <c r="J845">
        <v>5</v>
      </c>
      <c r="K845">
        <v>0</v>
      </c>
      <c r="L845">
        <v>0</v>
      </c>
      <c r="M845">
        <v>128500</v>
      </c>
      <c r="N845">
        <v>5</v>
      </c>
      <c r="O845">
        <v>6425</v>
      </c>
      <c r="P845">
        <v>0</v>
      </c>
      <c r="Q845">
        <v>134925</v>
      </c>
      <c r="R845" t="s">
        <v>92</v>
      </c>
      <c r="S845" t="s">
        <v>93</v>
      </c>
      <c r="T845" t="s">
        <v>719</v>
      </c>
      <c r="U845" t="s">
        <v>50</v>
      </c>
      <c r="V845" t="s">
        <v>224</v>
      </c>
      <c r="W845" t="s">
        <v>95</v>
      </c>
      <c r="X845" t="s">
        <v>411</v>
      </c>
      <c r="Y845" t="s">
        <v>151</v>
      </c>
      <c r="Z845" t="s">
        <v>81</v>
      </c>
      <c r="AA845" t="s">
        <v>2876</v>
      </c>
      <c r="AB845" t="s">
        <v>3340</v>
      </c>
      <c r="AC845">
        <v>4</v>
      </c>
      <c r="AD845" t="s">
        <v>56</v>
      </c>
      <c r="AE845" t="s">
        <v>3336</v>
      </c>
      <c r="AF845" t="s">
        <v>326</v>
      </c>
      <c r="AG845" t="s">
        <v>445</v>
      </c>
      <c r="AH845" s="1">
        <v>45445</v>
      </c>
      <c r="AI845" s="1">
        <v>45449</v>
      </c>
      <c r="AJ845" s="1">
        <v>45454</v>
      </c>
      <c r="AK845" t="s">
        <v>3435</v>
      </c>
      <c r="AL845" t="s">
        <v>2875</v>
      </c>
    </row>
    <row r="846" spans="1:38" x14ac:dyDescent="0.35">
      <c r="A846" t="s">
        <v>2877</v>
      </c>
      <c r="B846" t="s">
        <v>609</v>
      </c>
      <c r="C846" t="s">
        <v>43</v>
      </c>
      <c r="D846" t="s">
        <v>62</v>
      </c>
      <c r="E846" t="s">
        <v>45</v>
      </c>
      <c r="F846" t="s">
        <v>46</v>
      </c>
      <c r="G846" t="s">
        <v>63</v>
      </c>
      <c r="H846">
        <v>60540</v>
      </c>
      <c r="I846">
        <f>Sales_Transactions_Raw[[#This Row],[Unit_Price]]*Sales_Transactions_Raw[[#This Row],[Quantity]]</f>
        <v>181620</v>
      </c>
      <c r="J846">
        <v>3</v>
      </c>
      <c r="K846">
        <v>15</v>
      </c>
      <c r="L846">
        <v>27243</v>
      </c>
      <c r="M846">
        <v>154377</v>
      </c>
      <c r="N846">
        <v>18</v>
      </c>
      <c r="O846">
        <v>27787.86</v>
      </c>
      <c r="P846">
        <v>0</v>
      </c>
      <c r="Q846">
        <v>182164.86</v>
      </c>
      <c r="R846" t="s">
        <v>160</v>
      </c>
      <c r="S846" t="s">
        <v>107</v>
      </c>
      <c r="T846" t="s">
        <v>719</v>
      </c>
      <c r="U846" t="s">
        <v>161</v>
      </c>
      <c r="V846" t="s">
        <v>276</v>
      </c>
      <c r="W846" t="s">
        <v>95</v>
      </c>
      <c r="X846" t="s">
        <v>243</v>
      </c>
      <c r="Y846" t="s">
        <v>244</v>
      </c>
      <c r="Z846" t="s">
        <v>70</v>
      </c>
      <c r="AA846" t="s">
        <v>2879</v>
      </c>
      <c r="AB846" t="s">
        <v>3344</v>
      </c>
      <c r="AC846">
        <v>3</v>
      </c>
      <c r="AD846" t="s">
        <v>56</v>
      </c>
      <c r="AE846" t="s">
        <v>3336</v>
      </c>
      <c r="AF846" t="s">
        <v>164</v>
      </c>
      <c r="AG846" t="s">
        <v>3342</v>
      </c>
      <c r="AH846" s="1">
        <v>44942</v>
      </c>
      <c r="AI846" s="1">
        <v>44944</v>
      </c>
      <c r="AJ846" s="1">
        <v>44954</v>
      </c>
      <c r="AK846" t="s">
        <v>3496</v>
      </c>
      <c r="AL846" t="s">
        <v>2878</v>
      </c>
    </row>
    <row r="847" spans="1:38" x14ac:dyDescent="0.35">
      <c r="A847" t="s">
        <v>2880</v>
      </c>
      <c r="B847" t="s">
        <v>379</v>
      </c>
      <c r="C847" t="s">
        <v>89</v>
      </c>
      <c r="D847" t="s">
        <v>466</v>
      </c>
      <c r="E847" t="s">
        <v>467</v>
      </c>
      <c r="F847" t="s">
        <v>185</v>
      </c>
      <c r="G847" t="s">
        <v>468</v>
      </c>
      <c r="H847">
        <v>610</v>
      </c>
      <c r="I847">
        <f>Sales_Transactions_Raw[[#This Row],[Unit_Price]]*Sales_Transactions_Raw[[#This Row],[Quantity]]</f>
        <v>610</v>
      </c>
      <c r="J847">
        <v>1</v>
      </c>
      <c r="K847">
        <v>15</v>
      </c>
      <c r="L847">
        <v>91.5</v>
      </c>
      <c r="M847">
        <v>518.5</v>
      </c>
      <c r="N847">
        <v>5</v>
      </c>
      <c r="O847">
        <v>25.93</v>
      </c>
      <c r="P847">
        <v>99</v>
      </c>
      <c r="Q847">
        <v>544.42999999999995</v>
      </c>
      <c r="R847" t="s">
        <v>124</v>
      </c>
      <c r="S847" t="s">
        <v>49</v>
      </c>
      <c r="T847" t="s">
        <v>213</v>
      </c>
      <c r="U847" t="s">
        <v>50</v>
      </c>
      <c r="V847" t="s">
        <v>149</v>
      </c>
      <c r="W847" t="s">
        <v>81</v>
      </c>
      <c r="X847" t="s">
        <v>306</v>
      </c>
      <c r="Y847" t="s">
        <v>97</v>
      </c>
      <c r="Z847" t="s">
        <v>95</v>
      </c>
      <c r="AA847" t="s">
        <v>2882</v>
      </c>
      <c r="AB847" t="s">
        <v>3341</v>
      </c>
      <c r="AC847">
        <v>4</v>
      </c>
      <c r="AD847" t="s">
        <v>179</v>
      </c>
      <c r="AE847" t="s">
        <v>476</v>
      </c>
      <c r="AF847" t="s">
        <v>262</v>
      </c>
      <c r="AG847" t="s">
        <v>3342</v>
      </c>
      <c r="AH847" s="1">
        <v>44982</v>
      </c>
      <c r="AI847" s="1">
        <v>44985</v>
      </c>
      <c r="AJ847" s="1">
        <v>44954</v>
      </c>
      <c r="AK847" t="s">
        <v>3382</v>
      </c>
      <c r="AL847" t="s">
        <v>2881</v>
      </c>
    </row>
    <row r="848" spans="1:38" x14ac:dyDescent="0.35">
      <c r="A848" t="s">
        <v>2883</v>
      </c>
      <c r="B848" t="s">
        <v>457</v>
      </c>
      <c r="C848" t="s">
        <v>89</v>
      </c>
      <c r="D848" t="s">
        <v>62</v>
      </c>
      <c r="E848" t="s">
        <v>45</v>
      </c>
      <c r="F848" t="s">
        <v>46</v>
      </c>
      <c r="G848" t="s">
        <v>63</v>
      </c>
      <c r="H848">
        <v>60520</v>
      </c>
      <c r="I848">
        <f>Sales_Transactions_Raw[[#This Row],[Unit_Price]]*Sales_Transactions_Raw[[#This Row],[Quantity]]</f>
        <v>242080</v>
      </c>
      <c r="J848">
        <v>4</v>
      </c>
      <c r="K848">
        <v>5</v>
      </c>
      <c r="L848">
        <v>12104</v>
      </c>
      <c r="M848">
        <v>229976</v>
      </c>
      <c r="N848">
        <v>18</v>
      </c>
      <c r="O848">
        <v>41395.68</v>
      </c>
      <c r="P848">
        <v>0</v>
      </c>
      <c r="Q848">
        <v>271371.68</v>
      </c>
      <c r="R848" t="s">
        <v>64</v>
      </c>
      <c r="S848" t="s">
        <v>49</v>
      </c>
      <c r="T848" t="s">
        <v>719</v>
      </c>
      <c r="U848" t="s">
        <v>214</v>
      </c>
      <c r="V848" t="s">
        <v>197</v>
      </c>
      <c r="W848" t="s">
        <v>68</v>
      </c>
      <c r="X848" t="s">
        <v>318</v>
      </c>
      <c r="Y848" t="s">
        <v>319</v>
      </c>
      <c r="Z848" t="s">
        <v>95</v>
      </c>
      <c r="AA848" t="s">
        <v>2885</v>
      </c>
      <c r="AB848" t="s">
        <v>3338</v>
      </c>
      <c r="AC848">
        <v>4</v>
      </c>
      <c r="AD848" t="s">
        <v>56</v>
      </c>
      <c r="AE848" t="s">
        <v>3336</v>
      </c>
      <c r="AF848" t="s">
        <v>153</v>
      </c>
      <c r="AG848" t="s">
        <v>445</v>
      </c>
      <c r="AH848" s="1">
        <v>45468</v>
      </c>
      <c r="AI848" s="1">
        <v>45474</v>
      </c>
      <c r="AJ848" s="1">
        <v>45480</v>
      </c>
      <c r="AK848" t="s">
        <v>3606</v>
      </c>
      <c r="AL848" t="s">
        <v>2884</v>
      </c>
    </row>
    <row r="849" spans="1:38" x14ac:dyDescent="0.35">
      <c r="A849" t="s">
        <v>2886</v>
      </c>
      <c r="B849" t="s">
        <v>940</v>
      </c>
      <c r="C849" t="s">
        <v>43</v>
      </c>
      <c r="D849" t="s">
        <v>375</v>
      </c>
      <c r="E849" t="s">
        <v>376</v>
      </c>
      <c r="F849" t="s">
        <v>146</v>
      </c>
      <c r="G849" t="s">
        <v>147</v>
      </c>
      <c r="H849">
        <v>8980</v>
      </c>
      <c r="I849">
        <f>Sales_Transactions_Raw[[#This Row],[Unit_Price]]*Sales_Transactions_Raw[[#This Row],[Quantity]]</f>
        <v>17960</v>
      </c>
      <c r="J849">
        <v>2</v>
      </c>
      <c r="K849">
        <v>5</v>
      </c>
      <c r="L849">
        <v>898</v>
      </c>
      <c r="M849">
        <v>17062</v>
      </c>
      <c r="N849">
        <v>12</v>
      </c>
      <c r="O849">
        <v>2047.44</v>
      </c>
      <c r="P849">
        <v>0</v>
      </c>
      <c r="Q849">
        <v>19109.439999999999</v>
      </c>
      <c r="R849" t="s">
        <v>79</v>
      </c>
      <c r="S849" t="s">
        <v>107</v>
      </c>
      <c r="T849" t="s">
        <v>115</v>
      </c>
      <c r="U849" t="s">
        <v>196</v>
      </c>
      <c r="V849" t="s">
        <v>242</v>
      </c>
      <c r="W849" t="s">
        <v>70</v>
      </c>
      <c r="X849" t="s">
        <v>922</v>
      </c>
      <c r="Y849" t="s">
        <v>199</v>
      </c>
      <c r="Z849" t="s">
        <v>52</v>
      </c>
      <c r="AA849" t="s">
        <v>2888</v>
      </c>
      <c r="AB849" t="s">
        <v>3335</v>
      </c>
      <c r="AC849">
        <v>4</v>
      </c>
      <c r="AD849" t="s">
        <v>56</v>
      </c>
      <c r="AE849" t="s">
        <v>3336</v>
      </c>
      <c r="AF849" t="s">
        <v>279</v>
      </c>
      <c r="AG849" t="s">
        <v>3337</v>
      </c>
      <c r="AH849" s="1">
        <v>45149</v>
      </c>
      <c r="AI849" s="1">
        <v>45156</v>
      </c>
      <c r="AJ849" s="1">
        <v>45165</v>
      </c>
      <c r="AK849" t="s">
        <v>3707</v>
      </c>
      <c r="AL849" t="s">
        <v>2887</v>
      </c>
    </row>
    <row r="850" spans="1:38" x14ac:dyDescent="0.35">
      <c r="A850" t="s">
        <v>2889</v>
      </c>
      <c r="B850" t="s">
        <v>2260</v>
      </c>
      <c r="C850" t="s">
        <v>89</v>
      </c>
      <c r="D850" t="s">
        <v>402</v>
      </c>
      <c r="E850" t="s">
        <v>403</v>
      </c>
      <c r="F850" t="s">
        <v>146</v>
      </c>
      <c r="G850" t="s">
        <v>223</v>
      </c>
      <c r="H850">
        <v>2060</v>
      </c>
      <c r="I850">
        <f>Sales_Transactions_Raw[[#This Row],[Unit_Price]]*Sales_Transactions_Raw[[#This Row],[Quantity]]</f>
        <v>2060</v>
      </c>
      <c r="J850">
        <v>1</v>
      </c>
      <c r="K850">
        <v>10</v>
      </c>
      <c r="L850">
        <v>206</v>
      </c>
      <c r="M850">
        <v>1854</v>
      </c>
      <c r="N850">
        <v>12</v>
      </c>
      <c r="O850">
        <v>222.48</v>
      </c>
      <c r="P850">
        <v>79</v>
      </c>
      <c r="Q850">
        <v>2076.48</v>
      </c>
      <c r="R850" t="s">
        <v>92</v>
      </c>
      <c r="S850" t="s">
        <v>93</v>
      </c>
      <c r="T850" t="s">
        <v>719</v>
      </c>
      <c r="U850" t="s">
        <v>50</v>
      </c>
      <c r="V850" t="s">
        <v>197</v>
      </c>
      <c r="W850" t="s">
        <v>68</v>
      </c>
      <c r="X850" t="s">
        <v>204</v>
      </c>
      <c r="Y850" t="s">
        <v>118</v>
      </c>
      <c r="Z850" t="s">
        <v>70</v>
      </c>
      <c r="AA850" t="s">
        <v>2891</v>
      </c>
      <c r="AB850" t="s">
        <v>3343</v>
      </c>
      <c r="AC850">
        <v>4</v>
      </c>
      <c r="AD850" t="s">
        <v>56</v>
      </c>
      <c r="AE850" t="s">
        <v>3336</v>
      </c>
      <c r="AF850" t="s">
        <v>227</v>
      </c>
      <c r="AG850" t="s">
        <v>111</v>
      </c>
      <c r="AH850" s="1">
        <v>45458</v>
      </c>
      <c r="AI850" s="1">
        <v>45461</v>
      </c>
      <c r="AJ850" s="1">
        <v>45468</v>
      </c>
      <c r="AK850" t="s">
        <v>3708</v>
      </c>
      <c r="AL850" t="s">
        <v>2890</v>
      </c>
    </row>
    <row r="851" spans="1:38" x14ac:dyDescent="0.35">
      <c r="A851" t="s">
        <v>2892</v>
      </c>
      <c r="B851" t="s">
        <v>447</v>
      </c>
      <c r="C851" t="s">
        <v>157</v>
      </c>
      <c r="D851" t="s">
        <v>294</v>
      </c>
      <c r="E851" t="s">
        <v>295</v>
      </c>
      <c r="F851" t="s">
        <v>146</v>
      </c>
      <c r="G851" t="s">
        <v>296</v>
      </c>
      <c r="H851">
        <v>14640</v>
      </c>
      <c r="I851">
        <f>Sales_Transactions_Raw[[#This Row],[Unit_Price]]*Sales_Transactions_Raw[[#This Row],[Quantity]]</f>
        <v>73200</v>
      </c>
      <c r="J851">
        <v>5</v>
      </c>
      <c r="K851">
        <v>0</v>
      </c>
      <c r="L851">
        <v>0</v>
      </c>
      <c r="M851">
        <v>73200</v>
      </c>
      <c r="N851">
        <v>12</v>
      </c>
      <c r="O851">
        <v>8784</v>
      </c>
      <c r="P851">
        <v>0</v>
      </c>
      <c r="Q851">
        <v>81984</v>
      </c>
      <c r="R851" t="s">
        <v>92</v>
      </c>
      <c r="S851" t="s">
        <v>107</v>
      </c>
      <c r="T851" t="s">
        <v>115</v>
      </c>
      <c r="U851" t="s">
        <v>50</v>
      </c>
      <c r="V851" t="s">
        <v>297</v>
      </c>
      <c r="W851" t="s">
        <v>52</v>
      </c>
      <c r="X851" t="s">
        <v>491</v>
      </c>
      <c r="Y851" t="s">
        <v>358</v>
      </c>
      <c r="Z851" t="s">
        <v>95</v>
      </c>
      <c r="AA851" t="s">
        <v>2894</v>
      </c>
      <c r="AB851" t="s">
        <v>3344</v>
      </c>
      <c r="AC851">
        <v>5</v>
      </c>
      <c r="AD851" t="s">
        <v>56</v>
      </c>
      <c r="AE851" t="s">
        <v>3336</v>
      </c>
      <c r="AF851" t="s">
        <v>227</v>
      </c>
      <c r="AG851" t="s">
        <v>85</v>
      </c>
      <c r="AH851" s="1">
        <v>44978</v>
      </c>
      <c r="AI851" s="1">
        <v>44980</v>
      </c>
      <c r="AJ851" s="1">
        <v>44983</v>
      </c>
      <c r="AK851" t="s">
        <v>3393</v>
      </c>
      <c r="AL851" t="s">
        <v>2893</v>
      </c>
    </row>
    <row r="852" spans="1:38" x14ac:dyDescent="0.35">
      <c r="A852" t="s">
        <v>2895</v>
      </c>
      <c r="B852" t="s">
        <v>753</v>
      </c>
      <c r="C852" t="s">
        <v>43</v>
      </c>
      <c r="D852" t="s">
        <v>249</v>
      </c>
      <c r="E852" t="s">
        <v>250</v>
      </c>
      <c r="F852" t="s">
        <v>211</v>
      </c>
      <c r="G852" t="s">
        <v>251</v>
      </c>
      <c r="H852">
        <v>18480</v>
      </c>
      <c r="I852">
        <f>Sales_Transactions_Raw[[#This Row],[Unit_Price]]*Sales_Transactions_Raw[[#This Row],[Quantity]]</f>
        <v>36960</v>
      </c>
      <c r="J852">
        <v>2</v>
      </c>
      <c r="K852">
        <v>15</v>
      </c>
      <c r="L852">
        <v>5544</v>
      </c>
      <c r="M852">
        <v>31416</v>
      </c>
      <c r="N852">
        <v>5</v>
      </c>
      <c r="O852">
        <v>1570.8</v>
      </c>
      <c r="P852">
        <v>0</v>
      </c>
      <c r="Q852">
        <v>32986.800000000003</v>
      </c>
      <c r="R852" t="s">
        <v>124</v>
      </c>
      <c r="S852" t="s">
        <v>49</v>
      </c>
      <c r="T852" t="s">
        <v>115</v>
      </c>
      <c r="U852" t="s">
        <v>108</v>
      </c>
      <c r="V852" t="s">
        <v>297</v>
      </c>
      <c r="W852" t="s">
        <v>52</v>
      </c>
      <c r="X852" t="s">
        <v>215</v>
      </c>
      <c r="Y852" t="s">
        <v>169</v>
      </c>
      <c r="Z852" t="s">
        <v>95</v>
      </c>
      <c r="AA852" t="s">
        <v>2897</v>
      </c>
      <c r="AB852" t="s">
        <v>3335</v>
      </c>
      <c r="AC852">
        <v>3</v>
      </c>
      <c r="AD852" t="s">
        <v>56</v>
      </c>
      <c r="AE852" t="s">
        <v>3336</v>
      </c>
      <c r="AF852" t="s">
        <v>326</v>
      </c>
      <c r="AG852" t="s">
        <v>58</v>
      </c>
      <c r="AH852" s="1">
        <v>45126</v>
      </c>
      <c r="AI852" s="1">
        <v>45127</v>
      </c>
      <c r="AJ852" s="1">
        <v>45130</v>
      </c>
      <c r="AK852" t="s">
        <v>3647</v>
      </c>
      <c r="AL852" t="s">
        <v>2896</v>
      </c>
    </row>
    <row r="853" spans="1:38" x14ac:dyDescent="0.35">
      <c r="A853" t="s">
        <v>2898</v>
      </c>
      <c r="B853" t="s">
        <v>753</v>
      </c>
      <c r="C853" t="s">
        <v>43</v>
      </c>
      <c r="D853" t="s">
        <v>230</v>
      </c>
      <c r="E853" t="s">
        <v>231</v>
      </c>
      <c r="F853" t="s">
        <v>46</v>
      </c>
      <c r="G853" t="s">
        <v>63</v>
      </c>
      <c r="H853">
        <v>107360</v>
      </c>
      <c r="I853">
        <f>Sales_Transactions_Raw[[#This Row],[Unit_Price]]*Sales_Transactions_Raw[[#This Row],[Quantity]]</f>
        <v>858880</v>
      </c>
      <c r="J853">
        <v>8</v>
      </c>
      <c r="K853">
        <v>10</v>
      </c>
      <c r="L853">
        <v>85888</v>
      </c>
      <c r="M853">
        <v>772992</v>
      </c>
      <c r="N853">
        <v>18</v>
      </c>
      <c r="O853">
        <v>139138.56</v>
      </c>
      <c r="P853">
        <v>0</v>
      </c>
      <c r="Q853">
        <v>912130.56000000006</v>
      </c>
      <c r="R853" t="s">
        <v>79</v>
      </c>
      <c r="S853" t="s">
        <v>93</v>
      </c>
      <c r="T853" t="s">
        <v>115</v>
      </c>
      <c r="U853" t="s">
        <v>196</v>
      </c>
      <c r="V853" t="s">
        <v>80</v>
      </c>
      <c r="W853" t="s">
        <v>81</v>
      </c>
      <c r="X853" t="s">
        <v>510</v>
      </c>
      <c r="Y853" t="s">
        <v>199</v>
      </c>
      <c r="Z853" t="s">
        <v>52</v>
      </c>
      <c r="AA853" t="s">
        <v>2900</v>
      </c>
      <c r="AB853" t="s">
        <v>3335</v>
      </c>
      <c r="AC853">
        <v>4</v>
      </c>
      <c r="AD853" t="s">
        <v>56</v>
      </c>
      <c r="AE853" t="s">
        <v>3336</v>
      </c>
      <c r="AF853" t="s">
        <v>57</v>
      </c>
      <c r="AG853" t="s">
        <v>58</v>
      </c>
      <c r="AH853" s="1">
        <v>45284</v>
      </c>
      <c r="AI853" s="1">
        <v>45285</v>
      </c>
      <c r="AJ853" s="1">
        <v>45288</v>
      </c>
      <c r="AK853" t="s">
        <v>3454</v>
      </c>
      <c r="AL853" t="s">
        <v>2899</v>
      </c>
    </row>
    <row r="854" spans="1:38" x14ac:dyDescent="0.35">
      <c r="A854" t="s">
        <v>2901</v>
      </c>
      <c r="B854" t="s">
        <v>301</v>
      </c>
      <c r="C854" t="s">
        <v>43</v>
      </c>
      <c r="D854" t="s">
        <v>504</v>
      </c>
      <c r="E854" t="s">
        <v>91</v>
      </c>
      <c r="F854" t="s">
        <v>134</v>
      </c>
      <c r="G854" t="s">
        <v>330</v>
      </c>
      <c r="H854">
        <v>25500</v>
      </c>
      <c r="I854">
        <f>Sales_Transactions_Raw[[#This Row],[Unit_Price]]*Sales_Transactions_Raw[[#This Row],[Quantity]]</f>
        <v>127500</v>
      </c>
      <c r="J854">
        <v>5</v>
      </c>
      <c r="K854">
        <v>0</v>
      </c>
      <c r="L854">
        <v>0</v>
      </c>
      <c r="M854">
        <v>127500</v>
      </c>
      <c r="N854">
        <v>5</v>
      </c>
      <c r="O854">
        <v>6375</v>
      </c>
      <c r="P854">
        <v>0</v>
      </c>
      <c r="Q854">
        <v>133875</v>
      </c>
      <c r="R854" t="s">
        <v>92</v>
      </c>
      <c r="S854" t="s">
        <v>93</v>
      </c>
      <c r="T854" t="s">
        <v>66</v>
      </c>
      <c r="U854" t="s">
        <v>214</v>
      </c>
      <c r="V854" t="s">
        <v>276</v>
      </c>
      <c r="W854" t="s">
        <v>95</v>
      </c>
      <c r="X854" t="s">
        <v>551</v>
      </c>
      <c r="Y854" t="s">
        <v>138</v>
      </c>
      <c r="Z854" t="s">
        <v>81</v>
      </c>
      <c r="AA854" t="s">
        <v>2903</v>
      </c>
      <c r="AB854" t="s">
        <v>3340</v>
      </c>
      <c r="AC854">
        <v>2</v>
      </c>
      <c r="AD854" t="s">
        <v>56</v>
      </c>
      <c r="AE854" t="s">
        <v>3336</v>
      </c>
      <c r="AF854" t="s">
        <v>153</v>
      </c>
      <c r="AG854" t="s">
        <v>3342</v>
      </c>
      <c r="AH854" s="1">
        <v>45459</v>
      </c>
      <c r="AI854" s="1">
        <v>45462</v>
      </c>
      <c r="AJ854" s="1">
        <v>45464</v>
      </c>
      <c r="AK854" t="s">
        <v>3597</v>
      </c>
      <c r="AL854" t="s">
        <v>2902</v>
      </c>
    </row>
    <row r="855" spans="1:38" x14ac:dyDescent="0.35">
      <c r="A855" t="s">
        <v>2904</v>
      </c>
      <c r="B855" t="s">
        <v>484</v>
      </c>
      <c r="C855" t="s">
        <v>43</v>
      </c>
      <c r="D855" t="s">
        <v>230</v>
      </c>
      <c r="E855" t="s">
        <v>231</v>
      </c>
      <c r="F855" t="s">
        <v>46</v>
      </c>
      <c r="G855" t="s">
        <v>63</v>
      </c>
      <c r="H855">
        <v>116280</v>
      </c>
      <c r="I855">
        <f>Sales_Transactions_Raw[[#This Row],[Unit_Price]]*Sales_Transactions_Raw[[#This Row],[Quantity]]</f>
        <v>116280</v>
      </c>
      <c r="J855">
        <v>1</v>
      </c>
      <c r="K855">
        <v>0</v>
      </c>
      <c r="L855">
        <v>0</v>
      </c>
      <c r="M855">
        <v>116280</v>
      </c>
      <c r="N855">
        <v>18</v>
      </c>
      <c r="O855">
        <v>20930.400000000001</v>
      </c>
      <c r="P855">
        <v>0</v>
      </c>
      <c r="Q855">
        <v>137210.4</v>
      </c>
      <c r="R855" t="s">
        <v>160</v>
      </c>
      <c r="S855" t="s">
        <v>107</v>
      </c>
      <c r="T855" t="s">
        <v>115</v>
      </c>
      <c r="U855" t="s">
        <v>161</v>
      </c>
      <c r="V855" t="s">
        <v>224</v>
      </c>
      <c r="W855" t="s">
        <v>95</v>
      </c>
      <c r="X855" t="s">
        <v>474</v>
      </c>
      <c r="Y855" t="s">
        <v>169</v>
      </c>
      <c r="Z855" t="s">
        <v>95</v>
      </c>
      <c r="AB855" t="s">
        <v>3335</v>
      </c>
      <c r="AC855">
        <v>4</v>
      </c>
      <c r="AD855" t="s">
        <v>56</v>
      </c>
      <c r="AE855" t="s">
        <v>3336</v>
      </c>
      <c r="AF855" t="s">
        <v>262</v>
      </c>
      <c r="AG855" t="s">
        <v>3337</v>
      </c>
      <c r="AH855" s="1">
        <v>45407</v>
      </c>
      <c r="AI855" s="1">
        <v>45411</v>
      </c>
      <c r="AJ855" s="1">
        <v>45419</v>
      </c>
      <c r="AK855" t="s">
        <v>3709</v>
      </c>
      <c r="AL855" t="s">
        <v>2905</v>
      </c>
    </row>
    <row r="856" spans="1:38" x14ac:dyDescent="0.35">
      <c r="A856" t="s">
        <v>2906</v>
      </c>
      <c r="B856" t="s">
        <v>74</v>
      </c>
      <c r="C856" t="s">
        <v>43</v>
      </c>
      <c r="D856" t="s">
        <v>317</v>
      </c>
      <c r="E856" t="s">
        <v>77</v>
      </c>
      <c r="F856" t="s">
        <v>46</v>
      </c>
      <c r="G856" t="s">
        <v>176</v>
      </c>
      <c r="H856">
        <v>28010</v>
      </c>
      <c r="I856">
        <f>Sales_Transactions_Raw[[#This Row],[Unit_Price]]*Sales_Transactions_Raw[[#This Row],[Quantity]]</f>
        <v>112040</v>
      </c>
      <c r="J856">
        <v>4</v>
      </c>
      <c r="K856">
        <v>15</v>
      </c>
      <c r="L856">
        <v>16806</v>
      </c>
      <c r="M856">
        <v>95234</v>
      </c>
      <c r="N856">
        <v>18</v>
      </c>
      <c r="O856">
        <v>17142.12</v>
      </c>
      <c r="P856">
        <v>0</v>
      </c>
      <c r="Q856">
        <v>112376.12</v>
      </c>
      <c r="R856" t="s">
        <v>106</v>
      </c>
      <c r="S856" t="s">
        <v>107</v>
      </c>
      <c r="T856" t="s">
        <v>115</v>
      </c>
      <c r="U856" t="s">
        <v>108</v>
      </c>
      <c r="V856" t="s">
        <v>197</v>
      </c>
      <c r="W856" t="s">
        <v>68</v>
      </c>
      <c r="X856" t="s">
        <v>277</v>
      </c>
      <c r="Y856" t="s">
        <v>127</v>
      </c>
      <c r="Z856" t="s">
        <v>68</v>
      </c>
      <c r="AA856" t="s">
        <v>2908</v>
      </c>
      <c r="AB856" t="s">
        <v>3338</v>
      </c>
      <c r="AC856">
        <v>4</v>
      </c>
      <c r="AD856" t="s">
        <v>56</v>
      </c>
      <c r="AE856" t="s">
        <v>3336</v>
      </c>
      <c r="AF856" t="s">
        <v>57</v>
      </c>
      <c r="AG856" t="s">
        <v>58</v>
      </c>
      <c r="AH856" s="1">
        <v>45207</v>
      </c>
      <c r="AI856" s="1">
        <v>45152</v>
      </c>
      <c r="AJ856" s="1">
        <v>45161</v>
      </c>
      <c r="AK856" t="s">
        <v>3710</v>
      </c>
      <c r="AL856" t="s">
        <v>2907</v>
      </c>
    </row>
    <row r="857" spans="1:38" x14ac:dyDescent="0.35">
      <c r="A857" t="s">
        <v>2909</v>
      </c>
      <c r="B857" t="s">
        <v>765</v>
      </c>
      <c r="C857" t="s">
        <v>43</v>
      </c>
      <c r="D857" t="s">
        <v>367</v>
      </c>
      <c r="E857" t="s">
        <v>368</v>
      </c>
      <c r="F857" t="s">
        <v>46</v>
      </c>
      <c r="G857" t="s">
        <v>369</v>
      </c>
      <c r="H857">
        <v>29370</v>
      </c>
      <c r="I857">
        <f>Sales_Transactions_Raw[[#This Row],[Unit_Price]]*Sales_Transactions_Raw[[#This Row],[Quantity]]</f>
        <v>58740</v>
      </c>
      <c r="J857">
        <v>2</v>
      </c>
      <c r="K857">
        <v>0</v>
      </c>
      <c r="L857">
        <v>0</v>
      </c>
      <c r="M857">
        <v>58740</v>
      </c>
      <c r="N857">
        <v>18</v>
      </c>
      <c r="O857">
        <v>10573.2</v>
      </c>
      <c r="P857">
        <v>0</v>
      </c>
      <c r="Q857">
        <v>69313.2</v>
      </c>
      <c r="R857" t="s">
        <v>106</v>
      </c>
      <c r="S857" t="s">
        <v>49</v>
      </c>
      <c r="T857" t="s">
        <v>115</v>
      </c>
      <c r="U857" t="s">
        <v>50</v>
      </c>
      <c r="V857" t="s">
        <v>276</v>
      </c>
      <c r="W857" t="s">
        <v>95</v>
      </c>
      <c r="X857" t="s">
        <v>611</v>
      </c>
      <c r="Y857" t="s">
        <v>97</v>
      </c>
      <c r="Z857" t="s">
        <v>95</v>
      </c>
      <c r="AA857" t="s">
        <v>2911</v>
      </c>
      <c r="AB857" t="s">
        <v>3338</v>
      </c>
      <c r="AC857">
        <v>5</v>
      </c>
      <c r="AD857" t="s">
        <v>56</v>
      </c>
      <c r="AE857" t="s">
        <v>3336</v>
      </c>
      <c r="AF857" t="s">
        <v>279</v>
      </c>
      <c r="AG857" t="s">
        <v>58</v>
      </c>
      <c r="AH857" s="1">
        <v>45239</v>
      </c>
      <c r="AI857" s="1">
        <v>45242</v>
      </c>
      <c r="AJ857" s="1">
        <v>45248</v>
      </c>
      <c r="AK857" t="s">
        <v>3458</v>
      </c>
      <c r="AL857" t="s">
        <v>2910</v>
      </c>
    </row>
    <row r="858" spans="1:38" x14ac:dyDescent="0.35">
      <c r="A858" t="s">
        <v>2912</v>
      </c>
      <c r="B858" t="s">
        <v>142</v>
      </c>
      <c r="C858" t="s">
        <v>43</v>
      </c>
      <c r="D858" t="s">
        <v>704</v>
      </c>
      <c r="E858" t="s">
        <v>705</v>
      </c>
      <c r="F858" t="s">
        <v>285</v>
      </c>
      <c r="G858" t="s">
        <v>706</v>
      </c>
      <c r="H858">
        <v>280</v>
      </c>
      <c r="I858">
        <f>Sales_Transactions_Raw[[#This Row],[Unit_Price]]*Sales_Transactions_Raw[[#This Row],[Quantity]]</f>
        <v>840</v>
      </c>
      <c r="J858">
        <v>3</v>
      </c>
      <c r="K858">
        <v>10</v>
      </c>
      <c r="L858">
        <v>84</v>
      </c>
      <c r="M858">
        <v>756</v>
      </c>
      <c r="N858">
        <v>5</v>
      </c>
      <c r="O858">
        <v>37.799999999999997</v>
      </c>
      <c r="P858">
        <v>99</v>
      </c>
      <c r="Q858">
        <v>793.8</v>
      </c>
      <c r="R858" t="s">
        <v>48</v>
      </c>
      <c r="S858" t="s">
        <v>125</v>
      </c>
      <c r="T858" t="s">
        <v>66</v>
      </c>
      <c r="U858" t="s">
        <v>108</v>
      </c>
      <c r="V858" t="s">
        <v>94</v>
      </c>
      <c r="W858" t="s">
        <v>95</v>
      </c>
      <c r="X858" t="s">
        <v>437</v>
      </c>
      <c r="Y858" t="s">
        <v>319</v>
      </c>
      <c r="Z858" t="s">
        <v>95</v>
      </c>
      <c r="AA858" t="s">
        <v>2914</v>
      </c>
      <c r="AB858" t="s">
        <v>3339</v>
      </c>
      <c r="AC858">
        <v>4</v>
      </c>
      <c r="AD858" t="s">
        <v>56</v>
      </c>
      <c r="AE858" t="s">
        <v>3336</v>
      </c>
      <c r="AF858" t="s">
        <v>227</v>
      </c>
      <c r="AG858" t="s">
        <v>58</v>
      </c>
      <c r="AH858" s="1">
        <v>45084</v>
      </c>
      <c r="AI858" s="1">
        <v>45087</v>
      </c>
      <c r="AJ858" s="1">
        <v>45089</v>
      </c>
      <c r="AK858" t="s">
        <v>3353</v>
      </c>
      <c r="AL858" t="s">
        <v>2913</v>
      </c>
    </row>
    <row r="859" spans="1:38" x14ac:dyDescent="0.35">
      <c r="A859" t="s">
        <v>2915</v>
      </c>
      <c r="B859" t="s">
        <v>680</v>
      </c>
      <c r="C859" t="s">
        <v>157</v>
      </c>
      <c r="D859" t="s">
        <v>183</v>
      </c>
      <c r="E859" t="s">
        <v>184</v>
      </c>
      <c r="F859" t="s">
        <v>185</v>
      </c>
      <c r="G859" t="s">
        <v>186</v>
      </c>
      <c r="H859">
        <v>110</v>
      </c>
      <c r="I859">
        <f>Sales_Transactions_Raw[[#This Row],[Unit_Price]]*Sales_Transactions_Raw[[#This Row],[Quantity]]</f>
        <v>660</v>
      </c>
      <c r="J859">
        <v>6</v>
      </c>
      <c r="K859">
        <v>10</v>
      </c>
      <c r="L859">
        <v>66</v>
      </c>
      <c r="M859">
        <v>594</v>
      </c>
      <c r="N859">
        <v>5</v>
      </c>
      <c r="O859">
        <v>29.7</v>
      </c>
      <c r="P859">
        <v>79</v>
      </c>
      <c r="Q859">
        <v>623.70000000000005</v>
      </c>
      <c r="R859" t="s">
        <v>64</v>
      </c>
      <c r="S859" t="s">
        <v>125</v>
      </c>
      <c r="T859" t="s">
        <v>66</v>
      </c>
      <c r="U859" t="s">
        <v>196</v>
      </c>
      <c r="V859" t="s">
        <v>269</v>
      </c>
      <c r="W859" t="s">
        <v>70</v>
      </c>
      <c r="X859" t="s">
        <v>277</v>
      </c>
      <c r="Y859" t="s">
        <v>127</v>
      </c>
      <c r="Z859" t="s">
        <v>68</v>
      </c>
      <c r="AA859" t="s">
        <v>2917</v>
      </c>
      <c r="AB859" t="s">
        <v>3338</v>
      </c>
      <c r="AC859">
        <v>4</v>
      </c>
      <c r="AD859" t="s">
        <v>56</v>
      </c>
      <c r="AE859" t="s">
        <v>3336</v>
      </c>
      <c r="AF859" t="s">
        <v>72</v>
      </c>
      <c r="AG859" t="s">
        <v>85</v>
      </c>
      <c r="AH859" s="1">
        <v>44983</v>
      </c>
      <c r="AI859" s="1">
        <v>44988</v>
      </c>
      <c r="AJ859" s="1">
        <v>44995</v>
      </c>
      <c r="AK859" t="s">
        <v>3544</v>
      </c>
      <c r="AL859" t="s">
        <v>2916</v>
      </c>
    </row>
    <row r="860" spans="1:38" x14ac:dyDescent="0.35">
      <c r="A860" t="s">
        <v>2918</v>
      </c>
      <c r="B860" t="s">
        <v>41</v>
      </c>
      <c r="C860" t="s">
        <v>89</v>
      </c>
      <c r="D860" t="s">
        <v>432</v>
      </c>
      <c r="E860" t="s">
        <v>433</v>
      </c>
      <c r="F860" t="s">
        <v>146</v>
      </c>
      <c r="G860" t="s">
        <v>296</v>
      </c>
      <c r="H860">
        <v>5310</v>
      </c>
      <c r="I860">
        <f>Sales_Transactions_Raw[[#This Row],[Unit_Price]]*Sales_Transactions_Raw[[#This Row],[Quantity]]</f>
        <v>10620</v>
      </c>
      <c r="J860">
        <v>2</v>
      </c>
      <c r="K860">
        <v>5</v>
      </c>
      <c r="L860">
        <v>531</v>
      </c>
      <c r="M860">
        <v>10089</v>
      </c>
      <c r="N860">
        <v>12</v>
      </c>
      <c r="O860">
        <v>1210.68</v>
      </c>
      <c r="P860">
        <v>0</v>
      </c>
      <c r="Q860">
        <v>11299.68</v>
      </c>
      <c r="R860" t="s">
        <v>64</v>
      </c>
      <c r="S860" t="s">
        <v>125</v>
      </c>
      <c r="T860" t="s">
        <v>115</v>
      </c>
      <c r="U860" t="s">
        <v>196</v>
      </c>
      <c r="V860" t="s">
        <v>276</v>
      </c>
      <c r="W860" t="s">
        <v>95</v>
      </c>
      <c r="X860" t="s">
        <v>480</v>
      </c>
      <c r="Y860" t="s">
        <v>481</v>
      </c>
      <c r="Z860" t="s">
        <v>52</v>
      </c>
      <c r="AA860" t="s">
        <v>2920</v>
      </c>
      <c r="AB860" t="s">
        <v>3344</v>
      </c>
      <c r="AC860">
        <v>4</v>
      </c>
      <c r="AD860" t="s">
        <v>56</v>
      </c>
      <c r="AE860" t="s">
        <v>3336</v>
      </c>
      <c r="AF860" t="s">
        <v>84</v>
      </c>
      <c r="AG860" t="s">
        <v>58</v>
      </c>
      <c r="AH860" s="1">
        <v>45260</v>
      </c>
      <c r="AI860" s="1">
        <v>45264</v>
      </c>
      <c r="AJ860" s="1">
        <v>45268</v>
      </c>
      <c r="AK860" t="s">
        <v>3345</v>
      </c>
      <c r="AL860" t="s">
        <v>2919</v>
      </c>
    </row>
    <row r="861" spans="1:38" x14ac:dyDescent="0.35">
      <c r="A861" t="s">
        <v>2921</v>
      </c>
      <c r="B861" t="s">
        <v>731</v>
      </c>
      <c r="C861" t="s">
        <v>43</v>
      </c>
      <c r="D861" t="s">
        <v>283</v>
      </c>
      <c r="E861" t="s">
        <v>284</v>
      </c>
      <c r="F861" t="s">
        <v>285</v>
      </c>
      <c r="G861" t="s">
        <v>286</v>
      </c>
      <c r="H861">
        <v>420</v>
      </c>
      <c r="I861">
        <f>Sales_Transactions_Raw[[#This Row],[Unit_Price]]*Sales_Transactions_Raw[[#This Row],[Quantity]]</f>
        <v>420</v>
      </c>
      <c r="J861">
        <v>1</v>
      </c>
      <c r="K861">
        <v>0</v>
      </c>
      <c r="L861">
        <v>0</v>
      </c>
      <c r="M861">
        <v>420</v>
      </c>
      <c r="N861">
        <v>5</v>
      </c>
      <c r="O861">
        <v>21</v>
      </c>
      <c r="P861">
        <v>79</v>
      </c>
      <c r="Q861">
        <v>441</v>
      </c>
      <c r="R861" t="s">
        <v>124</v>
      </c>
      <c r="S861" t="s">
        <v>65</v>
      </c>
      <c r="T861" t="s">
        <v>66</v>
      </c>
      <c r="U861" t="s">
        <v>214</v>
      </c>
      <c r="V861" t="s">
        <v>149</v>
      </c>
      <c r="W861" t="s">
        <v>81</v>
      </c>
      <c r="X861" t="s">
        <v>162</v>
      </c>
      <c r="Y861" t="s">
        <v>109</v>
      </c>
      <c r="Z861" t="s">
        <v>70</v>
      </c>
      <c r="AA861" t="s">
        <v>2923</v>
      </c>
      <c r="AB861" t="s">
        <v>3338</v>
      </c>
      <c r="AC861">
        <v>4</v>
      </c>
      <c r="AD861" t="s">
        <v>56</v>
      </c>
      <c r="AE861" t="s">
        <v>3336</v>
      </c>
      <c r="AF861" t="s">
        <v>140</v>
      </c>
      <c r="AG861" t="s">
        <v>445</v>
      </c>
      <c r="AH861" s="1">
        <v>45011</v>
      </c>
      <c r="AI861" s="1">
        <v>45015</v>
      </c>
      <c r="AJ861" s="1">
        <v>45024</v>
      </c>
      <c r="AK861" t="s">
        <v>3452</v>
      </c>
      <c r="AL861" t="s">
        <v>2922</v>
      </c>
    </row>
    <row r="862" spans="1:38" x14ac:dyDescent="0.35">
      <c r="A862" t="s">
        <v>2924</v>
      </c>
      <c r="B862" t="s">
        <v>207</v>
      </c>
      <c r="C862" t="s">
        <v>89</v>
      </c>
      <c r="D862" t="s">
        <v>704</v>
      </c>
      <c r="E862" t="s">
        <v>705</v>
      </c>
      <c r="F862" t="s">
        <v>285</v>
      </c>
      <c r="G862" t="s">
        <v>706</v>
      </c>
      <c r="H862">
        <v>290</v>
      </c>
      <c r="I862">
        <f>Sales_Transactions_Raw[[#This Row],[Unit_Price]]*Sales_Transactions_Raw[[#This Row],[Quantity]]</f>
        <v>580</v>
      </c>
      <c r="J862">
        <v>2</v>
      </c>
      <c r="K862">
        <v>5</v>
      </c>
      <c r="L862">
        <v>29</v>
      </c>
      <c r="M862">
        <v>551</v>
      </c>
      <c r="N862">
        <v>5</v>
      </c>
      <c r="O862">
        <v>27.55</v>
      </c>
      <c r="P862">
        <v>79</v>
      </c>
      <c r="Q862">
        <v>578.54999999999995</v>
      </c>
      <c r="R862" t="s">
        <v>124</v>
      </c>
      <c r="S862" t="s">
        <v>49</v>
      </c>
      <c r="T862" t="s">
        <v>66</v>
      </c>
      <c r="U862" t="s">
        <v>214</v>
      </c>
      <c r="V862" t="s">
        <v>67</v>
      </c>
      <c r="W862" t="s">
        <v>68</v>
      </c>
      <c r="X862" t="s">
        <v>318</v>
      </c>
      <c r="Y862" t="s">
        <v>319</v>
      </c>
      <c r="Z862" t="s">
        <v>95</v>
      </c>
      <c r="AA862" t="s">
        <v>2926</v>
      </c>
      <c r="AB862" t="s">
        <v>3343</v>
      </c>
      <c r="AC862">
        <v>4</v>
      </c>
      <c r="AD862" t="s">
        <v>179</v>
      </c>
      <c r="AE862" t="s">
        <v>476</v>
      </c>
      <c r="AF862" t="s">
        <v>227</v>
      </c>
      <c r="AG862" t="s">
        <v>58</v>
      </c>
      <c r="AH862" s="1">
        <v>45126</v>
      </c>
      <c r="AI862" s="1">
        <v>45133</v>
      </c>
      <c r="AJ862" s="1">
        <v>45142</v>
      </c>
      <c r="AK862" t="s">
        <v>3505</v>
      </c>
      <c r="AL862" t="s">
        <v>2925</v>
      </c>
    </row>
    <row r="863" spans="1:38" x14ac:dyDescent="0.35">
      <c r="A863" t="s">
        <v>2927</v>
      </c>
      <c r="B863" t="s">
        <v>1078</v>
      </c>
      <c r="C863" t="s">
        <v>157</v>
      </c>
      <c r="D863" t="s">
        <v>406</v>
      </c>
      <c r="E863" t="s">
        <v>231</v>
      </c>
      <c r="F863" t="s">
        <v>46</v>
      </c>
      <c r="G863" t="s">
        <v>369</v>
      </c>
      <c r="H863">
        <v>94300</v>
      </c>
      <c r="I863">
        <f>Sales_Transactions_Raw[[#This Row],[Unit_Price]]*Sales_Transactions_Raw[[#This Row],[Quantity]]</f>
        <v>188600</v>
      </c>
      <c r="J863">
        <v>2</v>
      </c>
      <c r="K863">
        <v>15</v>
      </c>
      <c r="L863">
        <v>28290</v>
      </c>
      <c r="M863">
        <v>160310</v>
      </c>
      <c r="N863">
        <v>18</v>
      </c>
      <c r="O863">
        <v>28855.8</v>
      </c>
      <c r="P863">
        <v>0</v>
      </c>
      <c r="Q863">
        <v>189165.8</v>
      </c>
      <c r="R863" t="s">
        <v>64</v>
      </c>
      <c r="S863" t="s">
        <v>49</v>
      </c>
      <c r="T863" t="s">
        <v>115</v>
      </c>
      <c r="U863" t="s">
        <v>108</v>
      </c>
      <c r="V863" t="s">
        <v>149</v>
      </c>
      <c r="W863" t="s">
        <v>81</v>
      </c>
      <c r="X863" t="s">
        <v>611</v>
      </c>
      <c r="Y863" t="s">
        <v>97</v>
      </c>
      <c r="Z863" t="s">
        <v>95</v>
      </c>
      <c r="AA863" t="s">
        <v>2929</v>
      </c>
      <c r="AB863" t="s">
        <v>3344</v>
      </c>
      <c r="AC863">
        <v>3</v>
      </c>
      <c r="AD863" t="s">
        <v>56</v>
      </c>
      <c r="AE863" t="s">
        <v>3336</v>
      </c>
      <c r="AF863" t="s">
        <v>140</v>
      </c>
      <c r="AG863" t="s">
        <v>85</v>
      </c>
      <c r="AH863" s="1">
        <v>45116</v>
      </c>
      <c r="AI863" s="1">
        <v>45120</v>
      </c>
      <c r="AJ863" s="1">
        <v>45130</v>
      </c>
      <c r="AK863" t="s">
        <v>3570</v>
      </c>
      <c r="AL863" t="s">
        <v>2928</v>
      </c>
    </row>
    <row r="864" spans="1:38" x14ac:dyDescent="0.35">
      <c r="A864" t="s">
        <v>2738</v>
      </c>
      <c r="B864" t="s">
        <v>2930</v>
      </c>
      <c r="C864" t="s">
        <v>43</v>
      </c>
      <c r="D864" t="s">
        <v>971</v>
      </c>
      <c r="E864" t="s">
        <v>972</v>
      </c>
      <c r="F864" t="s">
        <v>146</v>
      </c>
      <c r="G864" t="s">
        <v>195</v>
      </c>
      <c r="H864">
        <v>1540</v>
      </c>
      <c r="I864">
        <f>Sales_Transactions_Raw[[#This Row],[Unit_Price]]*Sales_Transactions_Raw[[#This Row],[Quantity]]</f>
        <v>7700</v>
      </c>
      <c r="J864">
        <v>5</v>
      </c>
      <c r="K864">
        <v>15</v>
      </c>
      <c r="L864">
        <v>1155</v>
      </c>
      <c r="M864">
        <v>6545</v>
      </c>
      <c r="N864">
        <v>12</v>
      </c>
      <c r="O864">
        <v>785.4</v>
      </c>
      <c r="P864">
        <v>0</v>
      </c>
      <c r="Q864">
        <v>7330.4</v>
      </c>
      <c r="R864" t="s">
        <v>106</v>
      </c>
      <c r="S864" t="s">
        <v>65</v>
      </c>
      <c r="T864" t="s">
        <v>115</v>
      </c>
      <c r="U864" t="s">
        <v>214</v>
      </c>
      <c r="V864" t="s">
        <v>94</v>
      </c>
      <c r="W864" t="s">
        <v>95</v>
      </c>
      <c r="X864" t="s">
        <v>137</v>
      </c>
      <c r="Y864" t="s">
        <v>138</v>
      </c>
      <c r="Z864" t="s">
        <v>81</v>
      </c>
      <c r="AA864" t="s">
        <v>2932</v>
      </c>
      <c r="AB864" t="s">
        <v>3343</v>
      </c>
      <c r="AC864">
        <v>3</v>
      </c>
      <c r="AD864" t="s">
        <v>56</v>
      </c>
      <c r="AE864" t="s">
        <v>3336</v>
      </c>
      <c r="AF864" t="s">
        <v>84</v>
      </c>
      <c r="AG864" t="s">
        <v>85</v>
      </c>
      <c r="AH864" s="1">
        <v>45268</v>
      </c>
      <c r="AI864" s="1">
        <v>45273</v>
      </c>
      <c r="AJ864" s="1">
        <v>45283</v>
      </c>
      <c r="AK864" t="s">
        <v>3626</v>
      </c>
      <c r="AL864" t="s">
        <v>2931</v>
      </c>
    </row>
    <row r="865" spans="1:38" x14ac:dyDescent="0.35">
      <c r="A865" t="s">
        <v>2933</v>
      </c>
      <c r="B865" t="s">
        <v>272</v>
      </c>
      <c r="C865" t="s">
        <v>43</v>
      </c>
      <c r="D865" t="s">
        <v>249</v>
      </c>
      <c r="E865" t="s">
        <v>250</v>
      </c>
      <c r="F865" t="s">
        <v>211</v>
      </c>
      <c r="G865" t="s">
        <v>251</v>
      </c>
      <c r="H865">
        <v>17170</v>
      </c>
      <c r="I865">
        <f>Sales_Transactions_Raw[[#This Row],[Unit_Price]]*Sales_Transactions_Raw[[#This Row],[Quantity]]</f>
        <v>17170</v>
      </c>
      <c r="J865">
        <v>1</v>
      </c>
      <c r="K865">
        <v>0</v>
      </c>
      <c r="L865">
        <v>0</v>
      </c>
      <c r="M865">
        <v>17170</v>
      </c>
      <c r="N865">
        <v>5</v>
      </c>
      <c r="O865">
        <v>858.5</v>
      </c>
      <c r="P865">
        <v>0</v>
      </c>
      <c r="Q865">
        <v>18028.5</v>
      </c>
      <c r="R865" t="s">
        <v>79</v>
      </c>
      <c r="S865" t="s">
        <v>93</v>
      </c>
      <c r="T865" t="s">
        <v>115</v>
      </c>
      <c r="U865" t="s">
        <v>108</v>
      </c>
      <c r="V865" t="s">
        <v>269</v>
      </c>
      <c r="W865" t="s">
        <v>70</v>
      </c>
      <c r="X865" t="s">
        <v>298</v>
      </c>
      <c r="Y865" t="s">
        <v>151</v>
      </c>
      <c r="Z865" t="s">
        <v>81</v>
      </c>
      <c r="AA865" t="s">
        <v>2935</v>
      </c>
      <c r="AB865" t="s">
        <v>3338</v>
      </c>
      <c r="AC865">
        <v>4</v>
      </c>
      <c r="AD865" t="s">
        <v>56</v>
      </c>
      <c r="AE865" t="s">
        <v>3336</v>
      </c>
      <c r="AF865" t="s">
        <v>72</v>
      </c>
      <c r="AG865" t="s">
        <v>85</v>
      </c>
      <c r="AH865" s="1">
        <v>45243</v>
      </c>
      <c r="AI865" s="1">
        <v>45247</v>
      </c>
      <c r="AJ865" s="1">
        <v>45249</v>
      </c>
      <c r="AK865" t="s">
        <v>3446</v>
      </c>
      <c r="AL865" t="s">
        <v>2934</v>
      </c>
    </row>
    <row r="866" spans="1:38" x14ac:dyDescent="0.35">
      <c r="A866" t="s">
        <v>2936</v>
      </c>
      <c r="B866" t="s">
        <v>240</v>
      </c>
      <c r="C866" t="s">
        <v>157</v>
      </c>
      <c r="D866" t="s">
        <v>76</v>
      </c>
      <c r="E866" t="s">
        <v>77</v>
      </c>
      <c r="F866" t="s">
        <v>46</v>
      </c>
      <c r="G866" t="s">
        <v>78</v>
      </c>
      <c r="H866">
        <v>74910</v>
      </c>
      <c r="I866">
        <f>Sales_Transactions_Raw[[#This Row],[Unit_Price]]*Sales_Transactions_Raw[[#This Row],[Quantity]]</f>
        <v>674190</v>
      </c>
      <c r="J866">
        <v>9</v>
      </c>
      <c r="K866">
        <v>20</v>
      </c>
      <c r="L866">
        <v>134838</v>
      </c>
      <c r="M866">
        <v>539352</v>
      </c>
      <c r="N866">
        <v>18</v>
      </c>
      <c r="O866">
        <v>97083.36</v>
      </c>
      <c r="P866">
        <v>0</v>
      </c>
      <c r="Q866">
        <v>636435.36</v>
      </c>
      <c r="R866" t="s">
        <v>160</v>
      </c>
      <c r="S866" t="s">
        <v>65</v>
      </c>
      <c r="T866" t="s">
        <v>66</v>
      </c>
      <c r="U866" t="s">
        <v>50</v>
      </c>
      <c r="V866" t="s">
        <v>94</v>
      </c>
      <c r="W866" t="s">
        <v>95</v>
      </c>
      <c r="X866" t="s">
        <v>162</v>
      </c>
      <c r="Y866" t="s">
        <v>109</v>
      </c>
      <c r="Z866" t="s">
        <v>70</v>
      </c>
      <c r="AA866" t="s">
        <v>2938</v>
      </c>
      <c r="AB866" t="s">
        <v>3338</v>
      </c>
      <c r="AC866">
        <v>4</v>
      </c>
      <c r="AD866" t="s">
        <v>56</v>
      </c>
      <c r="AE866" t="s">
        <v>3336</v>
      </c>
      <c r="AF866" t="s">
        <v>153</v>
      </c>
      <c r="AG866" t="s">
        <v>58</v>
      </c>
      <c r="AH866" s="1">
        <v>44945</v>
      </c>
      <c r="AI866" s="1">
        <v>44946</v>
      </c>
      <c r="AJ866" s="1">
        <v>44951</v>
      </c>
      <c r="AK866" t="s">
        <v>3680</v>
      </c>
      <c r="AL866" t="s">
        <v>2937</v>
      </c>
    </row>
    <row r="867" spans="1:38" x14ac:dyDescent="0.35">
      <c r="A867" t="s">
        <v>2939</v>
      </c>
      <c r="B867" t="s">
        <v>373</v>
      </c>
      <c r="C867" t="s">
        <v>43</v>
      </c>
      <c r="D867" t="s">
        <v>426</v>
      </c>
      <c r="E867" t="s">
        <v>427</v>
      </c>
      <c r="F867" t="s">
        <v>134</v>
      </c>
      <c r="G867" t="s">
        <v>305</v>
      </c>
      <c r="H867">
        <v>49290</v>
      </c>
      <c r="I867">
        <f>Sales_Transactions_Raw[[#This Row],[Unit_Price]]*Sales_Transactions_Raw[[#This Row],[Quantity]]</f>
        <v>246450</v>
      </c>
      <c r="J867">
        <v>5</v>
      </c>
      <c r="K867">
        <v>0</v>
      </c>
      <c r="L867">
        <v>0</v>
      </c>
      <c r="M867">
        <v>246450</v>
      </c>
      <c r="N867">
        <v>5</v>
      </c>
      <c r="O867">
        <v>12322.5</v>
      </c>
      <c r="P867">
        <v>0</v>
      </c>
      <c r="Q867">
        <v>258772.5</v>
      </c>
      <c r="R867" t="s">
        <v>48</v>
      </c>
      <c r="S867" t="s">
        <v>65</v>
      </c>
      <c r="T867" t="s">
        <v>115</v>
      </c>
      <c r="U867" t="s">
        <v>50</v>
      </c>
      <c r="V867" t="s">
        <v>269</v>
      </c>
      <c r="W867" t="s">
        <v>70</v>
      </c>
      <c r="X867" t="s">
        <v>469</v>
      </c>
      <c r="Y867" t="s">
        <v>244</v>
      </c>
      <c r="Z867" t="s">
        <v>70</v>
      </c>
      <c r="AA867" t="s">
        <v>2941</v>
      </c>
      <c r="AB867" t="s">
        <v>3335</v>
      </c>
      <c r="AC867">
        <v>3</v>
      </c>
      <c r="AD867" t="s">
        <v>56</v>
      </c>
      <c r="AE867" t="s">
        <v>3336</v>
      </c>
      <c r="AF867" t="s">
        <v>262</v>
      </c>
      <c r="AG867" t="s">
        <v>85</v>
      </c>
      <c r="AH867" s="1">
        <v>45177</v>
      </c>
      <c r="AI867" s="1">
        <v>45178</v>
      </c>
      <c r="AJ867" s="1">
        <v>45185</v>
      </c>
      <c r="AK867" t="s">
        <v>3655</v>
      </c>
      <c r="AL867" t="s">
        <v>2940</v>
      </c>
    </row>
    <row r="868" spans="1:38" x14ac:dyDescent="0.35">
      <c r="A868" t="s">
        <v>2942</v>
      </c>
      <c r="B868" t="s">
        <v>461</v>
      </c>
      <c r="C868" t="s">
        <v>43</v>
      </c>
      <c r="D868" t="s">
        <v>426</v>
      </c>
      <c r="E868" t="s">
        <v>427</v>
      </c>
      <c r="F868" t="s">
        <v>134</v>
      </c>
      <c r="G868" t="s">
        <v>305</v>
      </c>
      <c r="H868">
        <v>43210</v>
      </c>
      <c r="I868">
        <f>Sales_Transactions_Raw[[#This Row],[Unit_Price]]*Sales_Transactions_Raw[[#This Row],[Quantity]]</f>
        <v>43210</v>
      </c>
      <c r="J868">
        <v>1</v>
      </c>
      <c r="K868">
        <v>5</v>
      </c>
      <c r="L868">
        <v>2160.5</v>
      </c>
      <c r="M868">
        <v>41049.5</v>
      </c>
      <c r="N868">
        <v>5</v>
      </c>
      <c r="O868">
        <v>2052.4699999999998</v>
      </c>
      <c r="P868">
        <v>0</v>
      </c>
      <c r="Q868">
        <v>43101.97</v>
      </c>
      <c r="R868" t="s">
        <v>106</v>
      </c>
      <c r="S868" t="s">
        <v>65</v>
      </c>
      <c r="T868" t="s">
        <v>115</v>
      </c>
      <c r="U868" t="s">
        <v>214</v>
      </c>
      <c r="V868" t="s">
        <v>297</v>
      </c>
      <c r="W868" t="s">
        <v>52</v>
      </c>
      <c r="X868" t="s">
        <v>340</v>
      </c>
      <c r="Y868" t="s">
        <v>169</v>
      </c>
      <c r="Z868" t="s">
        <v>95</v>
      </c>
      <c r="AA868" t="s">
        <v>2944</v>
      </c>
      <c r="AB868" t="s">
        <v>3335</v>
      </c>
      <c r="AC868">
        <v>1</v>
      </c>
      <c r="AD868" t="s">
        <v>56</v>
      </c>
      <c r="AE868" t="s">
        <v>3336</v>
      </c>
      <c r="AF868" t="s">
        <v>326</v>
      </c>
      <c r="AG868" t="s">
        <v>58</v>
      </c>
      <c r="AH868" s="1">
        <v>44971</v>
      </c>
      <c r="AI868" s="1">
        <v>44972</v>
      </c>
      <c r="AJ868" s="1">
        <v>44978</v>
      </c>
      <c r="AK868" t="s">
        <v>3711</v>
      </c>
      <c r="AL868" t="s">
        <v>2943</v>
      </c>
    </row>
    <row r="869" spans="1:38" x14ac:dyDescent="0.35">
      <c r="A869" t="s">
        <v>2945</v>
      </c>
      <c r="B869" t="s">
        <v>315</v>
      </c>
      <c r="C869" t="s">
        <v>43</v>
      </c>
      <c r="D869" t="s">
        <v>350</v>
      </c>
      <c r="E869" t="s">
        <v>351</v>
      </c>
      <c r="F869" t="s">
        <v>211</v>
      </c>
      <c r="G869" t="s">
        <v>352</v>
      </c>
      <c r="H869">
        <v>42550</v>
      </c>
      <c r="I869">
        <f>Sales_Transactions_Raw[[#This Row],[Unit_Price]]*Sales_Transactions_Raw[[#This Row],[Quantity]]</f>
        <v>85100</v>
      </c>
      <c r="J869">
        <v>2</v>
      </c>
      <c r="K869">
        <v>0</v>
      </c>
      <c r="L869">
        <v>0</v>
      </c>
      <c r="M869">
        <v>85100</v>
      </c>
      <c r="N869">
        <v>5</v>
      </c>
      <c r="O869">
        <v>4255</v>
      </c>
      <c r="P869">
        <v>0</v>
      </c>
      <c r="Q869">
        <v>89355</v>
      </c>
      <c r="R869" t="s">
        <v>160</v>
      </c>
      <c r="S869" t="s">
        <v>125</v>
      </c>
      <c r="T869" t="s">
        <v>66</v>
      </c>
      <c r="U869" t="s">
        <v>214</v>
      </c>
      <c r="V869" t="s">
        <v>197</v>
      </c>
      <c r="W869" t="s">
        <v>68</v>
      </c>
      <c r="X869" t="s">
        <v>437</v>
      </c>
      <c r="Y869" t="s">
        <v>319</v>
      </c>
      <c r="Z869" t="s">
        <v>95</v>
      </c>
      <c r="AA869" t="s">
        <v>2947</v>
      </c>
      <c r="AB869" t="s">
        <v>3335</v>
      </c>
      <c r="AC869">
        <v>4</v>
      </c>
      <c r="AD869" t="s">
        <v>56</v>
      </c>
      <c r="AE869" t="s">
        <v>3336</v>
      </c>
      <c r="AF869" t="s">
        <v>164</v>
      </c>
      <c r="AG869" t="s">
        <v>3342</v>
      </c>
      <c r="AH869" s="1">
        <v>44948</v>
      </c>
      <c r="AI869" s="1">
        <v>44951</v>
      </c>
      <c r="AJ869" s="1">
        <v>44959</v>
      </c>
      <c r="AK869" t="s">
        <v>3373</v>
      </c>
      <c r="AL869" t="s">
        <v>2946</v>
      </c>
    </row>
    <row r="870" spans="1:38" x14ac:dyDescent="0.35">
      <c r="A870" t="s">
        <v>2948</v>
      </c>
      <c r="B870" t="s">
        <v>292</v>
      </c>
      <c r="C870" t="s">
        <v>43</v>
      </c>
      <c r="D870" t="s">
        <v>490</v>
      </c>
      <c r="E870" t="s">
        <v>91</v>
      </c>
      <c r="F870" t="s">
        <v>46</v>
      </c>
      <c r="G870" t="s">
        <v>369</v>
      </c>
      <c r="H870">
        <v>79930</v>
      </c>
      <c r="I870">
        <f>Sales_Transactions_Raw[[#This Row],[Unit_Price]]*Sales_Transactions_Raw[[#This Row],[Quantity]]</f>
        <v>239790</v>
      </c>
      <c r="J870">
        <v>3</v>
      </c>
      <c r="K870">
        <v>0</v>
      </c>
      <c r="L870">
        <v>0</v>
      </c>
      <c r="M870">
        <v>159860</v>
      </c>
      <c r="N870">
        <v>18</v>
      </c>
      <c r="O870">
        <v>28774.799999999999</v>
      </c>
      <c r="P870">
        <v>0</v>
      </c>
      <c r="Q870">
        <v>188634.8</v>
      </c>
      <c r="R870" t="s">
        <v>64</v>
      </c>
      <c r="S870" t="s">
        <v>49</v>
      </c>
      <c r="T870" t="s">
        <v>136</v>
      </c>
      <c r="U870" t="s">
        <v>50</v>
      </c>
      <c r="V870" t="s">
        <v>149</v>
      </c>
      <c r="W870" t="s">
        <v>81</v>
      </c>
      <c r="X870" t="s">
        <v>225</v>
      </c>
      <c r="Y870" t="s">
        <v>226</v>
      </c>
      <c r="Z870" t="s">
        <v>95</v>
      </c>
      <c r="AA870" t="s">
        <v>2950</v>
      </c>
      <c r="AB870" t="s">
        <v>3338</v>
      </c>
      <c r="AC870">
        <v>4</v>
      </c>
      <c r="AD870" t="s">
        <v>56</v>
      </c>
      <c r="AE870" t="s">
        <v>3336</v>
      </c>
      <c r="AF870" t="s">
        <v>217</v>
      </c>
      <c r="AG870" t="s">
        <v>3342</v>
      </c>
      <c r="AH870" s="1">
        <v>45285</v>
      </c>
      <c r="AI870" s="1">
        <v>45288</v>
      </c>
      <c r="AJ870" s="1">
        <v>44959</v>
      </c>
      <c r="AK870" t="s">
        <v>3370</v>
      </c>
      <c r="AL870" t="s">
        <v>2949</v>
      </c>
    </row>
    <row r="871" spans="1:38" x14ac:dyDescent="0.35">
      <c r="A871" t="s">
        <v>2951</v>
      </c>
      <c r="B871" t="s">
        <v>1286</v>
      </c>
      <c r="C871" t="s">
        <v>89</v>
      </c>
      <c r="D871" t="s">
        <v>44</v>
      </c>
      <c r="E871" t="s">
        <v>45</v>
      </c>
      <c r="F871" t="s">
        <v>46</v>
      </c>
      <c r="G871" t="s">
        <v>47</v>
      </c>
      <c r="H871">
        <v>11570</v>
      </c>
      <c r="I871">
        <f>Sales_Transactions_Raw[[#This Row],[Unit_Price]]*Sales_Transactions_Raw[[#This Row],[Quantity]]</f>
        <v>23140</v>
      </c>
      <c r="J871">
        <v>2</v>
      </c>
      <c r="K871">
        <v>15</v>
      </c>
      <c r="L871">
        <v>3471</v>
      </c>
      <c r="M871">
        <v>19669</v>
      </c>
      <c r="N871">
        <v>18</v>
      </c>
      <c r="O871">
        <v>3540.42</v>
      </c>
      <c r="P871">
        <v>0</v>
      </c>
      <c r="Q871">
        <v>23209.42</v>
      </c>
      <c r="R871" t="s">
        <v>48</v>
      </c>
      <c r="S871" t="s">
        <v>107</v>
      </c>
      <c r="T871" t="s">
        <v>115</v>
      </c>
      <c r="U871" t="s">
        <v>108</v>
      </c>
      <c r="V871" t="s">
        <v>287</v>
      </c>
      <c r="W871" t="s">
        <v>95</v>
      </c>
      <c r="X871" t="s">
        <v>150</v>
      </c>
      <c r="Y871" t="s">
        <v>151</v>
      </c>
      <c r="Z871" t="s">
        <v>81</v>
      </c>
      <c r="AA871" t="s">
        <v>2953</v>
      </c>
      <c r="AB871" t="s">
        <v>3335</v>
      </c>
      <c r="AC871">
        <v>4</v>
      </c>
      <c r="AD871" t="s">
        <v>56</v>
      </c>
      <c r="AE871" t="s">
        <v>3336</v>
      </c>
      <c r="AF871" t="s">
        <v>99</v>
      </c>
      <c r="AG871" t="s">
        <v>58</v>
      </c>
      <c r="AH871" s="1">
        <v>45025</v>
      </c>
      <c r="AI871" s="1">
        <v>45029</v>
      </c>
      <c r="AJ871" s="1">
        <v>45034</v>
      </c>
      <c r="AK871" t="s">
        <v>3642</v>
      </c>
      <c r="AL871" t="s">
        <v>2952</v>
      </c>
    </row>
    <row r="872" spans="1:38" x14ac:dyDescent="0.35">
      <c r="A872" t="s">
        <v>2954</v>
      </c>
      <c r="B872" t="s">
        <v>235</v>
      </c>
      <c r="C872" t="s">
        <v>157</v>
      </c>
      <c r="D872" t="s">
        <v>329</v>
      </c>
      <c r="E872" t="s">
        <v>250</v>
      </c>
      <c r="F872" t="s">
        <v>134</v>
      </c>
      <c r="G872" t="s">
        <v>330</v>
      </c>
      <c r="H872">
        <v>21450</v>
      </c>
      <c r="I872">
        <f>Sales_Transactions_Raw[[#This Row],[Unit_Price]]*Sales_Transactions_Raw[[#This Row],[Quantity]]</f>
        <v>21450</v>
      </c>
      <c r="J872">
        <v>1</v>
      </c>
      <c r="K872">
        <v>5</v>
      </c>
      <c r="L872">
        <v>1072.5</v>
      </c>
      <c r="M872">
        <v>20377.5</v>
      </c>
      <c r="N872">
        <v>5</v>
      </c>
      <c r="O872">
        <v>1018.88</v>
      </c>
      <c r="P872">
        <v>0</v>
      </c>
      <c r="Q872">
        <v>21396.38</v>
      </c>
      <c r="R872" t="s">
        <v>92</v>
      </c>
      <c r="S872" t="s">
        <v>49</v>
      </c>
      <c r="T872" t="s">
        <v>148</v>
      </c>
      <c r="U872" t="s">
        <v>50</v>
      </c>
      <c r="V872" t="s">
        <v>287</v>
      </c>
      <c r="W872" t="s">
        <v>696</v>
      </c>
      <c r="X872" t="s">
        <v>474</v>
      </c>
      <c r="Y872" t="s">
        <v>169</v>
      </c>
      <c r="Z872" t="s">
        <v>95</v>
      </c>
      <c r="AA872" t="s">
        <v>2956</v>
      </c>
      <c r="AB872" t="s">
        <v>3335</v>
      </c>
      <c r="AC872">
        <v>5</v>
      </c>
      <c r="AD872" t="s">
        <v>56</v>
      </c>
      <c r="AE872" t="s">
        <v>3336</v>
      </c>
      <c r="AF872" t="s">
        <v>84</v>
      </c>
      <c r="AG872" t="s">
        <v>58</v>
      </c>
      <c r="AH872" s="1">
        <v>45101</v>
      </c>
      <c r="AI872" s="1">
        <v>45029</v>
      </c>
      <c r="AJ872" s="1">
        <v>45114</v>
      </c>
      <c r="AK872" t="s">
        <v>3409</v>
      </c>
      <c r="AL872" t="s">
        <v>2955</v>
      </c>
    </row>
    <row r="873" spans="1:38" x14ac:dyDescent="0.35">
      <c r="A873" t="s">
        <v>2957</v>
      </c>
      <c r="B873" t="s">
        <v>315</v>
      </c>
      <c r="C873" t="s">
        <v>157</v>
      </c>
      <c r="D873" t="s">
        <v>294</v>
      </c>
      <c r="E873" t="s">
        <v>295</v>
      </c>
      <c r="F873" t="s">
        <v>146</v>
      </c>
      <c r="G873" t="s">
        <v>296</v>
      </c>
      <c r="H873">
        <v>14530</v>
      </c>
      <c r="I873">
        <f>Sales_Transactions_Raw[[#This Row],[Unit_Price]]*Sales_Transactions_Raw[[#This Row],[Quantity]]</f>
        <v>43590</v>
      </c>
      <c r="J873">
        <v>3</v>
      </c>
      <c r="K873">
        <v>5</v>
      </c>
      <c r="L873">
        <v>2179.5</v>
      </c>
      <c r="M873">
        <v>41410.5</v>
      </c>
      <c r="N873">
        <v>12</v>
      </c>
      <c r="O873">
        <v>4969.26</v>
      </c>
      <c r="P873">
        <v>0</v>
      </c>
      <c r="Q873">
        <v>46379.76</v>
      </c>
      <c r="R873" t="s">
        <v>79</v>
      </c>
      <c r="S873" t="s">
        <v>107</v>
      </c>
      <c r="T873" t="s">
        <v>148</v>
      </c>
      <c r="U873" t="s">
        <v>161</v>
      </c>
      <c r="V873" t="s">
        <v>242</v>
      </c>
      <c r="W873" t="s">
        <v>70</v>
      </c>
      <c r="X873" t="s">
        <v>357</v>
      </c>
      <c r="Y873" t="s">
        <v>358</v>
      </c>
      <c r="Z873" t="s">
        <v>95</v>
      </c>
      <c r="AA873" t="s">
        <v>2959</v>
      </c>
      <c r="AB873" t="s">
        <v>3339</v>
      </c>
      <c r="AC873">
        <v>4</v>
      </c>
      <c r="AD873" t="s">
        <v>179</v>
      </c>
      <c r="AE873" t="s">
        <v>180</v>
      </c>
      <c r="AF873" t="s">
        <v>72</v>
      </c>
      <c r="AG873" t="s">
        <v>85</v>
      </c>
      <c r="AH873" s="1">
        <v>45072</v>
      </c>
      <c r="AI873" s="1">
        <v>45078</v>
      </c>
      <c r="AJ873" s="1">
        <v>45081</v>
      </c>
      <c r="AK873" t="s">
        <v>3372</v>
      </c>
      <c r="AL873" t="s">
        <v>2958</v>
      </c>
    </row>
    <row r="874" spans="1:38" x14ac:dyDescent="0.35">
      <c r="A874" t="s">
        <v>2960</v>
      </c>
      <c r="B874" t="s">
        <v>400</v>
      </c>
      <c r="C874" t="s">
        <v>43</v>
      </c>
      <c r="D874" t="s">
        <v>317</v>
      </c>
      <c r="E874" t="s">
        <v>77</v>
      </c>
      <c r="F874" t="s">
        <v>46</v>
      </c>
      <c r="G874" t="s">
        <v>176</v>
      </c>
      <c r="H874">
        <v>29130</v>
      </c>
      <c r="I874">
        <f>Sales_Transactions_Raw[[#This Row],[Unit_Price]]*Sales_Transactions_Raw[[#This Row],[Quantity]]</f>
        <v>58260</v>
      </c>
      <c r="J874">
        <v>2</v>
      </c>
      <c r="K874">
        <v>15</v>
      </c>
      <c r="L874">
        <v>8739</v>
      </c>
      <c r="M874">
        <v>49521</v>
      </c>
      <c r="N874">
        <v>18</v>
      </c>
      <c r="O874">
        <v>8913.7800000000007</v>
      </c>
      <c r="P874">
        <v>0</v>
      </c>
      <c r="Q874">
        <v>58434.78</v>
      </c>
      <c r="R874" t="s">
        <v>92</v>
      </c>
      <c r="S874" t="s">
        <v>65</v>
      </c>
      <c r="T874" t="s">
        <v>115</v>
      </c>
      <c r="U874" t="s">
        <v>214</v>
      </c>
      <c r="V874" t="s">
        <v>67</v>
      </c>
      <c r="W874" t="s">
        <v>68</v>
      </c>
      <c r="X874" t="s">
        <v>150</v>
      </c>
      <c r="Y874" t="s">
        <v>151</v>
      </c>
      <c r="Z874" t="s">
        <v>81</v>
      </c>
      <c r="AA874" t="s">
        <v>2962</v>
      </c>
      <c r="AB874" t="s">
        <v>3338</v>
      </c>
      <c r="AC874">
        <v>4</v>
      </c>
      <c r="AD874" t="s">
        <v>56</v>
      </c>
      <c r="AE874" t="s">
        <v>3336</v>
      </c>
      <c r="AF874" t="s">
        <v>153</v>
      </c>
      <c r="AG874" t="s">
        <v>58</v>
      </c>
      <c r="AH874" s="1">
        <v>45007</v>
      </c>
      <c r="AI874" s="1">
        <v>45012</v>
      </c>
      <c r="AJ874" s="1">
        <v>45014</v>
      </c>
      <c r="AK874" t="s">
        <v>3651</v>
      </c>
      <c r="AL874" t="s">
        <v>2961</v>
      </c>
    </row>
    <row r="875" spans="1:38" x14ac:dyDescent="0.35">
      <c r="A875" t="s">
        <v>2963</v>
      </c>
      <c r="B875" t="s">
        <v>414</v>
      </c>
      <c r="C875" t="s">
        <v>43</v>
      </c>
      <c r="D875" t="s">
        <v>230</v>
      </c>
      <c r="E875" t="s">
        <v>231</v>
      </c>
      <c r="F875" t="s">
        <v>46</v>
      </c>
      <c r="G875" t="s">
        <v>63</v>
      </c>
      <c r="H875">
        <v>110980</v>
      </c>
      <c r="I875">
        <f>Sales_Transactions_Raw[[#This Row],[Unit_Price]]*Sales_Transactions_Raw[[#This Row],[Quantity]]</f>
        <v>332940</v>
      </c>
      <c r="J875">
        <v>3</v>
      </c>
      <c r="K875">
        <v>5</v>
      </c>
      <c r="L875">
        <v>22196</v>
      </c>
      <c r="M875">
        <v>421724</v>
      </c>
      <c r="N875">
        <v>18</v>
      </c>
      <c r="O875">
        <v>75910.320000000007</v>
      </c>
      <c r="P875">
        <v>0</v>
      </c>
      <c r="Q875">
        <v>497634.32</v>
      </c>
      <c r="R875" t="s">
        <v>79</v>
      </c>
      <c r="S875" t="s">
        <v>93</v>
      </c>
      <c r="T875" t="s">
        <v>213</v>
      </c>
      <c r="U875" t="s">
        <v>214</v>
      </c>
      <c r="V875" t="s">
        <v>149</v>
      </c>
      <c r="W875" t="s">
        <v>81</v>
      </c>
      <c r="X875" t="s">
        <v>225</v>
      </c>
      <c r="Y875" t="s">
        <v>226</v>
      </c>
      <c r="Z875" t="s">
        <v>95</v>
      </c>
      <c r="AA875" t="s">
        <v>2965</v>
      </c>
      <c r="AB875" t="s">
        <v>3338</v>
      </c>
      <c r="AC875">
        <v>3</v>
      </c>
      <c r="AD875" t="s">
        <v>179</v>
      </c>
      <c r="AE875" t="s">
        <v>3336</v>
      </c>
      <c r="AF875" t="s">
        <v>217</v>
      </c>
      <c r="AG875" t="s">
        <v>3337</v>
      </c>
      <c r="AH875" s="1">
        <v>45073</v>
      </c>
      <c r="AI875" s="1">
        <v>45077</v>
      </c>
      <c r="AJ875" s="1">
        <v>45080</v>
      </c>
      <c r="AK875" t="s">
        <v>3583</v>
      </c>
      <c r="AL875" t="s">
        <v>2964</v>
      </c>
    </row>
    <row r="876" spans="1:38" x14ac:dyDescent="0.35">
      <c r="A876" t="s">
        <v>2966</v>
      </c>
      <c r="B876" t="s">
        <v>944</v>
      </c>
      <c r="C876" t="s">
        <v>157</v>
      </c>
      <c r="D876" t="s">
        <v>667</v>
      </c>
      <c r="E876" t="s">
        <v>668</v>
      </c>
      <c r="F876" t="s">
        <v>146</v>
      </c>
      <c r="G876" t="s">
        <v>195</v>
      </c>
      <c r="H876">
        <v>9650</v>
      </c>
      <c r="I876">
        <f>Sales_Transactions_Raw[[#This Row],[Unit_Price]]*Sales_Transactions_Raw[[#This Row],[Quantity]]</f>
        <v>9650</v>
      </c>
      <c r="J876">
        <v>1</v>
      </c>
      <c r="K876">
        <v>0</v>
      </c>
      <c r="L876">
        <v>0</v>
      </c>
      <c r="M876">
        <v>9650</v>
      </c>
      <c r="N876">
        <v>12</v>
      </c>
      <c r="O876">
        <v>1158</v>
      </c>
      <c r="P876">
        <v>0</v>
      </c>
      <c r="Q876">
        <v>10808</v>
      </c>
      <c r="R876" t="s">
        <v>124</v>
      </c>
      <c r="S876" t="s">
        <v>49</v>
      </c>
      <c r="T876" t="s">
        <v>115</v>
      </c>
      <c r="U876" t="s">
        <v>50</v>
      </c>
      <c r="V876" t="s">
        <v>287</v>
      </c>
      <c r="W876" t="s">
        <v>696</v>
      </c>
      <c r="X876" t="s">
        <v>381</v>
      </c>
      <c r="Y876" t="s">
        <v>199</v>
      </c>
      <c r="Z876" t="s">
        <v>52</v>
      </c>
      <c r="AA876" t="s">
        <v>2968</v>
      </c>
      <c r="AB876" t="s">
        <v>3335</v>
      </c>
      <c r="AC876">
        <v>5</v>
      </c>
      <c r="AD876" t="s">
        <v>56</v>
      </c>
      <c r="AE876" t="s">
        <v>3336</v>
      </c>
      <c r="AF876" t="s">
        <v>153</v>
      </c>
      <c r="AG876" t="s">
        <v>85</v>
      </c>
      <c r="AH876" s="1">
        <v>45197</v>
      </c>
      <c r="AI876" s="1">
        <v>45198</v>
      </c>
      <c r="AJ876" s="1">
        <v>45208</v>
      </c>
      <c r="AK876" t="s">
        <v>3573</v>
      </c>
      <c r="AL876" t="s">
        <v>2967</v>
      </c>
    </row>
    <row r="877" spans="1:38" x14ac:dyDescent="0.35">
      <c r="A877" t="s">
        <v>2969</v>
      </c>
      <c r="B877" t="s">
        <v>832</v>
      </c>
      <c r="C877" t="s">
        <v>43</v>
      </c>
      <c r="D877" t="s">
        <v>221</v>
      </c>
      <c r="E877" t="s">
        <v>222</v>
      </c>
      <c r="F877" t="s">
        <v>146</v>
      </c>
      <c r="G877" t="s">
        <v>223</v>
      </c>
      <c r="H877">
        <v>2940</v>
      </c>
      <c r="I877">
        <f>Sales_Transactions_Raw[[#This Row],[Unit_Price]]*Sales_Transactions_Raw[[#This Row],[Quantity]]</f>
        <v>5880</v>
      </c>
      <c r="J877">
        <v>2</v>
      </c>
      <c r="K877">
        <v>0</v>
      </c>
      <c r="L877">
        <v>0</v>
      </c>
      <c r="M877">
        <v>5880</v>
      </c>
      <c r="N877">
        <v>12</v>
      </c>
      <c r="O877">
        <v>705.6</v>
      </c>
      <c r="P877">
        <v>0</v>
      </c>
      <c r="Q877">
        <v>6585.6</v>
      </c>
      <c r="R877" t="s">
        <v>64</v>
      </c>
      <c r="S877" t="s">
        <v>93</v>
      </c>
      <c r="T877" t="s">
        <v>115</v>
      </c>
      <c r="U877" t="s">
        <v>214</v>
      </c>
      <c r="V877" t="s">
        <v>149</v>
      </c>
      <c r="W877" t="s">
        <v>696</v>
      </c>
      <c r="X877" t="s">
        <v>117</v>
      </c>
      <c r="Y877" t="s">
        <v>118</v>
      </c>
      <c r="Z877" t="s">
        <v>70</v>
      </c>
      <c r="AA877" t="s">
        <v>2971</v>
      </c>
      <c r="AB877" t="s">
        <v>3343</v>
      </c>
      <c r="AC877">
        <v>4</v>
      </c>
      <c r="AD877" t="s">
        <v>56</v>
      </c>
      <c r="AE877" t="s">
        <v>3336</v>
      </c>
      <c r="AF877" t="s">
        <v>227</v>
      </c>
      <c r="AG877" t="s">
        <v>111</v>
      </c>
      <c r="AH877" s="1">
        <v>45415</v>
      </c>
      <c r="AI877" s="1">
        <v>45417</v>
      </c>
      <c r="AJ877" s="1">
        <v>45427</v>
      </c>
      <c r="AK877" t="s">
        <v>3712</v>
      </c>
      <c r="AL877" t="s">
        <v>2970</v>
      </c>
    </row>
    <row r="878" spans="1:38" x14ac:dyDescent="0.35">
      <c r="A878" t="s">
        <v>2972</v>
      </c>
      <c r="B878" t="s">
        <v>478</v>
      </c>
      <c r="C878" t="s">
        <v>157</v>
      </c>
      <c r="D878" t="s">
        <v>406</v>
      </c>
      <c r="E878" t="s">
        <v>231</v>
      </c>
      <c r="F878" t="s">
        <v>46</v>
      </c>
      <c r="G878" t="s">
        <v>369</v>
      </c>
      <c r="H878">
        <v>85300</v>
      </c>
      <c r="I878">
        <f>Sales_Transactions_Raw[[#This Row],[Unit_Price]]*Sales_Transactions_Raw[[#This Row],[Quantity]]</f>
        <v>255900</v>
      </c>
      <c r="J878">
        <v>3</v>
      </c>
      <c r="K878">
        <v>10</v>
      </c>
      <c r="L878">
        <v>25590</v>
      </c>
      <c r="M878">
        <v>230310</v>
      </c>
      <c r="N878">
        <v>18</v>
      </c>
      <c r="O878">
        <v>41455.800000000003</v>
      </c>
      <c r="P878">
        <v>0</v>
      </c>
      <c r="Q878">
        <v>271765.8</v>
      </c>
      <c r="R878" t="s">
        <v>160</v>
      </c>
      <c r="S878" t="s">
        <v>49</v>
      </c>
      <c r="T878" t="s">
        <v>115</v>
      </c>
      <c r="U878" t="s">
        <v>50</v>
      </c>
      <c r="V878" t="s">
        <v>149</v>
      </c>
      <c r="W878" t="s">
        <v>81</v>
      </c>
      <c r="X878" t="s">
        <v>422</v>
      </c>
      <c r="Y878" t="s">
        <v>319</v>
      </c>
      <c r="Z878" t="s">
        <v>95</v>
      </c>
      <c r="AA878" t="s">
        <v>2974</v>
      </c>
      <c r="AB878" t="s">
        <v>3335</v>
      </c>
      <c r="AC878">
        <v>4</v>
      </c>
      <c r="AD878" t="s">
        <v>56</v>
      </c>
      <c r="AE878" t="s">
        <v>3336</v>
      </c>
      <c r="AF878" t="s">
        <v>99</v>
      </c>
      <c r="AG878" t="s">
        <v>85</v>
      </c>
      <c r="AH878" s="1">
        <v>44958</v>
      </c>
      <c r="AI878" s="1">
        <v>44960</v>
      </c>
      <c r="AJ878" s="1">
        <v>44963</v>
      </c>
      <c r="AK878" t="s">
        <v>3513</v>
      </c>
      <c r="AL878" t="s">
        <v>2973</v>
      </c>
    </row>
    <row r="879" spans="1:38" x14ac:dyDescent="0.35">
      <c r="A879" t="s">
        <v>2975</v>
      </c>
      <c r="B879" t="s">
        <v>2510</v>
      </c>
      <c r="C879" t="s">
        <v>43</v>
      </c>
      <c r="D879" t="s">
        <v>183</v>
      </c>
      <c r="E879" t="s">
        <v>184</v>
      </c>
      <c r="F879" t="s">
        <v>185</v>
      </c>
      <c r="G879" t="s">
        <v>186</v>
      </c>
      <c r="H879">
        <v>110</v>
      </c>
      <c r="I879">
        <f>Sales_Transactions_Raw[[#This Row],[Unit_Price]]*Sales_Transactions_Raw[[#This Row],[Quantity]]</f>
        <v>110</v>
      </c>
      <c r="J879">
        <v>1</v>
      </c>
      <c r="K879">
        <v>15</v>
      </c>
      <c r="L879">
        <v>16.5</v>
      </c>
      <c r="M879">
        <v>93.5</v>
      </c>
      <c r="N879">
        <v>5</v>
      </c>
      <c r="O879">
        <v>4.67</v>
      </c>
      <c r="P879">
        <v>49</v>
      </c>
      <c r="Q879">
        <v>98.17</v>
      </c>
      <c r="R879" t="s">
        <v>160</v>
      </c>
      <c r="S879" t="s">
        <v>65</v>
      </c>
      <c r="T879" t="s">
        <v>148</v>
      </c>
      <c r="U879" t="s">
        <v>196</v>
      </c>
      <c r="V879" t="s">
        <v>269</v>
      </c>
      <c r="W879" t="s">
        <v>70</v>
      </c>
      <c r="X879" t="s">
        <v>491</v>
      </c>
      <c r="Y879" t="s">
        <v>358</v>
      </c>
      <c r="Z879" t="s">
        <v>95</v>
      </c>
      <c r="AA879" t="s">
        <v>2977</v>
      </c>
      <c r="AB879" t="s">
        <v>3338</v>
      </c>
      <c r="AC879">
        <v>3</v>
      </c>
      <c r="AD879" t="s">
        <v>179</v>
      </c>
      <c r="AE879" t="s">
        <v>180</v>
      </c>
      <c r="AF879" t="s">
        <v>227</v>
      </c>
      <c r="AG879" t="s">
        <v>3337</v>
      </c>
      <c r="AH879" s="1">
        <v>44957</v>
      </c>
      <c r="AI879" s="1">
        <v>44958</v>
      </c>
      <c r="AJ879" s="1">
        <v>44964</v>
      </c>
      <c r="AK879" t="s">
        <v>3609</v>
      </c>
      <c r="AL879" t="s">
        <v>2976</v>
      </c>
    </row>
    <row r="880" spans="1:38" x14ac:dyDescent="0.35">
      <c r="A880" t="s">
        <v>2978</v>
      </c>
      <c r="B880" t="s">
        <v>624</v>
      </c>
      <c r="C880" t="s">
        <v>131</v>
      </c>
      <c r="D880" t="s">
        <v>867</v>
      </c>
      <c r="E880" t="s">
        <v>868</v>
      </c>
      <c r="F880" t="s">
        <v>285</v>
      </c>
      <c r="G880" t="s">
        <v>869</v>
      </c>
      <c r="H880">
        <v>170</v>
      </c>
      <c r="I880">
        <f>Sales_Transactions_Raw[[#This Row],[Unit_Price]]*Sales_Transactions_Raw[[#This Row],[Quantity]]</f>
        <v>170</v>
      </c>
      <c r="J880">
        <v>1</v>
      </c>
      <c r="K880">
        <v>20</v>
      </c>
      <c r="L880">
        <v>34</v>
      </c>
      <c r="M880">
        <v>136</v>
      </c>
      <c r="N880">
        <v>5</v>
      </c>
      <c r="O880">
        <v>6.8</v>
      </c>
      <c r="P880">
        <v>149</v>
      </c>
      <c r="Q880">
        <v>142.80000000000001</v>
      </c>
      <c r="R880" t="s">
        <v>48</v>
      </c>
      <c r="S880" t="s">
        <v>49</v>
      </c>
      <c r="T880" t="s">
        <v>213</v>
      </c>
      <c r="U880" t="s">
        <v>161</v>
      </c>
      <c r="V880" t="s">
        <v>177</v>
      </c>
      <c r="W880" t="s">
        <v>81</v>
      </c>
      <c r="X880" t="s">
        <v>215</v>
      </c>
      <c r="Y880" t="s">
        <v>169</v>
      </c>
      <c r="Z880" t="s">
        <v>95</v>
      </c>
      <c r="AA880" t="s">
        <v>2980</v>
      </c>
      <c r="AB880" t="s">
        <v>3344</v>
      </c>
      <c r="AC880">
        <v>3</v>
      </c>
      <c r="AD880" t="s">
        <v>179</v>
      </c>
      <c r="AE880" t="s">
        <v>206</v>
      </c>
      <c r="AF880" t="s">
        <v>164</v>
      </c>
      <c r="AG880" t="s">
        <v>58</v>
      </c>
      <c r="AH880" s="1">
        <v>45003</v>
      </c>
      <c r="AI880" s="1">
        <v>45009</v>
      </c>
      <c r="AJ880" s="1">
        <v>45017</v>
      </c>
      <c r="AK880" t="s">
        <v>3426</v>
      </c>
      <c r="AL880" t="s">
        <v>2979</v>
      </c>
    </row>
    <row r="881" spans="1:38" x14ac:dyDescent="0.35">
      <c r="A881" t="s">
        <v>1449</v>
      </c>
      <c r="B881" t="s">
        <v>2260</v>
      </c>
      <c r="C881" t="s">
        <v>43</v>
      </c>
      <c r="D881" t="s">
        <v>193</v>
      </c>
      <c r="E881" t="s">
        <v>194</v>
      </c>
      <c r="F881" t="s">
        <v>146</v>
      </c>
      <c r="G881" t="s">
        <v>195</v>
      </c>
      <c r="H881">
        <v>3110</v>
      </c>
      <c r="I881">
        <f>Sales_Transactions_Raw[[#This Row],[Unit_Price]]*Sales_Transactions_Raw[[#This Row],[Quantity]]</f>
        <v>3110</v>
      </c>
      <c r="J881">
        <v>1</v>
      </c>
      <c r="K881">
        <v>25</v>
      </c>
      <c r="L881">
        <v>777.5</v>
      </c>
      <c r="M881">
        <v>2332.5</v>
      </c>
      <c r="N881">
        <v>12</v>
      </c>
      <c r="O881">
        <v>279.89999999999998</v>
      </c>
      <c r="P881">
        <v>49</v>
      </c>
      <c r="Q881">
        <v>2612.4</v>
      </c>
      <c r="R881" t="s">
        <v>106</v>
      </c>
      <c r="S881" t="s">
        <v>65</v>
      </c>
      <c r="T881" t="s">
        <v>213</v>
      </c>
      <c r="U881" t="s">
        <v>108</v>
      </c>
      <c r="V881" t="s">
        <v>287</v>
      </c>
      <c r="W881" t="s">
        <v>95</v>
      </c>
      <c r="X881" t="s">
        <v>515</v>
      </c>
      <c r="Y881" t="s">
        <v>82</v>
      </c>
      <c r="Z881" t="s">
        <v>52</v>
      </c>
      <c r="AA881" t="s">
        <v>2982</v>
      </c>
      <c r="AB881" t="s">
        <v>3341</v>
      </c>
      <c r="AC881">
        <v>3</v>
      </c>
      <c r="AD881" t="s">
        <v>179</v>
      </c>
      <c r="AE881" t="s">
        <v>180</v>
      </c>
      <c r="AF881" t="s">
        <v>99</v>
      </c>
      <c r="AG881" t="s">
        <v>58</v>
      </c>
      <c r="AH881" s="1">
        <v>45086</v>
      </c>
      <c r="AI881" s="1">
        <v>45087</v>
      </c>
      <c r="AJ881" s="1">
        <v>45096</v>
      </c>
      <c r="AK881" t="s">
        <v>3677</v>
      </c>
      <c r="AL881" t="s">
        <v>2981</v>
      </c>
    </row>
    <row r="882" spans="1:38" x14ac:dyDescent="0.35">
      <c r="A882" t="s">
        <v>2983</v>
      </c>
      <c r="B882" t="s">
        <v>315</v>
      </c>
      <c r="C882" t="s">
        <v>43</v>
      </c>
      <c r="D882" t="s">
        <v>303</v>
      </c>
      <c r="E882" t="s">
        <v>304</v>
      </c>
      <c r="F882" t="s">
        <v>134</v>
      </c>
      <c r="G882" t="s">
        <v>305</v>
      </c>
      <c r="H882">
        <v>37230</v>
      </c>
      <c r="I882">
        <f>Sales_Transactions_Raw[[#This Row],[Unit_Price]]*Sales_Transactions_Raw[[#This Row],[Quantity]]</f>
        <v>335070</v>
      </c>
      <c r="J882">
        <v>9</v>
      </c>
      <c r="K882">
        <v>5</v>
      </c>
      <c r="L882">
        <v>16753.5</v>
      </c>
      <c r="M882">
        <v>318316.5</v>
      </c>
      <c r="N882">
        <v>5</v>
      </c>
      <c r="O882">
        <v>15915.83</v>
      </c>
      <c r="P882">
        <v>0</v>
      </c>
      <c r="Q882">
        <v>334232.33</v>
      </c>
      <c r="R882" t="s">
        <v>92</v>
      </c>
      <c r="S882" t="s">
        <v>107</v>
      </c>
      <c r="T882" t="s">
        <v>115</v>
      </c>
      <c r="U882" t="s">
        <v>161</v>
      </c>
      <c r="V882" t="s">
        <v>177</v>
      </c>
      <c r="W882" t="s">
        <v>81</v>
      </c>
      <c r="X882" t="s">
        <v>556</v>
      </c>
      <c r="Y882" t="s">
        <v>481</v>
      </c>
      <c r="Z882" t="s">
        <v>52</v>
      </c>
      <c r="AA882" t="s">
        <v>2985</v>
      </c>
      <c r="AB882" t="s">
        <v>3341</v>
      </c>
      <c r="AC882">
        <v>4</v>
      </c>
      <c r="AD882" t="s">
        <v>56</v>
      </c>
      <c r="AE882" t="s">
        <v>3336</v>
      </c>
      <c r="AF882" t="s">
        <v>57</v>
      </c>
      <c r="AG882" t="s">
        <v>58</v>
      </c>
      <c r="AH882" s="1">
        <v>45112</v>
      </c>
      <c r="AI882" s="1">
        <v>45115</v>
      </c>
      <c r="AJ882" s="1">
        <v>45117</v>
      </c>
      <c r="AK882" t="s">
        <v>3373</v>
      </c>
      <c r="AL882" t="s">
        <v>2984</v>
      </c>
    </row>
    <row r="883" spans="1:38" x14ac:dyDescent="0.35">
      <c r="A883" t="s">
        <v>2986</v>
      </c>
      <c r="B883" t="s">
        <v>2135</v>
      </c>
      <c r="C883" t="s">
        <v>43</v>
      </c>
      <c r="D883" t="s">
        <v>62</v>
      </c>
      <c r="E883" t="s">
        <v>45</v>
      </c>
      <c r="F883" t="s">
        <v>46</v>
      </c>
      <c r="G883" t="s">
        <v>63</v>
      </c>
      <c r="H883">
        <v>65140</v>
      </c>
      <c r="I883">
        <f>Sales_Transactions_Raw[[#This Row],[Unit_Price]]*Sales_Transactions_Raw[[#This Row],[Quantity]]</f>
        <v>455980</v>
      </c>
      <c r="J883">
        <v>7</v>
      </c>
      <c r="K883">
        <v>20</v>
      </c>
      <c r="L883">
        <v>91196</v>
      </c>
      <c r="M883">
        <v>364784</v>
      </c>
      <c r="N883">
        <v>18</v>
      </c>
      <c r="O883">
        <v>65661.119999999995</v>
      </c>
      <c r="P883">
        <v>0</v>
      </c>
      <c r="Q883">
        <v>430445.12</v>
      </c>
      <c r="R883" t="s">
        <v>92</v>
      </c>
      <c r="S883" t="s">
        <v>93</v>
      </c>
      <c r="T883" t="s">
        <v>719</v>
      </c>
      <c r="U883" t="s">
        <v>196</v>
      </c>
      <c r="V883" t="s">
        <v>116</v>
      </c>
      <c r="W883" t="s">
        <v>70</v>
      </c>
      <c r="X883" t="s">
        <v>922</v>
      </c>
      <c r="Y883" t="s">
        <v>199</v>
      </c>
      <c r="Z883" t="s">
        <v>52</v>
      </c>
      <c r="AA883" t="s">
        <v>2988</v>
      </c>
      <c r="AB883" t="s">
        <v>3344</v>
      </c>
      <c r="AC883">
        <v>1</v>
      </c>
      <c r="AD883" t="s">
        <v>56</v>
      </c>
      <c r="AE883" t="s">
        <v>3336</v>
      </c>
      <c r="AF883" t="s">
        <v>140</v>
      </c>
      <c r="AG883" t="s">
        <v>111</v>
      </c>
      <c r="AH883" s="1">
        <v>45227</v>
      </c>
      <c r="AI883" s="1">
        <v>45229</v>
      </c>
      <c r="AJ883" s="1">
        <v>45234</v>
      </c>
      <c r="AK883" t="s">
        <v>3652</v>
      </c>
      <c r="AL883" t="s">
        <v>2987</v>
      </c>
    </row>
    <row r="884" spans="1:38" x14ac:dyDescent="0.35">
      <c r="A884" t="s">
        <v>2989</v>
      </c>
      <c r="B884" t="s">
        <v>2260</v>
      </c>
      <c r="C884" t="s">
        <v>157</v>
      </c>
      <c r="D884" t="s">
        <v>230</v>
      </c>
      <c r="E884" t="s">
        <v>231</v>
      </c>
      <c r="F884" t="s">
        <v>46</v>
      </c>
      <c r="G884" t="s">
        <v>63</v>
      </c>
      <c r="H884">
        <v>119360</v>
      </c>
      <c r="I884">
        <f>Sales_Transactions_Raw[[#This Row],[Unit_Price]]*Sales_Transactions_Raw[[#This Row],[Quantity]]</f>
        <v>119360</v>
      </c>
      <c r="J884">
        <v>1</v>
      </c>
      <c r="K884">
        <v>10</v>
      </c>
      <c r="L884">
        <v>11936</v>
      </c>
      <c r="M884">
        <v>107424</v>
      </c>
      <c r="N884">
        <v>18</v>
      </c>
      <c r="O884">
        <v>19336.32</v>
      </c>
      <c r="P884">
        <v>0</v>
      </c>
      <c r="Q884">
        <v>126760.32000000001</v>
      </c>
      <c r="R884" t="s">
        <v>160</v>
      </c>
      <c r="S884" t="s">
        <v>125</v>
      </c>
      <c r="T884" t="s">
        <v>148</v>
      </c>
      <c r="U884" t="s">
        <v>196</v>
      </c>
      <c r="V884" t="s">
        <v>51</v>
      </c>
      <c r="W884" t="s">
        <v>52</v>
      </c>
      <c r="X884" t="s">
        <v>480</v>
      </c>
      <c r="Y884" t="s">
        <v>481</v>
      </c>
      <c r="Z884" t="s">
        <v>52</v>
      </c>
      <c r="AA884" t="s">
        <v>2991</v>
      </c>
      <c r="AB884" t="s">
        <v>3341</v>
      </c>
      <c r="AC884">
        <v>5</v>
      </c>
      <c r="AD884" t="s">
        <v>56</v>
      </c>
      <c r="AE884" t="s">
        <v>3336</v>
      </c>
      <c r="AF884" t="s">
        <v>326</v>
      </c>
      <c r="AG884" t="s">
        <v>58</v>
      </c>
      <c r="AH884" s="1">
        <v>45416</v>
      </c>
      <c r="AI884" s="1">
        <v>45569</v>
      </c>
      <c r="AJ884" s="1">
        <v>45630</v>
      </c>
      <c r="AK884" t="s">
        <v>3708</v>
      </c>
      <c r="AL884" t="s">
        <v>2990</v>
      </c>
    </row>
    <row r="885" spans="1:38" x14ac:dyDescent="0.35">
      <c r="A885" t="s">
        <v>2992</v>
      </c>
      <c r="B885" t="s">
        <v>803</v>
      </c>
      <c r="C885" t="s">
        <v>43</v>
      </c>
      <c r="D885" t="s">
        <v>432</v>
      </c>
      <c r="E885" t="s">
        <v>433</v>
      </c>
      <c r="F885" t="s">
        <v>146</v>
      </c>
      <c r="G885" t="s">
        <v>296</v>
      </c>
      <c r="H885">
        <v>4710</v>
      </c>
      <c r="I885">
        <f>Sales_Transactions_Raw[[#This Row],[Unit_Price]]*Sales_Transactions_Raw[[#This Row],[Quantity]]</f>
        <v>18840</v>
      </c>
      <c r="J885">
        <v>4</v>
      </c>
      <c r="K885">
        <v>20</v>
      </c>
      <c r="L885">
        <v>3768</v>
      </c>
      <c r="M885">
        <v>15072</v>
      </c>
      <c r="N885">
        <v>12</v>
      </c>
      <c r="O885">
        <v>1808.64</v>
      </c>
      <c r="P885">
        <v>0</v>
      </c>
      <c r="Q885">
        <v>16880.64</v>
      </c>
      <c r="R885" t="s">
        <v>48</v>
      </c>
      <c r="S885" t="s">
        <v>93</v>
      </c>
      <c r="T885" t="s">
        <v>115</v>
      </c>
      <c r="U885" t="s">
        <v>108</v>
      </c>
      <c r="V885" t="s">
        <v>269</v>
      </c>
      <c r="W885" t="s">
        <v>70</v>
      </c>
      <c r="X885" t="s">
        <v>491</v>
      </c>
      <c r="Y885" t="s">
        <v>358</v>
      </c>
      <c r="Z885" t="s">
        <v>95</v>
      </c>
      <c r="AA885" t="s">
        <v>2994</v>
      </c>
      <c r="AB885" t="s">
        <v>3335</v>
      </c>
      <c r="AC885">
        <v>3</v>
      </c>
      <c r="AD885" t="s">
        <v>56</v>
      </c>
      <c r="AE885" t="s">
        <v>3336</v>
      </c>
      <c r="AF885" t="s">
        <v>262</v>
      </c>
      <c r="AG885" t="s">
        <v>3337</v>
      </c>
      <c r="AH885" s="1">
        <v>45296</v>
      </c>
      <c r="AI885" s="1">
        <v>45303</v>
      </c>
      <c r="AJ885" s="1">
        <v>45308</v>
      </c>
      <c r="AK885" t="s">
        <v>3468</v>
      </c>
      <c r="AL885" t="s">
        <v>2993</v>
      </c>
    </row>
    <row r="886" spans="1:38" x14ac:dyDescent="0.35">
      <c r="A886" t="s">
        <v>2995</v>
      </c>
      <c r="B886" t="s">
        <v>166</v>
      </c>
      <c r="C886" t="s">
        <v>43</v>
      </c>
      <c r="D886" t="s">
        <v>630</v>
      </c>
      <c r="E886" t="s">
        <v>450</v>
      </c>
      <c r="F886" t="s">
        <v>134</v>
      </c>
      <c r="G886" t="s">
        <v>497</v>
      </c>
      <c r="H886">
        <v>46160</v>
      </c>
      <c r="I886">
        <f>Sales_Transactions_Raw[[#This Row],[Unit_Price]]*Sales_Transactions_Raw[[#This Row],[Quantity]]</f>
        <v>230800</v>
      </c>
      <c r="J886">
        <v>5</v>
      </c>
      <c r="K886">
        <v>0</v>
      </c>
      <c r="L886">
        <v>0</v>
      </c>
      <c r="M886">
        <v>230800</v>
      </c>
      <c r="N886">
        <v>5</v>
      </c>
      <c r="O886">
        <v>11540</v>
      </c>
      <c r="P886">
        <v>0</v>
      </c>
      <c r="Q886">
        <v>242340</v>
      </c>
      <c r="R886" t="s">
        <v>124</v>
      </c>
      <c r="S886" t="s">
        <v>49</v>
      </c>
      <c r="T886" t="s">
        <v>115</v>
      </c>
      <c r="U886" t="s">
        <v>196</v>
      </c>
      <c r="V886" t="s">
        <v>287</v>
      </c>
      <c r="W886" t="s">
        <v>95</v>
      </c>
      <c r="X886" t="s">
        <v>556</v>
      </c>
      <c r="Y886" t="s">
        <v>481</v>
      </c>
      <c r="Z886" t="s">
        <v>52</v>
      </c>
      <c r="AA886" t="s">
        <v>2997</v>
      </c>
      <c r="AB886" t="s">
        <v>3338</v>
      </c>
      <c r="AC886">
        <v>2</v>
      </c>
      <c r="AD886" t="s">
        <v>56</v>
      </c>
      <c r="AE886" t="s">
        <v>3336</v>
      </c>
      <c r="AF886" t="s">
        <v>262</v>
      </c>
      <c r="AG886" t="s">
        <v>3337</v>
      </c>
      <c r="AH886" s="1">
        <v>45219</v>
      </c>
      <c r="AI886" s="1">
        <v>45224</v>
      </c>
      <c r="AJ886" s="1">
        <v>45226</v>
      </c>
      <c r="AK886" t="s">
        <v>3568</v>
      </c>
      <c r="AL886" t="s">
        <v>2996</v>
      </c>
    </row>
    <row r="887" spans="1:38" x14ac:dyDescent="0.35">
      <c r="A887" t="s">
        <v>2998</v>
      </c>
      <c r="B887" t="s">
        <v>940</v>
      </c>
      <c r="C887" t="s">
        <v>89</v>
      </c>
      <c r="D887" t="s">
        <v>432</v>
      </c>
      <c r="E887" t="s">
        <v>433</v>
      </c>
      <c r="F887" t="s">
        <v>146</v>
      </c>
      <c r="G887" t="s">
        <v>296</v>
      </c>
      <c r="H887">
        <v>5140</v>
      </c>
      <c r="I887">
        <f>Sales_Transactions_Raw[[#This Row],[Unit_Price]]*Sales_Transactions_Raw[[#This Row],[Quantity]]</f>
        <v>15420</v>
      </c>
      <c r="J887">
        <v>3</v>
      </c>
      <c r="K887">
        <v>0</v>
      </c>
      <c r="L887">
        <v>0</v>
      </c>
      <c r="M887">
        <v>15420</v>
      </c>
      <c r="N887">
        <v>12</v>
      </c>
      <c r="O887">
        <v>1850.4</v>
      </c>
      <c r="P887">
        <v>0</v>
      </c>
      <c r="Q887">
        <v>17270.400000000001</v>
      </c>
      <c r="R887" t="s">
        <v>64</v>
      </c>
      <c r="S887" t="s">
        <v>49</v>
      </c>
      <c r="T887" t="s">
        <v>136</v>
      </c>
      <c r="U887" t="s">
        <v>196</v>
      </c>
      <c r="V887" t="s">
        <v>287</v>
      </c>
      <c r="W887" t="s">
        <v>95</v>
      </c>
      <c r="X887" t="s">
        <v>474</v>
      </c>
      <c r="Y887" t="s">
        <v>169</v>
      </c>
      <c r="Z887" t="s">
        <v>95</v>
      </c>
      <c r="AA887" t="s">
        <v>3000</v>
      </c>
      <c r="AB887" t="s">
        <v>3335</v>
      </c>
      <c r="AC887">
        <v>5</v>
      </c>
      <c r="AD887" t="s">
        <v>56</v>
      </c>
      <c r="AE887" t="s">
        <v>3336</v>
      </c>
      <c r="AF887" t="s">
        <v>227</v>
      </c>
      <c r="AG887" t="s">
        <v>58</v>
      </c>
      <c r="AH887" s="1">
        <v>45407</v>
      </c>
      <c r="AI887" s="1">
        <v>45410</v>
      </c>
      <c r="AJ887" s="1">
        <v>45412</v>
      </c>
      <c r="AK887" t="s">
        <v>3521</v>
      </c>
      <c r="AL887" t="s">
        <v>2999</v>
      </c>
    </row>
    <row r="888" spans="1:38" x14ac:dyDescent="0.35">
      <c r="A888" t="s">
        <v>3001</v>
      </c>
      <c r="B888" t="s">
        <v>699</v>
      </c>
      <c r="C888" t="s">
        <v>157</v>
      </c>
      <c r="D888" t="s">
        <v>490</v>
      </c>
      <c r="E888" t="s">
        <v>91</v>
      </c>
      <c r="F888" t="s">
        <v>46</v>
      </c>
      <c r="G888" t="s">
        <v>369</v>
      </c>
      <c r="H888">
        <v>74840</v>
      </c>
      <c r="I888">
        <f>Sales_Transactions_Raw[[#This Row],[Unit_Price]]*Sales_Transactions_Raw[[#This Row],[Quantity]]</f>
        <v>74840</v>
      </c>
      <c r="J888">
        <v>1</v>
      </c>
      <c r="K888">
        <v>0</v>
      </c>
      <c r="L888">
        <v>0</v>
      </c>
      <c r="M888">
        <v>74840</v>
      </c>
      <c r="N888">
        <v>18</v>
      </c>
      <c r="O888">
        <v>13471.2</v>
      </c>
      <c r="P888">
        <v>0</v>
      </c>
      <c r="Q888">
        <v>88311.2</v>
      </c>
      <c r="R888" t="s">
        <v>124</v>
      </c>
      <c r="S888" t="s">
        <v>125</v>
      </c>
      <c r="T888" t="s">
        <v>115</v>
      </c>
      <c r="U888" t="s">
        <v>196</v>
      </c>
      <c r="V888" t="s">
        <v>177</v>
      </c>
      <c r="W888" t="s">
        <v>81</v>
      </c>
      <c r="X888" t="s">
        <v>288</v>
      </c>
      <c r="Y888" t="s">
        <v>289</v>
      </c>
      <c r="Z888" t="s">
        <v>52</v>
      </c>
      <c r="AA888" t="s">
        <v>3003</v>
      </c>
      <c r="AB888" t="s">
        <v>3341</v>
      </c>
      <c r="AC888">
        <v>5</v>
      </c>
      <c r="AD888" t="s">
        <v>179</v>
      </c>
      <c r="AE888" t="s">
        <v>476</v>
      </c>
      <c r="AF888" t="s">
        <v>279</v>
      </c>
      <c r="AG888" t="s">
        <v>58</v>
      </c>
      <c r="AH888" s="1">
        <v>45339</v>
      </c>
      <c r="AI888" s="1">
        <v>45343</v>
      </c>
      <c r="AJ888" s="1">
        <v>45350</v>
      </c>
      <c r="AK888" t="s">
        <v>3442</v>
      </c>
      <c r="AL888" t="s">
        <v>3002</v>
      </c>
    </row>
    <row r="889" spans="1:38" x14ac:dyDescent="0.35">
      <c r="A889" t="s">
        <v>3004</v>
      </c>
      <c r="B889" t="s">
        <v>803</v>
      </c>
      <c r="C889" t="s">
        <v>43</v>
      </c>
      <c r="D889" t="s">
        <v>630</v>
      </c>
      <c r="E889" t="s">
        <v>450</v>
      </c>
      <c r="F889" t="s">
        <v>134</v>
      </c>
      <c r="G889" t="s">
        <v>497</v>
      </c>
      <c r="H889">
        <v>51660</v>
      </c>
      <c r="I889">
        <f>Sales_Transactions_Raw[[#This Row],[Unit_Price]]*Sales_Transactions_Raw[[#This Row],[Quantity]]</f>
        <v>154980</v>
      </c>
      <c r="J889">
        <v>3</v>
      </c>
      <c r="K889">
        <v>0</v>
      </c>
      <c r="L889">
        <v>0</v>
      </c>
      <c r="M889">
        <v>154980</v>
      </c>
      <c r="N889">
        <v>5</v>
      </c>
      <c r="O889">
        <v>7749</v>
      </c>
      <c r="P889">
        <v>0</v>
      </c>
      <c r="Q889">
        <v>162729</v>
      </c>
      <c r="R889" t="s">
        <v>124</v>
      </c>
      <c r="S889" t="s">
        <v>93</v>
      </c>
      <c r="T889" t="s">
        <v>136</v>
      </c>
      <c r="U889" t="s">
        <v>50</v>
      </c>
      <c r="V889" t="s">
        <v>149</v>
      </c>
      <c r="W889" t="s">
        <v>81</v>
      </c>
      <c r="X889" t="s">
        <v>922</v>
      </c>
      <c r="Y889" t="s">
        <v>199</v>
      </c>
      <c r="Z889" t="s">
        <v>52</v>
      </c>
      <c r="AA889" t="s">
        <v>3006</v>
      </c>
      <c r="AB889" t="s">
        <v>3341</v>
      </c>
      <c r="AC889">
        <v>5</v>
      </c>
      <c r="AD889" t="s">
        <v>56</v>
      </c>
      <c r="AE889" t="s">
        <v>3336</v>
      </c>
      <c r="AF889" t="s">
        <v>72</v>
      </c>
      <c r="AG889" t="s">
        <v>58</v>
      </c>
      <c r="AH889" s="1">
        <v>45200</v>
      </c>
      <c r="AI889" s="1">
        <v>45206</v>
      </c>
      <c r="AJ889" s="1">
        <v>45210</v>
      </c>
      <c r="AK889" t="s">
        <v>3749</v>
      </c>
      <c r="AL889" t="s">
        <v>3005</v>
      </c>
    </row>
    <row r="890" spans="1:38" x14ac:dyDescent="0.35">
      <c r="A890" t="s">
        <v>3007</v>
      </c>
      <c r="B890" t="s">
        <v>1107</v>
      </c>
      <c r="C890" t="s">
        <v>43</v>
      </c>
      <c r="D890" t="s">
        <v>303</v>
      </c>
      <c r="E890" t="s">
        <v>304</v>
      </c>
      <c r="F890" t="s">
        <v>134</v>
      </c>
      <c r="G890" t="s">
        <v>305</v>
      </c>
      <c r="H890">
        <v>36670</v>
      </c>
      <c r="I890">
        <f>Sales_Transactions_Raw[[#This Row],[Unit_Price]]*Sales_Transactions_Raw[[#This Row],[Quantity]]</f>
        <v>183350</v>
      </c>
      <c r="J890">
        <v>5</v>
      </c>
      <c r="K890">
        <v>25</v>
      </c>
      <c r="L890">
        <v>45837.5</v>
      </c>
      <c r="M890">
        <v>137512.5</v>
      </c>
      <c r="N890">
        <v>5</v>
      </c>
      <c r="O890">
        <v>6875.62</v>
      </c>
      <c r="P890">
        <v>0</v>
      </c>
      <c r="Q890">
        <v>144388.12</v>
      </c>
      <c r="R890" t="s">
        <v>48</v>
      </c>
      <c r="S890" t="s">
        <v>93</v>
      </c>
      <c r="T890" t="s">
        <v>115</v>
      </c>
      <c r="U890" t="s">
        <v>196</v>
      </c>
      <c r="V890" t="s">
        <v>276</v>
      </c>
      <c r="W890" t="s">
        <v>95</v>
      </c>
      <c r="X890" t="s">
        <v>306</v>
      </c>
      <c r="Y890" t="s">
        <v>97</v>
      </c>
      <c r="Z890" t="s">
        <v>95</v>
      </c>
      <c r="AA890" t="s">
        <v>3009</v>
      </c>
      <c r="AB890" t="s">
        <v>3338</v>
      </c>
      <c r="AC890">
        <v>4</v>
      </c>
      <c r="AD890" t="s">
        <v>56</v>
      </c>
      <c r="AE890" t="s">
        <v>3336</v>
      </c>
      <c r="AF890" t="s">
        <v>217</v>
      </c>
      <c r="AG890" t="s">
        <v>85</v>
      </c>
      <c r="AH890" s="1">
        <v>44992</v>
      </c>
      <c r="AI890" s="1">
        <v>44994</v>
      </c>
      <c r="AJ890" s="1">
        <v>44996</v>
      </c>
      <c r="AK890" t="s">
        <v>3619</v>
      </c>
      <c r="AL890" t="s">
        <v>3008</v>
      </c>
    </row>
    <row r="891" spans="1:38" x14ac:dyDescent="0.35">
      <c r="A891" t="s">
        <v>3010</v>
      </c>
      <c r="B891" t="s">
        <v>858</v>
      </c>
      <c r="C891" t="s">
        <v>157</v>
      </c>
      <c r="D891" t="s">
        <v>956</v>
      </c>
      <c r="E891" t="s">
        <v>957</v>
      </c>
      <c r="F891" t="s">
        <v>46</v>
      </c>
      <c r="G891" t="s">
        <v>147</v>
      </c>
      <c r="H891">
        <v>9330</v>
      </c>
      <c r="I891">
        <f>Sales_Transactions_Raw[[#This Row],[Unit_Price]]*Sales_Transactions_Raw[[#This Row],[Quantity]]</f>
        <v>27990</v>
      </c>
      <c r="J891">
        <v>3</v>
      </c>
      <c r="K891">
        <v>0</v>
      </c>
      <c r="L891">
        <v>0</v>
      </c>
      <c r="M891">
        <v>27990</v>
      </c>
      <c r="N891">
        <v>18</v>
      </c>
      <c r="O891">
        <v>5038.2</v>
      </c>
      <c r="P891">
        <v>0</v>
      </c>
      <c r="Q891">
        <v>33028.199999999997</v>
      </c>
      <c r="R891" t="s">
        <v>160</v>
      </c>
      <c r="S891" t="s">
        <v>49</v>
      </c>
      <c r="T891" t="s">
        <v>66</v>
      </c>
      <c r="U891" t="s">
        <v>196</v>
      </c>
      <c r="V891" t="s">
        <v>287</v>
      </c>
      <c r="W891" t="s">
        <v>95</v>
      </c>
      <c r="X891" t="s">
        <v>187</v>
      </c>
      <c r="Y891" t="s">
        <v>188</v>
      </c>
      <c r="Z891" t="s">
        <v>68</v>
      </c>
      <c r="AB891" t="s">
        <v>3339</v>
      </c>
      <c r="AC891">
        <v>4</v>
      </c>
      <c r="AD891" t="s">
        <v>56</v>
      </c>
      <c r="AE891" t="s">
        <v>3336</v>
      </c>
      <c r="AF891" t="s">
        <v>326</v>
      </c>
      <c r="AG891" t="s">
        <v>58</v>
      </c>
      <c r="AH891" s="1">
        <v>45401</v>
      </c>
      <c r="AI891" s="1">
        <v>45407</v>
      </c>
      <c r="AJ891" s="1">
        <v>45413</v>
      </c>
      <c r="AK891" t="s">
        <v>3713</v>
      </c>
      <c r="AL891" t="s">
        <v>3011</v>
      </c>
    </row>
    <row r="892" spans="1:38" x14ac:dyDescent="0.35">
      <c r="A892" t="s">
        <v>2153</v>
      </c>
      <c r="B892" t="s">
        <v>240</v>
      </c>
      <c r="C892" t="s">
        <v>43</v>
      </c>
      <c r="D892" t="s">
        <v>867</v>
      </c>
      <c r="E892" t="s">
        <v>868</v>
      </c>
      <c r="F892" t="s">
        <v>285</v>
      </c>
      <c r="G892" t="s">
        <v>869</v>
      </c>
      <c r="H892">
        <v>180</v>
      </c>
      <c r="I892">
        <f>Sales_Transactions_Raw[[#This Row],[Unit_Price]]*Sales_Transactions_Raw[[#This Row],[Quantity]]</f>
        <v>180</v>
      </c>
      <c r="J892">
        <v>1</v>
      </c>
      <c r="K892">
        <v>5</v>
      </c>
      <c r="L892">
        <v>9</v>
      </c>
      <c r="M892">
        <v>171</v>
      </c>
      <c r="N892">
        <v>5</v>
      </c>
      <c r="O892">
        <v>8.5500000000000007</v>
      </c>
      <c r="P892">
        <v>49</v>
      </c>
      <c r="Q892">
        <v>179.55</v>
      </c>
      <c r="R892" t="s">
        <v>92</v>
      </c>
      <c r="S892" t="s">
        <v>49</v>
      </c>
      <c r="T892" t="s">
        <v>148</v>
      </c>
      <c r="U892" t="s">
        <v>50</v>
      </c>
      <c r="V892" t="s">
        <v>197</v>
      </c>
      <c r="W892" t="s">
        <v>68</v>
      </c>
      <c r="X892" t="s">
        <v>750</v>
      </c>
      <c r="Y892" t="s">
        <v>127</v>
      </c>
      <c r="Z892" t="s">
        <v>68</v>
      </c>
      <c r="AA892" t="s">
        <v>3013</v>
      </c>
      <c r="AB892" t="s">
        <v>3339</v>
      </c>
      <c r="AC892">
        <v>5</v>
      </c>
      <c r="AD892" t="s">
        <v>56</v>
      </c>
      <c r="AE892" t="s">
        <v>3336</v>
      </c>
      <c r="AF892" t="s">
        <v>279</v>
      </c>
      <c r="AG892" t="s">
        <v>85</v>
      </c>
      <c r="AH892" s="1">
        <v>45024</v>
      </c>
      <c r="AI892" s="1">
        <v>45054</v>
      </c>
      <c r="AJ892" s="1">
        <v>45268</v>
      </c>
      <c r="AK892" t="s">
        <v>3714</v>
      </c>
      <c r="AL892" t="s">
        <v>3012</v>
      </c>
    </row>
    <row r="893" spans="1:38" x14ac:dyDescent="0.35">
      <c r="A893" t="s">
        <v>3014</v>
      </c>
      <c r="B893" t="s">
        <v>113</v>
      </c>
      <c r="C893" t="s">
        <v>43</v>
      </c>
      <c r="D893" t="s">
        <v>329</v>
      </c>
      <c r="E893" t="s">
        <v>250</v>
      </c>
      <c r="F893" t="s">
        <v>134</v>
      </c>
      <c r="G893" t="s">
        <v>330</v>
      </c>
      <c r="H893">
        <v>23250</v>
      </c>
      <c r="I893">
        <f>Sales_Transactions_Raw[[#This Row],[Unit_Price]]*Sales_Transactions_Raw[[#This Row],[Quantity]]</f>
        <v>69750</v>
      </c>
      <c r="J893">
        <v>3</v>
      </c>
      <c r="K893">
        <v>10</v>
      </c>
      <c r="L893">
        <v>6975</v>
      </c>
      <c r="M893">
        <v>62775</v>
      </c>
      <c r="N893">
        <v>5</v>
      </c>
      <c r="O893">
        <v>3138.75</v>
      </c>
      <c r="P893">
        <v>0</v>
      </c>
      <c r="Q893">
        <v>65913.75</v>
      </c>
      <c r="R893" t="s">
        <v>124</v>
      </c>
      <c r="S893" t="s">
        <v>49</v>
      </c>
      <c r="T893" t="s">
        <v>66</v>
      </c>
      <c r="U893" t="s">
        <v>50</v>
      </c>
      <c r="V893" t="s">
        <v>269</v>
      </c>
      <c r="W893" t="s">
        <v>70</v>
      </c>
      <c r="X893" t="s">
        <v>277</v>
      </c>
      <c r="Y893" t="s">
        <v>127</v>
      </c>
      <c r="Z893" t="s">
        <v>68</v>
      </c>
      <c r="AA893" t="s">
        <v>3016</v>
      </c>
      <c r="AB893" t="s">
        <v>3341</v>
      </c>
      <c r="AC893">
        <v>4</v>
      </c>
      <c r="AD893" t="s">
        <v>56</v>
      </c>
      <c r="AE893" t="s">
        <v>3336</v>
      </c>
      <c r="AF893" t="s">
        <v>279</v>
      </c>
      <c r="AG893" t="s">
        <v>3337</v>
      </c>
      <c r="AH893" s="1">
        <v>45377</v>
      </c>
      <c r="AI893" s="1">
        <v>45382</v>
      </c>
      <c r="AJ893" s="1">
        <v>45386</v>
      </c>
      <c r="AK893" t="s">
        <v>3350</v>
      </c>
      <c r="AL893" t="s">
        <v>3015</v>
      </c>
    </row>
    <row r="894" spans="1:38" x14ac:dyDescent="0.35">
      <c r="A894" t="s">
        <v>3017</v>
      </c>
      <c r="B894" t="s">
        <v>400</v>
      </c>
      <c r="C894" t="s">
        <v>157</v>
      </c>
      <c r="D894" t="s">
        <v>956</v>
      </c>
      <c r="E894" t="s">
        <v>957</v>
      </c>
      <c r="F894" t="s">
        <v>46</v>
      </c>
      <c r="G894" t="s">
        <v>147</v>
      </c>
      <c r="H894">
        <v>8850</v>
      </c>
      <c r="I894">
        <f>Sales_Transactions_Raw[[#This Row],[Unit_Price]]*Sales_Transactions_Raw[[#This Row],[Quantity]]</f>
        <v>8850</v>
      </c>
      <c r="J894">
        <v>1</v>
      </c>
      <c r="K894">
        <v>0</v>
      </c>
      <c r="L894">
        <v>0</v>
      </c>
      <c r="M894">
        <v>8850</v>
      </c>
      <c r="N894">
        <v>18</v>
      </c>
      <c r="O894">
        <v>1593</v>
      </c>
      <c r="P894">
        <v>0</v>
      </c>
      <c r="Q894">
        <v>10443</v>
      </c>
      <c r="R894" t="s">
        <v>124</v>
      </c>
      <c r="S894" t="s">
        <v>93</v>
      </c>
      <c r="T894" t="s">
        <v>115</v>
      </c>
      <c r="U894" t="s">
        <v>214</v>
      </c>
      <c r="V894" t="s">
        <v>197</v>
      </c>
      <c r="W894" t="s">
        <v>68</v>
      </c>
      <c r="X894" t="s">
        <v>357</v>
      </c>
      <c r="Y894" t="s">
        <v>358</v>
      </c>
      <c r="Z894" t="s">
        <v>95</v>
      </c>
      <c r="AA894" t="s">
        <v>3019</v>
      </c>
      <c r="AB894" t="s">
        <v>3335</v>
      </c>
      <c r="AC894">
        <v>4</v>
      </c>
      <c r="AD894" t="s">
        <v>56</v>
      </c>
      <c r="AE894" t="s">
        <v>3336</v>
      </c>
      <c r="AF894" t="s">
        <v>227</v>
      </c>
      <c r="AG894" t="s">
        <v>3342</v>
      </c>
      <c r="AH894" s="1">
        <v>44975</v>
      </c>
      <c r="AI894" s="1">
        <v>44979</v>
      </c>
      <c r="AJ894" s="1">
        <v>44985</v>
      </c>
      <c r="AK894" t="s">
        <v>3386</v>
      </c>
      <c r="AL894" t="s">
        <v>3018</v>
      </c>
    </row>
    <row r="895" spans="1:38" x14ac:dyDescent="0.35">
      <c r="A895" t="s">
        <v>3020</v>
      </c>
      <c r="B895" t="s">
        <v>343</v>
      </c>
      <c r="C895" t="s">
        <v>43</v>
      </c>
      <c r="D895" t="s">
        <v>158</v>
      </c>
      <c r="E895" t="s">
        <v>159</v>
      </c>
      <c r="F895" t="s">
        <v>46</v>
      </c>
      <c r="G895" t="s">
        <v>105</v>
      </c>
      <c r="H895">
        <v>53720</v>
      </c>
      <c r="I895">
        <f>Sales_Transactions_Raw[[#This Row],[Unit_Price]]*Sales_Transactions_Raw[[#This Row],[Quantity]]</f>
        <v>805800</v>
      </c>
      <c r="J895">
        <v>15</v>
      </c>
      <c r="K895">
        <v>10</v>
      </c>
      <c r="L895">
        <v>80580</v>
      </c>
      <c r="M895">
        <v>725220</v>
      </c>
      <c r="N895">
        <v>18</v>
      </c>
      <c r="O895">
        <v>130539.6</v>
      </c>
      <c r="P895">
        <v>0</v>
      </c>
      <c r="Q895">
        <v>855759.6</v>
      </c>
      <c r="R895" t="s">
        <v>64</v>
      </c>
      <c r="S895" t="s">
        <v>49</v>
      </c>
      <c r="T895" t="s">
        <v>115</v>
      </c>
      <c r="U895" t="s">
        <v>108</v>
      </c>
      <c r="V895" t="s">
        <v>80</v>
      </c>
      <c r="W895" t="s">
        <v>81</v>
      </c>
      <c r="X895" t="s">
        <v>437</v>
      </c>
      <c r="Y895" t="s">
        <v>319</v>
      </c>
      <c r="Z895" t="s">
        <v>95</v>
      </c>
      <c r="AA895" t="s">
        <v>3022</v>
      </c>
      <c r="AB895" t="s">
        <v>3335</v>
      </c>
      <c r="AC895">
        <v>4</v>
      </c>
      <c r="AD895" t="s">
        <v>56</v>
      </c>
      <c r="AE895" t="s">
        <v>3336</v>
      </c>
      <c r="AF895" t="s">
        <v>262</v>
      </c>
      <c r="AG895" t="s">
        <v>3342</v>
      </c>
      <c r="AH895" s="1">
        <v>45380</v>
      </c>
      <c r="AI895" s="1">
        <v>45383</v>
      </c>
      <c r="AJ895" s="1">
        <v>45391</v>
      </c>
      <c r="AK895" t="s">
        <v>3377</v>
      </c>
      <c r="AL895" t="s">
        <v>3021</v>
      </c>
    </row>
    <row r="896" spans="1:38" x14ac:dyDescent="0.35">
      <c r="A896" t="s">
        <v>3023</v>
      </c>
      <c r="B896" t="s">
        <v>803</v>
      </c>
      <c r="C896" t="s">
        <v>43</v>
      </c>
      <c r="D896" t="s">
        <v>310</v>
      </c>
      <c r="E896" t="s">
        <v>311</v>
      </c>
      <c r="F896" t="s">
        <v>211</v>
      </c>
      <c r="G896" t="s">
        <v>312</v>
      </c>
      <c r="H896">
        <v>11530</v>
      </c>
      <c r="I896">
        <f>Sales_Transactions_Raw[[#This Row],[Unit_Price]]*Sales_Transactions_Raw[[#This Row],[Quantity]]</f>
        <v>11530</v>
      </c>
      <c r="J896">
        <v>1</v>
      </c>
      <c r="K896">
        <v>10</v>
      </c>
      <c r="L896">
        <v>1153</v>
      </c>
      <c r="M896">
        <v>10377</v>
      </c>
      <c r="N896">
        <v>5</v>
      </c>
      <c r="O896">
        <v>518.85</v>
      </c>
      <c r="P896">
        <v>0</v>
      </c>
      <c r="Q896">
        <v>10895.85</v>
      </c>
      <c r="R896" t="s">
        <v>124</v>
      </c>
      <c r="S896" t="s">
        <v>49</v>
      </c>
      <c r="T896" t="s">
        <v>115</v>
      </c>
      <c r="U896" t="s">
        <v>50</v>
      </c>
      <c r="V896" t="s">
        <v>269</v>
      </c>
      <c r="W896" t="s">
        <v>70</v>
      </c>
      <c r="X896" t="s">
        <v>53</v>
      </c>
      <c r="Y896" t="s">
        <v>54</v>
      </c>
      <c r="Z896" t="s">
        <v>70</v>
      </c>
      <c r="AA896" t="s">
        <v>3025</v>
      </c>
      <c r="AB896" t="s">
        <v>3339</v>
      </c>
      <c r="AC896">
        <v>4</v>
      </c>
      <c r="AD896" t="s">
        <v>56</v>
      </c>
      <c r="AE896" t="s">
        <v>3336</v>
      </c>
      <c r="AF896" t="s">
        <v>153</v>
      </c>
      <c r="AG896" t="s">
        <v>85</v>
      </c>
      <c r="AH896" s="1">
        <v>45539</v>
      </c>
      <c r="AI896" s="1">
        <v>45396</v>
      </c>
      <c r="AJ896" s="1">
        <v>45406</v>
      </c>
      <c r="AK896" t="s">
        <v>3715</v>
      </c>
      <c r="AL896" t="s">
        <v>3024</v>
      </c>
    </row>
    <row r="897" spans="1:38" x14ac:dyDescent="0.35">
      <c r="A897" t="s">
        <v>2150</v>
      </c>
      <c r="B897" t="s">
        <v>858</v>
      </c>
      <c r="C897" t="s">
        <v>157</v>
      </c>
      <c r="D897" t="s">
        <v>249</v>
      </c>
      <c r="E897" t="s">
        <v>250</v>
      </c>
      <c r="F897" t="s">
        <v>211</v>
      </c>
      <c r="G897" t="s">
        <v>251</v>
      </c>
      <c r="H897">
        <v>19020</v>
      </c>
      <c r="I897">
        <f>Sales_Transactions_Raw[[#This Row],[Unit_Price]]*Sales_Transactions_Raw[[#This Row],[Quantity]]</f>
        <v>57060</v>
      </c>
      <c r="J897">
        <v>3</v>
      </c>
      <c r="K897">
        <v>5</v>
      </c>
      <c r="L897">
        <v>2853</v>
      </c>
      <c r="M897">
        <v>54207</v>
      </c>
      <c r="N897">
        <v>5</v>
      </c>
      <c r="O897">
        <v>2710.35</v>
      </c>
      <c r="P897">
        <v>0</v>
      </c>
      <c r="Q897">
        <v>56917.35</v>
      </c>
      <c r="R897" t="s">
        <v>79</v>
      </c>
      <c r="S897" t="s">
        <v>107</v>
      </c>
      <c r="T897" t="s">
        <v>115</v>
      </c>
      <c r="U897" t="s">
        <v>108</v>
      </c>
      <c r="V897" t="s">
        <v>242</v>
      </c>
      <c r="W897" t="s">
        <v>70</v>
      </c>
      <c r="X897" t="s">
        <v>370</v>
      </c>
      <c r="Y897" t="s">
        <v>151</v>
      </c>
      <c r="Z897" t="s">
        <v>81</v>
      </c>
      <c r="AA897" t="s">
        <v>3027</v>
      </c>
      <c r="AB897" t="s">
        <v>3338</v>
      </c>
      <c r="AC897">
        <v>2</v>
      </c>
      <c r="AD897" t="s">
        <v>56</v>
      </c>
      <c r="AE897" t="s">
        <v>3336</v>
      </c>
      <c r="AF897" t="s">
        <v>99</v>
      </c>
      <c r="AG897" t="s">
        <v>58</v>
      </c>
      <c r="AH897" s="1">
        <v>45149</v>
      </c>
      <c r="AI897" s="1">
        <v>45155</v>
      </c>
      <c r="AJ897" s="1">
        <v>45164</v>
      </c>
      <c r="AK897" t="s">
        <v>3576</v>
      </c>
      <c r="AL897" t="s">
        <v>3026</v>
      </c>
    </row>
    <row r="898" spans="1:38" x14ac:dyDescent="0.35">
      <c r="A898" t="s">
        <v>3028</v>
      </c>
      <c r="B898" t="s">
        <v>130</v>
      </c>
      <c r="C898" t="s">
        <v>43</v>
      </c>
      <c r="D898" t="s">
        <v>426</v>
      </c>
      <c r="E898" t="s">
        <v>427</v>
      </c>
      <c r="F898" t="s">
        <v>134</v>
      </c>
      <c r="G898" t="s">
        <v>305</v>
      </c>
      <c r="H898">
        <v>48080</v>
      </c>
      <c r="I898">
        <f>Sales_Transactions_Raw[[#This Row],[Unit_Price]]*Sales_Transactions_Raw[[#This Row],[Quantity]]</f>
        <v>336560</v>
      </c>
      <c r="J898">
        <v>7</v>
      </c>
      <c r="K898">
        <v>15</v>
      </c>
      <c r="L898">
        <v>50484</v>
      </c>
      <c r="M898">
        <v>286076</v>
      </c>
      <c r="N898">
        <v>5</v>
      </c>
      <c r="O898">
        <v>14303.8</v>
      </c>
      <c r="P898">
        <v>0</v>
      </c>
      <c r="Q898">
        <v>300379.8</v>
      </c>
      <c r="R898" t="s">
        <v>106</v>
      </c>
      <c r="S898" t="s">
        <v>65</v>
      </c>
      <c r="T898" t="s">
        <v>115</v>
      </c>
      <c r="U898" t="s">
        <v>50</v>
      </c>
      <c r="V898" t="s">
        <v>224</v>
      </c>
      <c r="W898" t="s">
        <v>95</v>
      </c>
      <c r="X898" t="s">
        <v>69</v>
      </c>
      <c r="Y898" t="s">
        <v>54</v>
      </c>
      <c r="Z898" t="s">
        <v>70</v>
      </c>
      <c r="AA898" t="s">
        <v>3029</v>
      </c>
      <c r="AB898" t="s">
        <v>3335</v>
      </c>
      <c r="AC898">
        <v>4</v>
      </c>
      <c r="AD898" t="s">
        <v>56</v>
      </c>
      <c r="AE898" t="s">
        <v>3336</v>
      </c>
      <c r="AF898" t="s">
        <v>326</v>
      </c>
      <c r="AG898" t="s">
        <v>58</v>
      </c>
      <c r="AH898" s="1">
        <v>45181</v>
      </c>
      <c r="AI898" s="1">
        <v>45188</v>
      </c>
      <c r="AJ898" s="1">
        <v>45190</v>
      </c>
      <c r="AK898" t="s">
        <v>3705</v>
      </c>
      <c r="AL898" t="s">
        <v>3750</v>
      </c>
    </row>
    <row r="899" spans="1:38" x14ac:dyDescent="0.35">
      <c r="A899" t="s">
        <v>3030</v>
      </c>
      <c r="B899" t="s">
        <v>1335</v>
      </c>
      <c r="C899" t="s">
        <v>157</v>
      </c>
      <c r="D899" t="s">
        <v>230</v>
      </c>
      <c r="E899" t="s">
        <v>231</v>
      </c>
      <c r="F899" t="s">
        <v>46</v>
      </c>
      <c r="G899" t="s">
        <v>63</v>
      </c>
      <c r="H899">
        <v>115380</v>
      </c>
      <c r="I899">
        <f>Sales_Transactions_Raw[[#This Row],[Unit_Price]]*Sales_Transactions_Raw[[#This Row],[Quantity]]</f>
        <v>346140</v>
      </c>
      <c r="J899">
        <v>3</v>
      </c>
      <c r="K899">
        <v>5</v>
      </c>
      <c r="L899">
        <v>17307</v>
      </c>
      <c r="M899">
        <v>328833</v>
      </c>
      <c r="N899">
        <v>18</v>
      </c>
      <c r="O899">
        <v>59189.94</v>
      </c>
      <c r="P899">
        <v>0</v>
      </c>
      <c r="Q899">
        <v>388022.94</v>
      </c>
      <c r="R899" t="s">
        <v>64</v>
      </c>
      <c r="S899" t="s">
        <v>125</v>
      </c>
      <c r="T899" t="s">
        <v>115</v>
      </c>
      <c r="U899" t="s">
        <v>108</v>
      </c>
      <c r="V899" t="s">
        <v>287</v>
      </c>
      <c r="W899" t="s">
        <v>95</v>
      </c>
      <c r="X899" t="s">
        <v>393</v>
      </c>
      <c r="Y899" t="s">
        <v>393</v>
      </c>
      <c r="Z899" t="s">
        <v>70</v>
      </c>
      <c r="AA899" t="s">
        <v>3032</v>
      </c>
      <c r="AB899" t="s">
        <v>3338</v>
      </c>
      <c r="AC899">
        <v>4</v>
      </c>
      <c r="AD899" t="s">
        <v>56</v>
      </c>
      <c r="AE899" t="s">
        <v>3336</v>
      </c>
      <c r="AF899" t="s">
        <v>262</v>
      </c>
      <c r="AG899" t="s">
        <v>58</v>
      </c>
      <c r="AH899" s="1">
        <v>45477</v>
      </c>
      <c r="AI899" s="1">
        <v>45396</v>
      </c>
      <c r="AJ899" s="1">
        <v>45398</v>
      </c>
      <c r="AK899" t="s">
        <v>3561</v>
      </c>
      <c r="AL899" t="s">
        <v>3031</v>
      </c>
    </row>
    <row r="900" spans="1:38" x14ac:dyDescent="0.35">
      <c r="A900" t="s">
        <v>3033</v>
      </c>
      <c r="B900" t="s">
        <v>272</v>
      </c>
      <c r="C900" t="s">
        <v>43</v>
      </c>
      <c r="D900" t="s">
        <v>526</v>
      </c>
      <c r="E900" t="s">
        <v>527</v>
      </c>
      <c r="F900" t="s">
        <v>185</v>
      </c>
      <c r="G900" t="s">
        <v>528</v>
      </c>
      <c r="H900">
        <v>800</v>
      </c>
      <c r="I900">
        <f>Sales_Transactions_Raw[[#This Row],[Unit_Price]]*Sales_Transactions_Raw[[#This Row],[Quantity]]</f>
        <v>16000</v>
      </c>
      <c r="J900">
        <v>20</v>
      </c>
      <c r="K900">
        <v>10</v>
      </c>
      <c r="L900">
        <v>1600</v>
      </c>
      <c r="M900">
        <v>14400</v>
      </c>
      <c r="N900">
        <v>5</v>
      </c>
      <c r="O900">
        <v>720</v>
      </c>
      <c r="P900">
        <v>0</v>
      </c>
      <c r="Q900">
        <v>15120</v>
      </c>
      <c r="R900" t="s">
        <v>64</v>
      </c>
      <c r="S900" t="s">
        <v>49</v>
      </c>
      <c r="T900" t="s">
        <v>115</v>
      </c>
      <c r="U900" t="s">
        <v>214</v>
      </c>
      <c r="V900" t="s">
        <v>287</v>
      </c>
      <c r="W900" t="s">
        <v>95</v>
      </c>
      <c r="X900" t="s">
        <v>232</v>
      </c>
      <c r="Y900" t="s">
        <v>82</v>
      </c>
      <c r="Z900" t="s">
        <v>52</v>
      </c>
      <c r="AA900" t="s">
        <v>3035</v>
      </c>
      <c r="AB900" t="s">
        <v>3341</v>
      </c>
      <c r="AC900">
        <v>4</v>
      </c>
      <c r="AD900" t="s">
        <v>56</v>
      </c>
      <c r="AE900" t="s">
        <v>3336</v>
      </c>
      <c r="AF900" t="s">
        <v>326</v>
      </c>
      <c r="AG900" t="s">
        <v>111</v>
      </c>
      <c r="AH900" s="1">
        <v>45377</v>
      </c>
      <c r="AI900" s="1">
        <v>45384</v>
      </c>
      <c r="AJ900" s="1">
        <v>45387</v>
      </c>
      <c r="AK900" t="s">
        <v>3446</v>
      </c>
      <c r="AL900" t="s">
        <v>3034</v>
      </c>
    </row>
    <row r="901" spans="1:38" x14ac:dyDescent="0.35">
      <c r="A901" t="s">
        <v>3036</v>
      </c>
      <c r="B901" t="s">
        <v>829</v>
      </c>
      <c r="C901" t="s">
        <v>43</v>
      </c>
      <c r="D901" t="s">
        <v>402</v>
      </c>
      <c r="E901" t="s">
        <v>403</v>
      </c>
      <c r="F901" t="s">
        <v>146</v>
      </c>
      <c r="G901" t="s">
        <v>223</v>
      </c>
      <c r="H901">
        <v>2140</v>
      </c>
      <c r="I901">
        <f>Sales_Transactions_Raw[[#This Row],[Unit_Price]]*Sales_Transactions_Raw[[#This Row],[Quantity]]</f>
        <v>6420</v>
      </c>
      <c r="J901">
        <v>3</v>
      </c>
      <c r="K901">
        <v>5</v>
      </c>
      <c r="L901">
        <v>428</v>
      </c>
      <c r="M901">
        <v>8132</v>
      </c>
      <c r="N901">
        <v>12</v>
      </c>
      <c r="O901">
        <v>975.84</v>
      </c>
      <c r="P901">
        <v>0</v>
      </c>
      <c r="Q901">
        <v>9107.84</v>
      </c>
      <c r="R901" t="s">
        <v>106</v>
      </c>
      <c r="S901" t="s">
        <v>49</v>
      </c>
      <c r="T901" t="s">
        <v>66</v>
      </c>
      <c r="U901" t="s">
        <v>196</v>
      </c>
      <c r="V901" t="s">
        <v>276</v>
      </c>
      <c r="W901" t="s">
        <v>95</v>
      </c>
      <c r="X901" t="s">
        <v>578</v>
      </c>
      <c r="Y901" t="s">
        <v>54</v>
      </c>
      <c r="Z901" t="s">
        <v>70</v>
      </c>
      <c r="AA901" t="s">
        <v>3038</v>
      </c>
      <c r="AB901" t="s">
        <v>3335</v>
      </c>
      <c r="AC901">
        <v>4</v>
      </c>
      <c r="AD901" t="s">
        <v>56</v>
      </c>
      <c r="AE901" t="s">
        <v>3336</v>
      </c>
      <c r="AF901" t="s">
        <v>164</v>
      </c>
      <c r="AG901" t="s">
        <v>3342</v>
      </c>
      <c r="AH901" s="1">
        <v>45182</v>
      </c>
      <c r="AI901" s="1">
        <v>45185</v>
      </c>
      <c r="AJ901" s="1">
        <v>45193</v>
      </c>
      <c r="AK901" t="s">
        <v>3585</v>
      </c>
      <c r="AL901" t="s">
        <v>3037</v>
      </c>
    </row>
    <row r="902" spans="1:38" x14ac:dyDescent="0.35">
      <c r="A902" t="s">
        <v>3039</v>
      </c>
      <c r="B902" t="s">
        <v>533</v>
      </c>
      <c r="C902" t="s">
        <v>43</v>
      </c>
      <c r="D902" t="s">
        <v>122</v>
      </c>
      <c r="E902" t="s">
        <v>123</v>
      </c>
      <c r="F902" t="s">
        <v>46</v>
      </c>
      <c r="G902" t="s">
        <v>63</v>
      </c>
      <c r="H902">
        <v>58560</v>
      </c>
      <c r="I902">
        <f>Sales_Transactions_Raw[[#This Row],[Unit_Price]]*Sales_Transactions_Raw[[#This Row],[Quantity]]</f>
        <v>527040</v>
      </c>
      <c r="J902">
        <v>9</v>
      </c>
      <c r="K902">
        <v>5</v>
      </c>
      <c r="L902">
        <v>26352</v>
      </c>
      <c r="M902">
        <v>500688</v>
      </c>
      <c r="N902">
        <v>18</v>
      </c>
      <c r="O902">
        <v>90123.839999999997</v>
      </c>
      <c r="P902">
        <v>0</v>
      </c>
      <c r="Q902">
        <v>590811.84</v>
      </c>
      <c r="R902" t="s">
        <v>48</v>
      </c>
      <c r="S902" t="s">
        <v>125</v>
      </c>
      <c r="T902" t="s">
        <v>719</v>
      </c>
      <c r="U902" t="s">
        <v>108</v>
      </c>
      <c r="V902" t="s">
        <v>297</v>
      </c>
      <c r="W902" t="s">
        <v>52</v>
      </c>
      <c r="X902" t="s">
        <v>117</v>
      </c>
      <c r="Y902" t="s">
        <v>118</v>
      </c>
      <c r="Z902" t="s">
        <v>70</v>
      </c>
      <c r="AB902" t="s">
        <v>3338</v>
      </c>
      <c r="AC902">
        <v>5</v>
      </c>
      <c r="AD902" t="s">
        <v>56</v>
      </c>
      <c r="AE902" t="s">
        <v>3336</v>
      </c>
      <c r="AF902" t="s">
        <v>262</v>
      </c>
      <c r="AG902" t="s">
        <v>3342</v>
      </c>
      <c r="AH902" s="1">
        <v>45460</v>
      </c>
      <c r="AI902" s="1">
        <v>45461</v>
      </c>
      <c r="AJ902" s="1">
        <v>45465</v>
      </c>
      <c r="AK902" t="s">
        <v>3414</v>
      </c>
      <c r="AL902" t="s">
        <v>3040</v>
      </c>
    </row>
    <row r="903" spans="1:38" x14ac:dyDescent="0.35">
      <c r="A903" t="s">
        <v>3041</v>
      </c>
      <c r="B903" t="s">
        <v>258</v>
      </c>
      <c r="C903" t="s">
        <v>43</v>
      </c>
      <c r="D903" t="s">
        <v>526</v>
      </c>
      <c r="E903" t="s">
        <v>527</v>
      </c>
      <c r="F903" t="s">
        <v>185</v>
      </c>
      <c r="G903" t="s">
        <v>528</v>
      </c>
      <c r="H903">
        <v>820</v>
      </c>
      <c r="I903">
        <f>Sales_Transactions_Raw[[#This Row],[Unit_Price]]*Sales_Transactions_Raw[[#This Row],[Quantity]]</f>
        <v>1640</v>
      </c>
      <c r="J903">
        <v>2</v>
      </c>
      <c r="K903">
        <v>0</v>
      </c>
      <c r="L903">
        <v>0</v>
      </c>
      <c r="M903">
        <v>1640</v>
      </c>
      <c r="N903">
        <v>5</v>
      </c>
      <c r="O903">
        <v>82</v>
      </c>
      <c r="P903">
        <v>79</v>
      </c>
      <c r="Q903">
        <v>1722</v>
      </c>
      <c r="R903" t="s">
        <v>124</v>
      </c>
      <c r="S903" t="s">
        <v>93</v>
      </c>
      <c r="T903" t="s">
        <v>115</v>
      </c>
      <c r="U903" t="s">
        <v>108</v>
      </c>
      <c r="V903" t="s">
        <v>287</v>
      </c>
      <c r="W903" t="s">
        <v>95</v>
      </c>
      <c r="X903" t="s">
        <v>381</v>
      </c>
      <c r="Y903" t="s">
        <v>199</v>
      </c>
      <c r="Z903" t="s">
        <v>52</v>
      </c>
      <c r="AA903" t="s">
        <v>3043</v>
      </c>
      <c r="AB903" t="s">
        <v>3335</v>
      </c>
      <c r="AC903">
        <v>4</v>
      </c>
      <c r="AD903" t="s">
        <v>56</v>
      </c>
      <c r="AE903" t="s">
        <v>3336</v>
      </c>
      <c r="AF903" t="s">
        <v>217</v>
      </c>
      <c r="AG903" t="s">
        <v>111</v>
      </c>
      <c r="AH903" s="1">
        <v>45423</v>
      </c>
      <c r="AI903" s="1">
        <v>45427</v>
      </c>
      <c r="AJ903" s="1">
        <v>45435</v>
      </c>
      <c r="AK903" t="s">
        <v>3716</v>
      </c>
      <c r="AL903" t="s">
        <v>3042</v>
      </c>
    </row>
    <row r="904" spans="1:38" x14ac:dyDescent="0.35">
      <c r="A904" t="s">
        <v>3044</v>
      </c>
      <c r="B904" t="s">
        <v>461</v>
      </c>
      <c r="C904" t="s">
        <v>157</v>
      </c>
      <c r="D904" t="s">
        <v>62</v>
      </c>
      <c r="E904" t="s">
        <v>45</v>
      </c>
      <c r="F904" t="s">
        <v>46</v>
      </c>
      <c r="G904" t="s">
        <v>63</v>
      </c>
      <c r="H904">
        <v>59520</v>
      </c>
      <c r="I904">
        <f>Sales_Transactions_Raw[[#This Row],[Unit_Price]]*Sales_Transactions_Raw[[#This Row],[Quantity]]</f>
        <v>119040</v>
      </c>
      <c r="J904">
        <v>2</v>
      </c>
      <c r="K904">
        <v>10</v>
      </c>
      <c r="L904">
        <v>11904</v>
      </c>
      <c r="M904">
        <v>107136</v>
      </c>
      <c r="N904">
        <v>18</v>
      </c>
      <c r="O904">
        <v>19284.48</v>
      </c>
      <c r="P904">
        <v>0</v>
      </c>
      <c r="Q904">
        <v>126420.48</v>
      </c>
      <c r="R904" t="s">
        <v>79</v>
      </c>
      <c r="S904" t="s">
        <v>65</v>
      </c>
      <c r="T904" t="s">
        <v>213</v>
      </c>
      <c r="U904" t="s">
        <v>214</v>
      </c>
      <c r="V904" t="s">
        <v>80</v>
      </c>
      <c r="W904" t="s">
        <v>81</v>
      </c>
      <c r="X904" t="s">
        <v>515</v>
      </c>
      <c r="Y904" t="s">
        <v>82</v>
      </c>
      <c r="Z904" t="s">
        <v>52</v>
      </c>
      <c r="AA904" t="s">
        <v>3046</v>
      </c>
      <c r="AB904" t="s">
        <v>3335</v>
      </c>
      <c r="AC904">
        <v>4</v>
      </c>
      <c r="AD904" t="s">
        <v>179</v>
      </c>
      <c r="AE904" t="s">
        <v>3336</v>
      </c>
      <c r="AF904" t="s">
        <v>164</v>
      </c>
      <c r="AG904" t="s">
        <v>85</v>
      </c>
      <c r="AH904" s="1">
        <v>45328</v>
      </c>
      <c r="AI904" s="1">
        <v>45541</v>
      </c>
      <c r="AJ904" s="1">
        <v>45457</v>
      </c>
      <c r="AK904" t="s">
        <v>3711</v>
      </c>
      <c r="AL904" t="s">
        <v>3045</v>
      </c>
    </row>
    <row r="905" spans="1:38" x14ac:dyDescent="0.35">
      <c r="A905" t="s">
        <v>3047</v>
      </c>
      <c r="B905" t="s">
        <v>2260</v>
      </c>
      <c r="C905" t="s">
        <v>43</v>
      </c>
      <c r="D905" t="s">
        <v>630</v>
      </c>
      <c r="E905" t="s">
        <v>450</v>
      </c>
      <c r="F905" t="s">
        <v>134</v>
      </c>
      <c r="G905" t="s">
        <v>497</v>
      </c>
      <c r="H905">
        <v>47390</v>
      </c>
      <c r="I905">
        <f>Sales_Transactions_Raw[[#This Row],[Unit_Price]]*Sales_Transactions_Raw[[#This Row],[Quantity]]</f>
        <v>47390</v>
      </c>
      <c r="J905">
        <v>1</v>
      </c>
      <c r="K905">
        <v>5</v>
      </c>
      <c r="L905">
        <v>2369.5</v>
      </c>
      <c r="M905">
        <v>45020.5</v>
      </c>
      <c r="N905">
        <v>5</v>
      </c>
      <c r="O905">
        <v>2251.0300000000002</v>
      </c>
      <c r="P905">
        <v>0</v>
      </c>
      <c r="Q905">
        <v>47271.53</v>
      </c>
      <c r="R905" t="s">
        <v>64</v>
      </c>
      <c r="S905" t="s">
        <v>125</v>
      </c>
      <c r="T905" t="s">
        <v>136</v>
      </c>
      <c r="U905" t="s">
        <v>50</v>
      </c>
      <c r="V905" t="s">
        <v>149</v>
      </c>
      <c r="W905" t="s">
        <v>81</v>
      </c>
      <c r="X905" t="s">
        <v>198</v>
      </c>
      <c r="Y905" t="s">
        <v>199</v>
      </c>
      <c r="Z905" t="s">
        <v>52</v>
      </c>
      <c r="AA905" t="s">
        <v>3049</v>
      </c>
      <c r="AB905" t="s">
        <v>3335</v>
      </c>
      <c r="AC905">
        <v>5</v>
      </c>
      <c r="AD905" t="s">
        <v>56</v>
      </c>
      <c r="AE905" t="s">
        <v>3336</v>
      </c>
      <c r="AF905" t="s">
        <v>72</v>
      </c>
      <c r="AG905" t="s">
        <v>58</v>
      </c>
      <c r="AH905" s="1">
        <v>45229</v>
      </c>
      <c r="AI905" s="1">
        <v>45230</v>
      </c>
      <c r="AJ905" s="1">
        <v>45234</v>
      </c>
      <c r="AK905" t="s">
        <v>3669</v>
      </c>
      <c r="AL905" t="s">
        <v>3048</v>
      </c>
    </row>
    <row r="906" spans="1:38" x14ac:dyDescent="0.35">
      <c r="A906" t="s">
        <v>3050</v>
      </c>
      <c r="B906" t="s">
        <v>960</v>
      </c>
      <c r="C906" t="s">
        <v>43</v>
      </c>
      <c r="D906" t="s">
        <v>283</v>
      </c>
      <c r="E906" t="s">
        <v>284</v>
      </c>
      <c r="F906" t="s">
        <v>285</v>
      </c>
      <c r="G906" t="s">
        <v>286</v>
      </c>
      <c r="H906">
        <v>440</v>
      </c>
      <c r="I906">
        <f>Sales_Transactions_Raw[[#This Row],[Unit_Price]]*Sales_Transactions_Raw[[#This Row],[Quantity]]</f>
        <v>1320</v>
      </c>
      <c r="J906">
        <v>3</v>
      </c>
      <c r="K906">
        <v>10</v>
      </c>
      <c r="L906">
        <v>132</v>
      </c>
      <c r="M906">
        <v>1188</v>
      </c>
      <c r="N906">
        <v>5</v>
      </c>
      <c r="O906">
        <v>59.4</v>
      </c>
      <c r="P906">
        <v>79</v>
      </c>
      <c r="Q906">
        <v>1247.4000000000001</v>
      </c>
      <c r="R906" t="s">
        <v>92</v>
      </c>
      <c r="S906" t="s">
        <v>65</v>
      </c>
      <c r="T906" t="s">
        <v>115</v>
      </c>
      <c r="U906" t="s">
        <v>196</v>
      </c>
      <c r="V906" t="s">
        <v>242</v>
      </c>
      <c r="W906" t="s">
        <v>70</v>
      </c>
      <c r="X906" t="s">
        <v>225</v>
      </c>
      <c r="Y906" t="s">
        <v>226</v>
      </c>
      <c r="Z906" t="s">
        <v>95</v>
      </c>
      <c r="AA906" t="s">
        <v>3052</v>
      </c>
      <c r="AB906" t="s">
        <v>3340</v>
      </c>
      <c r="AC906">
        <v>5</v>
      </c>
      <c r="AD906" t="s">
        <v>179</v>
      </c>
      <c r="AE906" t="s">
        <v>206</v>
      </c>
      <c r="AF906" t="s">
        <v>57</v>
      </c>
      <c r="AG906" t="s">
        <v>58</v>
      </c>
      <c r="AH906" s="1">
        <v>45101</v>
      </c>
      <c r="AI906" s="1">
        <v>45230</v>
      </c>
      <c r="AJ906" s="1">
        <v>44933</v>
      </c>
      <c r="AK906" t="s">
        <v>3692</v>
      </c>
      <c r="AL906" t="s">
        <v>3051</v>
      </c>
    </row>
    <row r="907" spans="1:38" x14ac:dyDescent="0.35">
      <c r="A907" t="s">
        <v>3053</v>
      </c>
      <c r="B907" t="s">
        <v>875</v>
      </c>
      <c r="C907" t="s">
        <v>43</v>
      </c>
      <c r="D907" t="s">
        <v>329</v>
      </c>
      <c r="E907" t="s">
        <v>250</v>
      </c>
      <c r="F907" t="s">
        <v>134</v>
      </c>
      <c r="G907" t="s">
        <v>330</v>
      </c>
      <c r="H907">
        <v>22520</v>
      </c>
      <c r="I907">
        <f>Sales_Transactions_Raw[[#This Row],[Unit_Price]]*Sales_Transactions_Raw[[#This Row],[Quantity]]</f>
        <v>90080</v>
      </c>
      <c r="J907">
        <v>4</v>
      </c>
      <c r="K907">
        <v>15</v>
      </c>
      <c r="L907">
        <v>13512</v>
      </c>
      <c r="M907">
        <v>76568</v>
      </c>
      <c r="N907">
        <v>5</v>
      </c>
      <c r="O907">
        <v>3828.4</v>
      </c>
      <c r="P907">
        <v>0</v>
      </c>
      <c r="Q907">
        <v>80396.399999999994</v>
      </c>
      <c r="R907" t="s">
        <v>124</v>
      </c>
      <c r="S907" t="s">
        <v>65</v>
      </c>
      <c r="T907" t="s">
        <v>115</v>
      </c>
      <c r="U907" t="s">
        <v>50</v>
      </c>
      <c r="V907" t="s">
        <v>67</v>
      </c>
      <c r="W907" t="s">
        <v>68</v>
      </c>
      <c r="X907" t="s">
        <v>474</v>
      </c>
      <c r="Y907" t="s">
        <v>169</v>
      </c>
      <c r="Z907" t="s">
        <v>95</v>
      </c>
      <c r="AA907" t="s">
        <v>3055</v>
      </c>
      <c r="AB907" t="s">
        <v>3339</v>
      </c>
      <c r="AC907">
        <v>3</v>
      </c>
      <c r="AD907" t="s">
        <v>179</v>
      </c>
      <c r="AE907" t="s">
        <v>3336</v>
      </c>
      <c r="AF907" t="s">
        <v>279</v>
      </c>
      <c r="AG907" t="s">
        <v>445</v>
      </c>
      <c r="AH907" s="1">
        <v>45079</v>
      </c>
      <c r="AI907" s="1">
        <v>45084</v>
      </c>
      <c r="AJ907" s="1">
        <v>44933</v>
      </c>
      <c r="AK907" t="s">
        <v>3480</v>
      </c>
      <c r="AL907" t="s">
        <v>3054</v>
      </c>
    </row>
    <row r="908" spans="1:38" x14ac:dyDescent="0.35">
      <c r="A908" t="s">
        <v>3056</v>
      </c>
      <c r="B908" t="s">
        <v>829</v>
      </c>
      <c r="C908" t="s">
        <v>43</v>
      </c>
      <c r="D908" t="s">
        <v>504</v>
      </c>
      <c r="E908" t="s">
        <v>91</v>
      </c>
      <c r="F908" t="s">
        <v>134</v>
      </c>
      <c r="G908" t="s">
        <v>330</v>
      </c>
      <c r="H908">
        <v>28590</v>
      </c>
      <c r="I908">
        <f>Sales_Transactions_Raw[[#This Row],[Unit_Price]]*Sales_Transactions_Raw[[#This Row],[Quantity]]</f>
        <v>28590</v>
      </c>
      <c r="J908">
        <v>1</v>
      </c>
      <c r="K908">
        <v>5</v>
      </c>
      <c r="L908">
        <v>1429.5</v>
      </c>
      <c r="M908">
        <v>27160.5</v>
      </c>
      <c r="N908">
        <v>5</v>
      </c>
      <c r="O908">
        <v>1358.03</v>
      </c>
      <c r="P908">
        <v>0</v>
      </c>
      <c r="Q908">
        <v>28518.53</v>
      </c>
      <c r="R908" t="s">
        <v>106</v>
      </c>
      <c r="S908" t="s">
        <v>107</v>
      </c>
      <c r="T908" t="s">
        <v>66</v>
      </c>
      <c r="U908" t="s">
        <v>161</v>
      </c>
      <c r="V908" t="s">
        <v>177</v>
      </c>
      <c r="W908" t="s">
        <v>81</v>
      </c>
      <c r="X908" t="s">
        <v>381</v>
      </c>
      <c r="Y908" t="s">
        <v>199</v>
      </c>
      <c r="Z908" t="s">
        <v>52</v>
      </c>
      <c r="AA908" t="s">
        <v>3058</v>
      </c>
      <c r="AB908" t="s">
        <v>3344</v>
      </c>
      <c r="AC908">
        <v>4</v>
      </c>
      <c r="AD908" t="s">
        <v>56</v>
      </c>
      <c r="AE908" t="s">
        <v>3336</v>
      </c>
      <c r="AF908" t="s">
        <v>279</v>
      </c>
      <c r="AG908" t="s">
        <v>85</v>
      </c>
      <c r="AH908" s="1">
        <v>45422</v>
      </c>
      <c r="AI908" s="1">
        <v>45425</v>
      </c>
      <c r="AJ908" s="1">
        <v>45431</v>
      </c>
      <c r="AK908" t="s">
        <v>3473</v>
      </c>
      <c r="AL908" t="s">
        <v>3057</v>
      </c>
    </row>
    <row r="909" spans="1:38" x14ac:dyDescent="0.35">
      <c r="A909" t="s">
        <v>1252</v>
      </c>
      <c r="B909" t="s">
        <v>207</v>
      </c>
      <c r="C909" t="s">
        <v>43</v>
      </c>
      <c r="D909" t="s">
        <v>310</v>
      </c>
      <c r="E909" t="s">
        <v>311</v>
      </c>
      <c r="F909" t="s">
        <v>211</v>
      </c>
      <c r="G909" t="s">
        <v>312</v>
      </c>
      <c r="H909">
        <v>12390</v>
      </c>
      <c r="I909">
        <f>Sales_Transactions_Raw[[#This Row],[Unit_Price]]*Sales_Transactions_Raw[[#This Row],[Quantity]]</f>
        <v>12390</v>
      </c>
      <c r="J909">
        <v>1</v>
      </c>
      <c r="K909">
        <v>0</v>
      </c>
      <c r="L909">
        <v>0</v>
      </c>
      <c r="M909">
        <v>12390</v>
      </c>
      <c r="N909">
        <v>5</v>
      </c>
      <c r="O909">
        <v>619.5</v>
      </c>
      <c r="P909">
        <v>0</v>
      </c>
      <c r="Q909">
        <v>13009.5</v>
      </c>
      <c r="R909" t="s">
        <v>64</v>
      </c>
      <c r="S909" t="s">
        <v>125</v>
      </c>
      <c r="T909" t="s">
        <v>66</v>
      </c>
      <c r="U909" t="s">
        <v>161</v>
      </c>
      <c r="V909" t="s">
        <v>116</v>
      </c>
      <c r="W909" t="s">
        <v>70</v>
      </c>
      <c r="X909" t="s">
        <v>198</v>
      </c>
      <c r="Y909" t="s">
        <v>199</v>
      </c>
      <c r="Z909" t="s">
        <v>52</v>
      </c>
      <c r="AA909" t="s">
        <v>3060</v>
      </c>
      <c r="AB909" t="s">
        <v>3335</v>
      </c>
      <c r="AC909">
        <v>4</v>
      </c>
      <c r="AD909" t="s">
        <v>56</v>
      </c>
      <c r="AE909" t="s">
        <v>3336</v>
      </c>
      <c r="AF909" t="s">
        <v>99</v>
      </c>
      <c r="AG909" t="s">
        <v>58</v>
      </c>
      <c r="AH909" s="1">
        <v>45057</v>
      </c>
      <c r="AI909" s="1">
        <v>45064</v>
      </c>
      <c r="AJ909" s="1">
        <v>45069</v>
      </c>
      <c r="AK909" t="s">
        <v>3360</v>
      </c>
      <c r="AL909" t="s">
        <v>3059</v>
      </c>
    </row>
    <row r="910" spans="1:38" x14ac:dyDescent="0.35">
      <c r="A910" t="s">
        <v>3061</v>
      </c>
      <c r="B910" t="s">
        <v>753</v>
      </c>
      <c r="C910" t="s">
        <v>157</v>
      </c>
      <c r="D910" t="s">
        <v>62</v>
      </c>
      <c r="E910" t="s">
        <v>45</v>
      </c>
      <c r="F910" t="s">
        <v>46</v>
      </c>
      <c r="G910" t="s">
        <v>63</v>
      </c>
      <c r="H910">
        <v>58970</v>
      </c>
      <c r="I910">
        <f>Sales_Transactions_Raw[[#This Row],[Unit_Price]]*Sales_Transactions_Raw[[#This Row],[Quantity]]</f>
        <v>58970</v>
      </c>
      <c r="J910">
        <v>1</v>
      </c>
      <c r="K910">
        <v>5</v>
      </c>
      <c r="L910">
        <v>2948.5</v>
      </c>
      <c r="M910">
        <v>56021.5</v>
      </c>
      <c r="N910">
        <v>18</v>
      </c>
      <c r="O910">
        <v>10083.870000000001</v>
      </c>
      <c r="P910">
        <v>0</v>
      </c>
      <c r="Q910">
        <v>66105.37</v>
      </c>
      <c r="R910" t="s">
        <v>124</v>
      </c>
      <c r="S910" t="s">
        <v>125</v>
      </c>
      <c r="T910" t="s">
        <v>148</v>
      </c>
      <c r="U910" t="s">
        <v>161</v>
      </c>
      <c r="V910" t="s">
        <v>287</v>
      </c>
      <c r="W910" t="s">
        <v>95</v>
      </c>
      <c r="X910" t="s">
        <v>922</v>
      </c>
      <c r="Y910" t="s">
        <v>199</v>
      </c>
      <c r="Z910" t="s">
        <v>52</v>
      </c>
      <c r="AA910" t="s">
        <v>3063</v>
      </c>
      <c r="AB910" t="s">
        <v>3341</v>
      </c>
      <c r="AC910">
        <v>4</v>
      </c>
      <c r="AD910" t="s">
        <v>56</v>
      </c>
      <c r="AE910" t="s">
        <v>3336</v>
      </c>
      <c r="AF910" t="s">
        <v>140</v>
      </c>
      <c r="AG910" t="s">
        <v>58</v>
      </c>
      <c r="AH910" s="1">
        <v>45197</v>
      </c>
      <c r="AI910" s="1">
        <v>45204</v>
      </c>
      <c r="AJ910" s="1">
        <v>45208</v>
      </c>
      <c r="AK910" t="s">
        <v>3647</v>
      </c>
      <c r="AL910" t="s">
        <v>3062</v>
      </c>
    </row>
    <row r="911" spans="1:38" x14ac:dyDescent="0.35">
      <c r="A911" t="s">
        <v>3064</v>
      </c>
      <c r="B911" t="s">
        <v>609</v>
      </c>
      <c r="C911" t="s">
        <v>43</v>
      </c>
      <c r="D911" t="s">
        <v>504</v>
      </c>
      <c r="E911" t="s">
        <v>91</v>
      </c>
      <c r="F911" t="s">
        <v>134</v>
      </c>
      <c r="G911" t="s">
        <v>330</v>
      </c>
      <c r="H911">
        <v>27590</v>
      </c>
      <c r="I911">
        <f>Sales_Transactions_Raw[[#This Row],[Unit_Price]]*Sales_Transactions_Raw[[#This Row],[Quantity]]</f>
        <v>82770</v>
      </c>
      <c r="J911">
        <v>3</v>
      </c>
      <c r="K911">
        <v>25</v>
      </c>
      <c r="L911">
        <v>20692.5</v>
      </c>
      <c r="M911">
        <v>62077.5</v>
      </c>
      <c r="N911">
        <v>5</v>
      </c>
      <c r="O911">
        <v>3103.88</v>
      </c>
      <c r="P911">
        <v>0</v>
      </c>
      <c r="Q911">
        <v>65181.38</v>
      </c>
      <c r="R911" t="s">
        <v>124</v>
      </c>
      <c r="S911" t="s">
        <v>65</v>
      </c>
      <c r="T911" t="s">
        <v>115</v>
      </c>
      <c r="U911" t="s">
        <v>196</v>
      </c>
      <c r="V911" t="s">
        <v>51</v>
      </c>
      <c r="W911" t="s">
        <v>52</v>
      </c>
      <c r="X911" t="s">
        <v>53</v>
      </c>
      <c r="Y911" t="s">
        <v>54</v>
      </c>
      <c r="Z911" t="s">
        <v>70</v>
      </c>
      <c r="AA911" t="s">
        <v>3066</v>
      </c>
      <c r="AB911" t="s">
        <v>3340</v>
      </c>
      <c r="AC911">
        <v>4</v>
      </c>
      <c r="AD911" t="s">
        <v>56</v>
      </c>
      <c r="AE911" t="s">
        <v>3336</v>
      </c>
      <c r="AF911" t="s">
        <v>99</v>
      </c>
      <c r="AG911" t="s">
        <v>3337</v>
      </c>
      <c r="AH911" s="1">
        <v>45219</v>
      </c>
      <c r="AI911" s="1">
        <v>45223</v>
      </c>
      <c r="AJ911" s="1">
        <v>45233</v>
      </c>
      <c r="AK911" t="s">
        <v>3691</v>
      </c>
      <c r="AL911" t="s">
        <v>3065</v>
      </c>
    </row>
    <row r="912" spans="1:38" x14ac:dyDescent="0.35">
      <c r="A912" t="s">
        <v>3067</v>
      </c>
      <c r="B912" t="s">
        <v>508</v>
      </c>
      <c r="C912" t="s">
        <v>43</v>
      </c>
      <c r="D912" t="s">
        <v>62</v>
      </c>
      <c r="E912" t="s">
        <v>45</v>
      </c>
      <c r="F912" t="s">
        <v>46</v>
      </c>
      <c r="G912" t="s">
        <v>63</v>
      </c>
      <c r="H912">
        <v>59960</v>
      </c>
      <c r="I912">
        <f>Sales_Transactions_Raw[[#This Row],[Unit_Price]]*Sales_Transactions_Raw[[#This Row],[Quantity]]</f>
        <v>299800</v>
      </c>
      <c r="J912">
        <v>5</v>
      </c>
      <c r="K912">
        <v>15</v>
      </c>
      <c r="L912">
        <v>44970</v>
      </c>
      <c r="M912">
        <v>254830</v>
      </c>
      <c r="N912">
        <v>18</v>
      </c>
      <c r="O912">
        <v>45869.4</v>
      </c>
      <c r="P912">
        <v>0</v>
      </c>
      <c r="Q912">
        <v>300699.40000000002</v>
      </c>
      <c r="R912" t="s">
        <v>106</v>
      </c>
      <c r="S912" t="s">
        <v>125</v>
      </c>
      <c r="T912" t="s">
        <v>115</v>
      </c>
      <c r="U912" t="s">
        <v>50</v>
      </c>
      <c r="V912" t="s">
        <v>287</v>
      </c>
      <c r="W912" t="s">
        <v>95</v>
      </c>
      <c r="X912" t="s">
        <v>381</v>
      </c>
      <c r="Y912" t="s">
        <v>199</v>
      </c>
      <c r="Z912" t="s">
        <v>52</v>
      </c>
      <c r="AA912" t="s">
        <v>3069</v>
      </c>
      <c r="AB912" t="s">
        <v>3335</v>
      </c>
      <c r="AC912">
        <v>5</v>
      </c>
      <c r="AD912" t="s">
        <v>56</v>
      </c>
      <c r="AE912" t="s">
        <v>3336</v>
      </c>
      <c r="AF912" t="s">
        <v>140</v>
      </c>
      <c r="AG912" t="s">
        <v>58</v>
      </c>
      <c r="AH912" s="1">
        <v>45037</v>
      </c>
      <c r="AI912" s="1">
        <v>45043</v>
      </c>
      <c r="AJ912" s="1">
        <v>45051</v>
      </c>
      <c r="AK912" t="s">
        <v>3717</v>
      </c>
      <c r="AL912" t="s">
        <v>3068</v>
      </c>
    </row>
    <row r="913" spans="1:38" x14ac:dyDescent="0.35">
      <c r="A913" t="s">
        <v>3070</v>
      </c>
      <c r="B913" t="s">
        <v>960</v>
      </c>
      <c r="C913" t="s">
        <v>43</v>
      </c>
      <c r="D913" t="s">
        <v>183</v>
      </c>
      <c r="E913" t="s">
        <v>184</v>
      </c>
      <c r="F913" t="s">
        <v>185</v>
      </c>
      <c r="G913" t="s">
        <v>186</v>
      </c>
      <c r="H913">
        <v>110</v>
      </c>
      <c r="I913">
        <f>Sales_Transactions_Raw[[#This Row],[Unit_Price]]*Sales_Transactions_Raw[[#This Row],[Quantity]]</f>
        <v>110</v>
      </c>
      <c r="J913">
        <v>1</v>
      </c>
      <c r="K913">
        <v>25</v>
      </c>
      <c r="L913">
        <v>27.5</v>
      </c>
      <c r="M913">
        <v>82.5</v>
      </c>
      <c r="N913">
        <v>5</v>
      </c>
      <c r="O913">
        <v>4.12</v>
      </c>
      <c r="P913">
        <v>49</v>
      </c>
      <c r="Q913">
        <v>86.62</v>
      </c>
      <c r="R913" t="s">
        <v>64</v>
      </c>
      <c r="S913" t="s">
        <v>93</v>
      </c>
      <c r="T913" t="s">
        <v>115</v>
      </c>
      <c r="U913" t="s">
        <v>196</v>
      </c>
      <c r="V913" t="s">
        <v>67</v>
      </c>
      <c r="W913" t="s">
        <v>68</v>
      </c>
      <c r="X913" t="s">
        <v>168</v>
      </c>
      <c r="Y913" t="s">
        <v>169</v>
      </c>
      <c r="Z913" t="s">
        <v>95</v>
      </c>
      <c r="AA913" t="s">
        <v>3072</v>
      </c>
      <c r="AB913" t="s">
        <v>3339</v>
      </c>
      <c r="AC913">
        <v>4</v>
      </c>
      <c r="AD913" t="s">
        <v>56</v>
      </c>
      <c r="AE913" t="s">
        <v>3336</v>
      </c>
      <c r="AF913" t="s">
        <v>57</v>
      </c>
      <c r="AG913" t="s">
        <v>58</v>
      </c>
      <c r="AH913" s="1">
        <v>45109</v>
      </c>
      <c r="AI913" s="1">
        <v>44970</v>
      </c>
      <c r="AJ913" s="1">
        <v>44972</v>
      </c>
      <c r="AK913" t="s">
        <v>3676</v>
      </c>
      <c r="AL913" t="s">
        <v>3071</v>
      </c>
    </row>
    <row r="914" spans="1:38" x14ac:dyDescent="0.35">
      <c r="A914" t="s">
        <v>3073</v>
      </c>
      <c r="B914" t="s">
        <v>3074</v>
      </c>
      <c r="C914" t="s">
        <v>89</v>
      </c>
      <c r="D914" t="s">
        <v>367</v>
      </c>
      <c r="E914" t="s">
        <v>368</v>
      </c>
      <c r="F914" t="s">
        <v>46</v>
      </c>
      <c r="G914" t="s">
        <v>369</v>
      </c>
      <c r="H914">
        <v>26210</v>
      </c>
      <c r="I914">
        <f>Sales_Transactions_Raw[[#This Row],[Unit_Price]]*Sales_Transactions_Raw[[#This Row],[Quantity]]</f>
        <v>26210</v>
      </c>
      <c r="J914">
        <v>1</v>
      </c>
      <c r="K914">
        <v>5</v>
      </c>
      <c r="L914">
        <v>1310.5</v>
      </c>
      <c r="M914">
        <v>24899.5</v>
      </c>
      <c r="N914">
        <v>18</v>
      </c>
      <c r="O914">
        <v>4481.91</v>
      </c>
      <c r="P914">
        <v>0</v>
      </c>
      <c r="Q914">
        <v>29381.41</v>
      </c>
      <c r="R914" t="s">
        <v>64</v>
      </c>
      <c r="S914" t="s">
        <v>93</v>
      </c>
      <c r="T914" t="s">
        <v>115</v>
      </c>
      <c r="U914" t="s">
        <v>196</v>
      </c>
      <c r="V914" t="s">
        <v>80</v>
      </c>
      <c r="W914" t="s">
        <v>81</v>
      </c>
      <c r="X914" t="s">
        <v>126</v>
      </c>
      <c r="Y914" t="s">
        <v>127</v>
      </c>
      <c r="Z914" t="s">
        <v>68</v>
      </c>
      <c r="AA914" t="s">
        <v>3076</v>
      </c>
      <c r="AB914" t="s">
        <v>3341</v>
      </c>
      <c r="AC914">
        <v>3</v>
      </c>
      <c r="AD914" t="s">
        <v>56</v>
      </c>
      <c r="AE914" t="s">
        <v>3336</v>
      </c>
      <c r="AF914" t="s">
        <v>140</v>
      </c>
      <c r="AG914" t="s">
        <v>58</v>
      </c>
      <c r="AH914" s="1">
        <v>45222</v>
      </c>
      <c r="AI914" s="1">
        <v>45225</v>
      </c>
      <c r="AJ914" s="1">
        <v>45232</v>
      </c>
      <c r="AK914" t="s">
        <v>3353</v>
      </c>
      <c r="AL914" t="s">
        <v>3075</v>
      </c>
    </row>
    <row r="915" spans="1:38" x14ac:dyDescent="0.35">
      <c r="A915" t="s">
        <v>3077</v>
      </c>
      <c r="B915" t="s">
        <v>130</v>
      </c>
      <c r="C915" t="s">
        <v>43</v>
      </c>
      <c r="D915" t="s">
        <v>221</v>
      </c>
      <c r="E915" t="s">
        <v>222</v>
      </c>
      <c r="F915" t="s">
        <v>146</v>
      </c>
      <c r="G915" t="s">
        <v>223</v>
      </c>
      <c r="H915">
        <v>2900</v>
      </c>
      <c r="I915">
        <f>Sales_Transactions_Raw[[#This Row],[Unit_Price]]*Sales_Transactions_Raw[[#This Row],[Quantity]]</f>
        <v>2900</v>
      </c>
      <c r="J915">
        <v>1</v>
      </c>
      <c r="K915">
        <v>20</v>
      </c>
      <c r="L915">
        <v>580</v>
      </c>
      <c r="M915">
        <v>2320</v>
      </c>
      <c r="N915">
        <v>12</v>
      </c>
      <c r="O915">
        <v>278.39999999999998</v>
      </c>
      <c r="P915">
        <v>99</v>
      </c>
      <c r="Q915">
        <v>2598.4</v>
      </c>
      <c r="R915" t="s">
        <v>64</v>
      </c>
      <c r="S915" t="s">
        <v>49</v>
      </c>
      <c r="T915" t="s">
        <v>66</v>
      </c>
      <c r="U915" t="s">
        <v>196</v>
      </c>
      <c r="V915" t="s">
        <v>224</v>
      </c>
      <c r="W915" t="s">
        <v>95</v>
      </c>
      <c r="X915" t="s">
        <v>198</v>
      </c>
      <c r="Y915" t="s">
        <v>199</v>
      </c>
      <c r="Z915" t="s">
        <v>52</v>
      </c>
      <c r="AA915" t="s">
        <v>3079</v>
      </c>
      <c r="AB915" t="s">
        <v>3340</v>
      </c>
      <c r="AC915">
        <v>4</v>
      </c>
      <c r="AD915" t="s">
        <v>56</v>
      </c>
      <c r="AE915" t="s">
        <v>3336</v>
      </c>
      <c r="AF915" t="s">
        <v>99</v>
      </c>
      <c r="AG915" t="s">
        <v>3337</v>
      </c>
      <c r="AH915" s="1">
        <v>45434</v>
      </c>
      <c r="AI915" s="1">
        <v>45435</v>
      </c>
      <c r="AJ915" s="1">
        <v>45439</v>
      </c>
      <c r="AK915" t="s">
        <v>3705</v>
      </c>
      <c r="AL915" t="s">
        <v>3078</v>
      </c>
    </row>
    <row r="916" spans="1:38" x14ac:dyDescent="0.35">
      <c r="A916" t="s">
        <v>3080</v>
      </c>
      <c r="B916" t="s">
        <v>3081</v>
      </c>
      <c r="C916" t="s">
        <v>157</v>
      </c>
      <c r="D916" t="s">
        <v>193</v>
      </c>
      <c r="E916" t="s">
        <v>194</v>
      </c>
      <c r="F916" t="s">
        <v>146</v>
      </c>
      <c r="G916" t="s">
        <v>195</v>
      </c>
      <c r="H916">
        <v>29347.846790890268</v>
      </c>
      <c r="I916">
        <f>Sales_Transactions_Raw[[#This Row],[Unit_Price]]*Sales_Transactions_Raw[[#This Row],[Quantity]]</f>
        <v>440217.70186335401</v>
      </c>
      <c r="J916">
        <v>15</v>
      </c>
      <c r="K916">
        <v>0</v>
      </c>
      <c r="L916">
        <v>0</v>
      </c>
      <c r="M916">
        <v>49200</v>
      </c>
      <c r="N916">
        <v>12</v>
      </c>
      <c r="O916">
        <v>5904</v>
      </c>
      <c r="P916">
        <v>0</v>
      </c>
      <c r="Q916">
        <v>55104</v>
      </c>
      <c r="R916" t="s">
        <v>92</v>
      </c>
      <c r="S916" t="s">
        <v>93</v>
      </c>
      <c r="T916" t="s">
        <v>115</v>
      </c>
      <c r="U916" t="s">
        <v>214</v>
      </c>
      <c r="V916" t="s">
        <v>197</v>
      </c>
      <c r="W916" t="s">
        <v>696</v>
      </c>
      <c r="X916" t="s">
        <v>237</v>
      </c>
      <c r="Y916" t="s">
        <v>138</v>
      </c>
      <c r="Z916" t="s">
        <v>81</v>
      </c>
      <c r="AA916" t="s">
        <v>3083</v>
      </c>
      <c r="AB916" t="s">
        <v>3335</v>
      </c>
      <c r="AC916">
        <v>3</v>
      </c>
      <c r="AD916" t="s">
        <v>56</v>
      </c>
      <c r="AE916" t="s">
        <v>3336</v>
      </c>
      <c r="AF916" t="s">
        <v>326</v>
      </c>
      <c r="AG916" t="s">
        <v>58</v>
      </c>
      <c r="AH916" s="1">
        <v>45310</v>
      </c>
      <c r="AI916" s="1">
        <v>45314</v>
      </c>
      <c r="AJ916" s="1">
        <v>45324</v>
      </c>
      <c r="AK916" t="s">
        <v>3480</v>
      </c>
      <c r="AL916" t="s">
        <v>3082</v>
      </c>
    </row>
    <row r="917" spans="1:38" x14ac:dyDescent="0.35">
      <c r="A917" t="s">
        <v>3084</v>
      </c>
      <c r="B917" t="s">
        <v>944</v>
      </c>
      <c r="C917" t="s">
        <v>43</v>
      </c>
      <c r="D917" t="s">
        <v>504</v>
      </c>
      <c r="E917" t="s">
        <v>91</v>
      </c>
      <c r="F917" t="s">
        <v>134</v>
      </c>
      <c r="G917" t="s">
        <v>330</v>
      </c>
      <c r="H917">
        <v>27580</v>
      </c>
      <c r="I917">
        <f>Sales_Transactions_Raw[[#This Row],[Unit_Price]]*Sales_Transactions_Raw[[#This Row],[Quantity]]</f>
        <v>137900</v>
      </c>
      <c r="J917">
        <v>5</v>
      </c>
      <c r="K917">
        <v>15</v>
      </c>
      <c r="L917">
        <v>20685</v>
      </c>
      <c r="M917">
        <v>117215</v>
      </c>
      <c r="N917">
        <v>5</v>
      </c>
      <c r="O917">
        <v>5860.75</v>
      </c>
      <c r="P917">
        <v>0</v>
      </c>
      <c r="Q917">
        <v>123075.75</v>
      </c>
      <c r="R917" t="s">
        <v>92</v>
      </c>
      <c r="S917" t="s">
        <v>107</v>
      </c>
      <c r="T917" t="s">
        <v>66</v>
      </c>
      <c r="U917" t="s">
        <v>161</v>
      </c>
      <c r="V917" t="s">
        <v>224</v>
      </c>
      <c r="W917" t="s">
        <v>95</v>
      </c>
      <c r="X917" t="s">
        <v>397</v>
      </c>
      <c r="Y917" t="s">
        <v>226</v>
      </c>
      <c r="Z917" t="s">
        <v>95</v>
      </c>
      <c r="AA917" t="s">
        <v>3086</v>
      </c>
      <c r="AB917" t="s">
        <v>3335</v>
      </c>
      <c r="AC917">
        <v>4</v>
      </c>
      <c r="AD917" t="s">
        <v>56</v>
      </c>
      <c r="AE917" t="s">
        <v>3336</v>
      </c>
      <c r="AF917" t="s">
        <v>72</v>
      </c>
      <c r="AG917" t="s">
        <v>3337</v>
      </c>
      <c r="AH917" s="1">
        <v>45328</v>
      </c>
      <c r="AI917" s="1">
        <v>45331</v>
      </c>
      <c r="AJ917" s="1">
        <v>45338</v>
      </c>
      <c r="AK917" t="s">
        <v>3490</v>
      </c>
      <c r="AL917" t="s">
        <v>3085</v>
      </c>
    </row>
    <row r="918" spans="1:38" x14ac:dyDescent="0.35">
      <c r="A918" t="s">
        <v>3087</v>
      </c>
      <c r="B918" t="s">
        <v>191</v>
      </c>
      <c r="C918" t="s">
        <v>43</v>
      </c>
      <c r="D918" t="s">
        <v>266</v>
      </c>
      <c r="E918" t="s">
        <v>267</v>
      </c>
      <c r="F918" t="s">
        <v>211</v>
      </c>
      <c r="G918" t="s">
        <v>268</v>
      </c>
      <c r="H918">
        <v>53220</v>
      </c>
      <c r="I918">
        <f>Sales_Transactions_Raw[[#This Row],[Unit_Price]]*Sales_Transactions_Raw[[#This Row],[Quantity]]</f>
        <v>425760</v>
      </c>
      <c r="J918">
        <v>8</v>
      </c>
      <c r="K918">
        <v>0</v>
      </c>
      <c r="L918">
        <v>0</v>
      </c>
      <c r="M918">
        <v>425760</v>
      </c>
      <c r="N918">
        <v>5</v>
      </c>
      <c r="O918">
        <v>21288</v>
      </c>
      <c r="P918">
        <v>0</v>
      </c>
      <c r="Q918">
        <v>447048</v>
      </c>
      <c r="R918" t="s">
        <v>48</v>
      </c>
      <c r="S918" t="s">
        <v>49</v>
      </c>
      <c r="T918" t="s">
        <v>66</v>
      </c>
      <c r="U918" t="s">
        <v>196</v>
      </c>
      <c r="V918" t="s">
        <v>116</v>
      </c>
      <c r="W918" t="s">
        <v>70</v>
      </c>
      <c r="X918" t="s">
        <v>277</v>
      </c>
      <c r="Y918" t="s">
        <v>127</v>
      </c>
      <c r="Z918" t="s">
        <v>68</v>
      </c>
      <c r="AA918" t="s">
        <v>3089</v>
      </c>
      <c r="AB918" t="s">
        <v>3341</v>
      </c>
      <c r="AC918">
        <v>4</v>
      </c>
      <c r="AD918" t="s">
        <v>56</v>
      </c>
      <c r="AE918" t="s">
        <v>3336</v>
      </c>
      <c r="AF918" t="s">
        <v>57</v>
      </c>
      <c r="AG918" t="s">
        <v>3342</v>
      </c>
      <c r="AH918" s="1">
        <v>45203</v>
      </c>
      <c r="AI918" s="1">
        <v>45204</v>
      </c>
      <c r="AJ918" s="1">
        <v>45338</v>
      </c>
      <c r="AK918" t="s">
        <v>3718</v>
      </c>
      <c r="AL918" t="s">
        <v>3088</v>
      </c>
    </row>
    <row r="919" spans="1:38" x14ac:dyDescent="0.35">
      <c r="A919" t="s">
        <v>3090</v>
      </c>
      <c r="B919" t="s">
        <v>748</v>
      </c>
      <c r="C919" t="s">
        <v>89</v>
      </c>
      <c r="D919" t="s">
        <v>283</v>
      </c>
      <c r="E919" t="s">
        <v>284</v>
      </c>
      <c r="F919" t="s">
        <v>285</v>
      </c>
      <c r="G919" t="s">
        <v>286</v>
      </c>
      <c r="H919">
        <v>430</v>
      </c>
      <c r="I919">
        <f>Sales_Transactions_Raw[[#This Row],[Unit_Price]]*Sales_Transactions_Raw[[#This Row],[Quantity]]</f>
        <v>430</v>
      </c>
      <c r="J919">
        <v>1</v>
      </c>
      <c r="K919">
        <v>10</v>
      </c>
      <c r="L919">
        <v>43</v>
      </c>
      <c r="M919">
        <v>387</v>
      </c>
      <c r="N919">
        <v>5</v>
      </c>
      <c r="O919">
        <v>19.350000000000001</v>
      </c>
      <c r="P919">
        <v>49</v>
      </c>
      <c r="Q919">
        <v>406.35</v>
      </c>
      <c r="R919" t="s">
        <v>79</v>
      </c>
      <c r="S919" t="s">
        <v>107</v>
      </c>
      <c r="T919" t="s">
        <v>66</v>
      </c>
      <c r="U919" t="s">
        <v>108</v>
      </c>
      <c r="V919" t="s">
        <v>67</v>
      </c>
      <c r="W919" t="s">
        <v>68</v>
      </c>
      <c r="X919" t="s">
        <v>626</v>
      </c>
      <c r="Y919" t="s">
        <v>289</v>
      </c>
      <c r="Z919" t="s">
        <v>52</v>
      </c>
      <c r="AA919" t="s">
        <v>3092</v>
      </c>
      <c r="AB919" t="s">
        <v>3335</v>
      </c>
      <c r="AC919">
        <v>4</v>
      </c>
      <c r="AD919" t="s">
        <v>56</v>
      </c>
      <c r="AE919" t="s">
        <v>3336</v>
      </c>
      <c r="AF919" t="s">
        <v>279</v>
      </c>
      <c r="AG919" t="s">
        <v>58</v>
      </c>
      <c r="AH919" s="1">
        <v>45392</v>
      </c>
      <c r="AI919" s="1">
        <v>45396</v>
      </c>
      <c r="AJ919" s="1">
        <v>45403</v>
      </c>
      <c r="AK919" t="s">
        <v>3719</v>
      </c>
      <c r="AL919" t="s">
        <v>3091</v>
      </c>
    </row>
    <row r="920" spans="1:38" x14ac:dyDescent="0.35">
      <c r="A920" t="s">
        <v>3093</v>
      </c>
      <c r="B920" t="s">
        <v>581</v>
      </c>
      <c r="C920" t="s">
        <v>89</v>
      </c>
      <c r="D920" t="s">
        <v>62</v>
      </c>
      <c r="E920" t="s">
        <v>45</v>
      </c>
      <c r="F920" t="s">
        <v>46</v>
      </c>
      <c r="G920" t="s">
        <v>63</v>
      </c>
      <c r="H920">
        <v>57320</v>
      </c>
      <c r="I920">
        <f>Sales_Transactions_Raw[[#This Row],[Unit_Price]]*Sales_Transactions_Raw[[#This Row],[Quantity]]</f>
        <v>171960</v>
      </c>
      <c r="J920">
        <v>3</v>
      </c>
      <c r="K920">
        <v>0</v>
      </c>
      <c r="L920">
        <v>0</v>
      </c>
      <c r="M920">
        <v>171960</v>
      </c>
      <c r="N920">
        <v>18</v>
      </c>
      <c r="O920">
        <v>30952.799999999999</v>
      </c>
      <c r="P920">
        <v>0</v>
      </c>
      <c r="Q920">
        <v>202912.8</v>
      </c>
      <c r="R920" t="s">
        <v>106</v>
      </c>
      <c r="S920" t="s">
        <v>107</v>
      </c>
      <c r="T920" t="s">
        <v>66</v>
      </c>
      <c r="U920" t="s">
        <v>196</v>
      </c>
      <c r="V920" t="s">
        <v>94</v>
      </c>
      <c r="W920" t="s">
        <v>95</v>
      </c>
      <c r="X920" t="s">
        <v>162</v>
      </c>
      <c r="Y920" t="s">
        <v>109</v>
      </c>
      <c r="Z920" t="s">
        <v>70</v>
      </c>
      <c r="AA920" t="s">
        <v>3095</v>
      </c>
      <c r="AB920" t="s">
        <v>3339</v>
      </c>
      <c r="AC920">
        <v>5</v>
      </c>
      <c r="AD920" t="s">
        <v>56</v>
      </c>
      <c r="AE920" t="s">
        <v>3336</v>
      </c>
      <c r="AF920" t="s">
        <v>84</v>
      </c>
      <c r="AG920" t="s">
        <v>85</v>
      </c>
      <c r="AH920" s="1">
        <v>45260</v>
      </c>
      <c r="AI920" s="1">
        <v>45262</v>
      </c>
      <c r="AJ920" s="1">
        <v>45266</v>
      </c>
      <c r="AK920" t="s">
        <v>3637</v>
      </c>
      <c r="AL920" t="s">
        <v>3094</v>
      </c>
    </row>
    <row r="921" spans="1:38" x14ac:dyDescent="0.35">
      <c r="A921" t="s">
        <v>3096</v>
      </c>
      <c r="B921" t="s">
        <v>142</v>
      </c>
      <c r="C921" t="s">
        <v>43</v>
      </c>
      <c r="D921" t="s">
        <v>323</v>
      </c>
      <c r="E921" t="s">
        <v>324</v>
      </c>
      <c r="F921" t="s">
        <v>146</v>
      </c>
      <c r="G921" t="s">
        <v>296</v>
      </c>
      <c r="H921">
        <v>11190</v>
      </c>
      <c r="I921">
        <f>Sales_Transactions_Raw[[#This Row],[Unit_Price]]*Sales_Transactions_Raw[[#This Row],[Quantity]]</f>
        <v>55950</v>
      </c>
      <c r="J921">
        <v>5</v>
      </c>
      <c r="K921">
        <v>5</v>
      </c>
      <c r="L921">
        <v>2797.5</v>
      </c>
      <c r="M921">
        <v>53152.5</v>
      </c>
      <c r="N921">
        <v>12</v>
      </c>
      <c r="O921">
        <v>6378.3</v>
      </c>
      <c r="P921">
        <v>0</v>
      </c>
      <c r="Q921">
        <v>59530.8</v>
      </c>
      <c r="R921" t="s">
        <v>160</v>
      </c>
      <c r="S921" t="s">
        <v>125</v>
      </c>
      <c r="T921" t="s">
        <v>136</v>
      </c>
      <c r="U921" t="s">
        <v>196</v>
      </c>
      <c r="V921" t="s">
        <v>224</v>
      </c>
      <c r="W921" t="s">
        <v>95</v>
      </c>
      <c r="X921" t="s">
        <v>922</v>
      </c>
      <c r="Y921" t="s">
        <v>199</v>
      </c>
      <c r="Z921" t="s">
        <v>52</v>
      </c>
      <c r="AA921" t="s">
        <v>3098</v>
      </c>
      <c r="AB921" t="s">
        <v>3335</v>
      </c>
      <c r="AC921">
        <v>4</v>
      </c>
      <c r="AD921" t="s">
        <v>56</v>
      </c>
      <c r="AE921" t="s">
        <v>3336</v>
      </c>
      <c r="AF921" t="s">
        <v>227</v>
      </c>
      <c r="AG921" t="s">
        <v>111</v>
      </c>
      <c r="AH921" s="1">
        <v>45300</v>
      </c>
      <c r="AI921" s="1">
        <v>45307</v>
      </c>
      <c r="AJ921" s="1">
        <v>45310</v>
      </c>
      <c r="AK921" t="s">
        <v>3353</v>
      </c>
      <c r="AL921" t="s">
        <v>3097</v>
      </c>
    </row>
    <row r="922" spans="1:38" x14ac:dyDescent="0.35">
      <c r="A922" t="s">
        <v>3099</v>
      </c>
      <c r="B922" t="s">
        <v>1078</v>
      </c>
      <c r="C922" t="s">
        <v>43</v>
      </c>
      <c r="D922" t="s">
        <v>402</v>
      </c>
      <c r="E922" t="s">
        <v>403</v>
      </c>
      <c r="F922" t="s">
        <v>146</v>
      </c>
      <c r="G922" t="s">
        <v>223</v>
      </c>
      <c r="H922">
        <v>1880</v>
      </c>
      <c r="I922">
        <f>Sales_Transactions_Raw[[#This Row],[Unit_Price]]*Sales_Transactions_Raw[[#This Row],[Quantity]]</f>
        <v>3760</v>
      </c>
      <c r="J922">
        <v>2</v>
      </c>
      <c r="K922">
        <v>10</v>
      </c>
      <c r="L922">
        <v>376</v>
      </c>
      <c r="M922">
        <v>3384</v>
      </c>
      <c r="N922">
        <v>12</v>
      </c>
      <c r="O922">
        <v>406.08</v>
      </c>
      <c r="P922">
        <v>99</v>
      </c>
      <c r="Q922">
        <v>3790.08</v>
      </c>
      <c r="R922" t="s">
        <v>79</v>
      </c>
      <c r="S922" t="s">
        <v>65</v>
      </c>
      <c r="T922" t="s">
        <v>213</v>
      </c>
      <c r="U922" t="s">
        <v>108</v>
      </c>
      <c r="V922" t="s">
        <v>224</v>
      </c>
      <c r="W922" t="s">
        <v>696</v>
      </c>
      <c r="X922" t="s">
        <v>260</v>
      </c>
      <c r="Y922" t="s">
        <v>118</v>
      </c>
      <c r="Z922" t="s">
        <v>70</v>
      </c>
      <c r="AA922" t="s">
        <v>3101</v>
      </c>
      <c r="AB922" t="s">
        <v>3344</v>
      </c>
      <c r="AC922">
        <v>3</v>
      </c>
      <c r="AD922" t="s">
        <v>179</v>
      </c>
      <c r="AE922" t="s">
        <v>3336</v>
      </c>
      <c r="AF922" t="s">
        <v>99</v>
      </c>
      <c r="AG922" t="s">
        <v>58</v>
      </c>
      <c r="AH922" s="1">
        <v>45069</v>
      </c>
      <c r="AI922" s="1">
        <v>45073</v>
      </c>
      <c r="AJ922" s="1">
        <v>45075</v>
      </c>
      <c r="AK922" t="s">
        <v>3570</v>
      </c>
      <c r="AL922" t="s">
        <v>3100</v>
      </c>
    </row>
    <row r="923" spans="1:38" x14ac:dyDescent="0.35">
      <c r="A923" t="s">
        <v>3102</v>
      </c>
      <c r="B923" t="s">
        <v>1000</v>
      </c>
      <c r="C923" t="s">
        <v>43</v>
      </c>
      <c r="D923" t="s">
        <v>867</v>
      </c>
      <c r="E923" t="s">
        <v>868</v>
      </c>
      <c r="F923" t="s">
        <v>285</v>
      </c>
      <c r="G923" t="s">
        <v>869</v>
      </c>
      <c r="H923">
        <v>170</v>
      </c>
      <c r="I923">
        <f>Sales_Transactions_Raw[[#This Row],[Unit_Price]]*Sales_Transactions_Raw[[#This Row],[Quantity]]</f>
        <v>680</v>
      </c>
      <c r="J923">
        <v>4</v>
      </c>
      <c r="K923">
        <v>0</v>
      </c>
      <c r="L923">
        <v>0</v>
      </c>
      <c r="M923">
        <v>680</v>
      </c>
      <c r="N923">
        <v>5</v>
      </c>
      <c r="O923">
        <v>34</v>
      </c>
      <c r="P923">
        <v>49</v>
      </c>
      <c r="Q923">
        <v>714</v>
      </c>
      <c r="R923" t="s">
        <v>106</v>
      </c>
      <c r="S923" t="s">
        <v>93</v>
      </c>
      <c r="T923" t="s">
        <v>115</v>
      </c>
      <c r="U923" t="s">
        <v>50</v>
      </c>
      <c r="V923" t="s">
        <v>269</v>
      </c>
      <c r="W923" t="s">
        <v>70</v>
      </c>
      <c r="X923" t="s">
        <v>578</v>
      </c>
      <c r="Y923" t="s">
        <v>54</v>
      </c>
      <c r="Z923" t="s">
        <v>70</v>
      </c>
      <c r="AA923" t="s">
        <v>3104</v>
      </c>
      <c r="AB923" t="s">
        <v>3341</v>
      </c>
      <c r="AC923">
        <v>4</v>
      </c>
      <c r="AD923" t="s">
        <v>56</v>
      </c>
      <c r="AE923" t="s">
        <v>3336</v>
      </c>
      <c r="AF923" t="s">
        <v>57</v>
      </c>
      <c r="AG923" t="s">
        <v>58</v>
      </c>
      <c r="AH923" s="1">
        <v>44999</v>
      </c>
      <c r="AI923" s="1">
        <v>45002</v>
      </c>
      <c r="AJ923" s="1">
        <v>45006</v>
      </c>
      <c r="AK923" t="s">
        <v>3507</v>
      </c>
      <c r="AL923" t="s">
        <v>3103</v>
      </c>
    </row>
    <row r="924" spans="1:38" x14ac:dyDescent="0.35">
      <c r="A924" t="s">
        <v>3105</v>
      </c>
      <c r="B924" t="s">
        <v>944</v>
      </c>
      <c r="C924" t="s">
        <v>43</v>
      </c>
      <c r="D924" t="s">
        <v>303</v>
      </c>
      <c r="E924" t="s">
        <v>304</v>
      </c>
      <c r="F924" t="s">
        <v>134</v>
      </c>
      <c r="G924" t="s">
        <v>305</v>
      </c>
      <c r="H924">
        <v>36830</v>
      </c>
      <c r="I924">
        <f>Sales_Transactions_Raw[[#This Row],[Unit_Price]]*Sales_Transactions_Raw[[#This Row],[Quantity]]</f>
        <v>110490</v>
      </c>
      <c r="J924">
        <v>3</v>
      </c>
      <c r="K924">
        <v>10</v>
      </c>
      <c r="L924">
        <v>11049</v>
      </c>
      <c r="M924">
        <v>99441</v>
      </c>
      <c r="N924">
        <v>5</v>
      </c>
      <c r="O924">
        <v>4972.05</v>
      </c>
      <c r="P924">
        <v>0</v>
      </c>
      <c r="Q924">
        <v>104413.05</v>
      </c>
      <c r="R924" t="s">
        <v>92</v>
      </c>
      <c r="S924" t="s">
        <v>125</v>
      </c>
      <c r="T924" t="s">
        <v>115</v>
      </c>
      <c r="U924" t="s">
        <v>50</v>
      </c>
      <c r="V924" t="s">
        <v>242</v>
      </c>
      <c r="W924" t="s">
        <v>696</v>
      </c>
      <c r="X924" t="s">
        <v>357</v>
      </c>
      <c r="Y924" t="s">
        <v>358</v>
      </c>
      <c r="Z924" t="s">
        <v>95</v>
      </c>
      <c r="AA924" t="s">
        <v>3107</v>
      </c>
      <c r="AB924" t="s">
        <v>3340</v>
      </c>
      <c r="AC924">
        <v>5</v>
      </c>
      <c r="AD924" t="s">
        <v>56</v>
      </c>
      <c r="AE924" t="s">
        <v>3336</v>
      </c>
      <c r="AF924" t="s">
        <v>57</v>
      </c>
      <c r="AG924" t="s">
        <v>3337</v>
      </c>
      <c r="AH924" s="1">
        <v>45231</v>
      </c>
      <c r="AI924" s="1">
        <v>45233</v>
      </c>
      <c r="AJ924" s="1">
        <v>45236</v>
      </c>
      <c r="AK924" t="s">
        <v>3490</v>
      </c>
      <c r="AL924" t="s">
        <v>3106</v>
      </c>
    </row>
    <row r="925" spans="1:38" x14ac:dyDescent="0.35">
      <c r="A925" t="s">
        <v>3108</v>
      </c>
      <c r="B925" t="s">
        <v>513</v>
      </c>
      <c r="C925" t="s">
        <v>43</v>
      </c>
      <c r="D925" t="s">
        <v>323</v>
      </c>
      <c r="E925" t="s">
        <v>324</v>
      </c>
      <c r="F925" t="s">
        <v>146</v>
      </c>
      <c r="G925" t="s">
        <v>296</v>
      </c>
      <c r="H925">
        <v>11760</v>
      </c>
      <c r="I925">
        <f>Sales_Transactions_Raw[[#This Row],[Unit_Price]]*Sales_Transactions_Raw[[#This Row],[Quantity]]</f>
        <v>11760</v>
      </c>
      <c r="J925">
        <v>1</v>
      </c>
      <c r="K925">
        <v>5</v>
      </c>
      <c r="L925">
        <v>588</v>
      </c>
      <c r="M925">
        <v>11172</v>
      </c>
      <c r="N925">
        <v>12</v>
      </c>
      <c r="O925">
        <v>1340.64</v>
      </c>
      <c r="P925">
        <v>0</v>
      </c>
      <c r="Q925">
        <v>12512.64</v>
      </c>
      <c r="R925" t="s">
        <v>92</v>
      </c>
      <c r="S925" t="s">
        <v>65</v>
      </c>
      <c r="T925" t="s">
        <v>115</v>
      </c>
      <c r="U925" t="s">
        <v>196</v>
      </c>
      <c r="V925" t="s">
        <v>224</v>
      </c>
      <c r="W925" t="s">
        <v>95</v>
      </c>
      <c r="X925" t="s">
        <v>437</v>
      </c>
      <c r="Y925" t="s">
        <v>319</v>
      </c>
      <c r="Z925" t="s">
        <v>95</v>
      </c>
      <c r="AA925" t="s">
        <v>3110</v>
      </c>
      <c r="AB925" t="s">
        <v>3343</v>
      </c>
      <c r="AC925">
        <v>5</v>
      </c>
      <c r="AD925" t="s">
        <v>56</v>
      </c>
      <c r="AE925" t="s">
        <v>3336</v>
      </c>
      <c r="AF925" t="s">
        <v>57</v>
      </c>
      <c r="AG925" t="s">
        <v>58</v>
      </c>
      <c r="AH925" s="1">
        <v>45045</v>
      </c>
      <c r="AI925" s="1">
        <v>45048</v>
      </c>
      <c r="AJ925" s="1">
        <v>45051</v>
      </c>
      <c r="AK925" t="s">
        <v>3404</v>
      </c>
      <c r="AL925" t="s">
        <v>3109</v>
      </c>
    </row>
    <row r="926" spans="1:38" x14ac:dyDescent="0.35">
      <c r="A926" t="s">
        <v>3111</v>
      </c>
      <c r="B926" t="s">
        <v>687</v>
      </c>
      <c r="C926" t="s">
        <v>89</v>
      </c>
      <c r="D926" t="s">
        <v>144</v>
      </c>
      <c r="E926" t="s">
        <v>145</v>
      </c>
      <c r="F926" t="s">
        <v>146</v>
      </c>
      <c r="G926" t="s">
        <v>147</v>
      </c>
      <c r="H926">
        <v>2510</v>
      </c>
      <c r="I926">
        <f>Sales_Transactions_Raw[[#This Row],[Unit_Price]]*Sales_Transactions_Raw[[#This Row],[Quantity]]</f>
        <v>2510</v>
      </c>
      <c r="J926">
        <v>1</v>
      </c>
      <c r="K926">
        <v>15</v>
      </c>
      <c r="L926">
        <v>376.5</v>
      </c>
      <c r="M926">
        <v>2133.5</v>
      </c>
      <c r="N926">
        <v>12</v>
      </c>
      <c r="O926">
        <v>256.02</v>
      </c>
      <c r="P926">
        <v>49</v>
      </c>
      <c r="Q926">
        <v>2389.52</v>
      </c>
      <c r="R926" t="s">
        <v>124</v>
      </c>
      <c r="S926" t="s">
        <v>107</v>
      </c>
      <c r="T926" t="s">
        <v>66</v>
      </c>
      <c r="U926" t="s">
        <v>214</v>
      </c>
      <c r="V926" t="s">
        <v>177</v>
      </c>
      <c r="W926" t="s">
        <v>81</v>
      </c>
      <c r="X926" t="s">
        <v>232</v>
      </c>
      <c r="Y926" t="s">
        <v>82</v>
      </c>
      <c r="Z926" t="s">
        <v>52</v>
      </c>
      <c r="AA926" t="s">
        <v>3113</v>
      </c>
      <c r="AB926" t="s">
        <v>3344</v>
      </c>
      <c r="AC926">
        <v>4</v>
      </c>
      <c r="AD926" t="s">
        <v>56</v>
      </c>
      <c r="AE926" t="s">
        <v>3336</v>
      </c>
      <c r="AF926" t="s">
        <v>326</v>
      </c>
      <c r="AG926" t="s">
        <v>85</v>
      </c>
      <c r="AH926" s="1">
        <v>45255</v>
      </c>
      <c r="AI926" s="1">
        <v>45262</v>
      </c>
      <c r="AJ926" s="1">
        <v>45266</v>
      </c>
      <c r="AK926" t="s">
        <v>3664</v>
      </c>
      <c r="AL926" t="s">
        <v>3112</v>
      </c>
    </row>
    <row r="927" spans="1:38" x14ac:dyDescent="0.35">
      <c r="A927" t="s">
        <v>3114</v>
      </c>
      <c r="B927" t="s">
        <v>235</v>
      </c>
      <c r="C927" t="s">
        <v>43</v>
      </c>
      <c r="D927" t="s">
        <v>329</v>
      </c>
      <c r="E927" t="s">
        <v>250</v>
      </c>
      <c r="F927" t="s">
        <v>134</v>
      </c>
      <c r="G927" t="s">
        <v>330</v>
      </c>
      <c r="H927">
        <v>29347.846790890268</v>
      </c>
      <c r="I927">
        <f>Sales_Transactions_Raw[[#This Row],[Unit_Price]]*Sales_Transactions_Raw[[#This Row],[Quantity]]</f>
        <v>88043.540372670803</v>
      </c>
      <c r="J927">
        <v>3</v>
      </c>
      <c r="K927">
        <v>10</v>
      </c>
      <c r="L927">
        <v>2174</v>
      </c>
      <c r="M927">
        <v>19566</v>
      </c>
      <c r="N927">
        <v>5</v>
      </c>
      <c r="O927">
        <v>978.3</v>
      </c>
      <c r="P927">
        <v>0</v>
      </c>
      <c r="Q927">
        <v>20544.3</v>
      </c>
      <c r="R927" t="s">
        <v>160</v>
      </c>
      <c r="S927" t="s">
        <v>93</v>
      </c>
      <c r="T927" t="s">
        <v>115</v>
      </c>
      <c r="U927" t="s">
        <v>50</v>
      </c>
      <c r="V927" t="s">
        <v>224</v>
      </c>
      <c r="W927" t="s">
        <v>95</v>
      </c>
      <c r="X927" t="s">
        <v>96</v>
      </c>
      <c r="Y927" t="s">
        <v>97</v>
      </c>
      <c r="Z927" t="s">
        <v>95</v>
      </c>
      <c r="AA927" t="s">
        <v>3116</v>
      </c>
      <c r="AB927" t="s">
        <v>3335</v>
      </c>
      <c r="AC927">
        <v>5</v>
      </c>
      <c r="AD927" t="s">
        <v>56</v>
      </c>
      <c r="AE927" t="s">
        <v>3336</v>
      </c>
      <c r="AF927" t="s">
        <v>140</v>
      </c>
      <c r="AG927" t="s">
        <v>58</v>
      </c>
      <c r="AH927" s="1">
        <v>45123</v>
      </c>
      <c r="AI927" s="1">
        <v>45126</v>
      </c>
      <c r="AJ927" s="1">
        <v>45266</v>
      </c>
      <c r="AK927" t="s">
        <v>3720</v>
      </c>
      <c r="AL927" t="s">
        <v>3115</v>
      </c>
    </row>
    <row r="928" spans="1:38" x14ac:dyDescent="0.35">
      <c r="A928" t="s">
        <v>3117</v>
      </c>
      <c r="B928" t="s">
        <v>219</v>
      </c>
      <c r="C928" t="s">
        <v>89</v>
      </c>
      <c r="D928" t="s">
        <v>274</v>
      </c>
      <c r="E928" t="s">
        <v>275</v>
      </c>
      <c r="F928" t="s">
        <v>211</v>
      </c>
      <c r="G928" t="s">
        <v>268</v>
      </c>
      <c r="H928">
        <v>14190</v>
      </c>
      <c r="I928">
        <f>Sales_Transactions_Raw[[#This Row],[Unit_Price]]*Sales_Transactions_Raw[[#This Row],[Quantity]]</f>
        <v>28380</v>
      </c>
      <c r="J928">
        <v>2</v>
      </c>
      <c r="K928">
        <v>0</v>
      </c>
      <c r="L928">
        <v>0</v>
      </c>
      <c r="M928">
        <v>28380</v>
      </c>
      <c r="N928">
        <v>5</v>
      </c>
      <c r="O928">
        <v>1419</v>
      </c>
      <c r="P928">
        <v>0</v>
      </c>
      <c r="Q928">
        <v>29799</v>
      </c>
      <c r="R928" t="s">
        <v>48</v>
      </c>
      <c r="S928" t="s">
        <v>107</v>
      </c>
      <c r="T928" t="s">
        <v>136</v>
      </c>
      <c r="U928" t="s">
        <v>196</v>
      </c>
      <c r="V928" t="s">
        <v>197</v>
      </c>
      <c r="W928" t="s">
        <v>68</v>
      </c>
      <c r="X928" t="s">
        <v>53</v>
      </c>
      <c r="Y928" t="s">
        <v>54</v>
      </c>
      <c r="Z928" t="s">
        <v>70</v>
      </c>
      <c r="AA928" t="s">
        <v>3119</v>
      </c>
      <c r="AB928" t="s">
        <v>3340</v>
      </c>
      <c r="AC928">
        <v>4</v>
      </c>
      <c r="AD928" t="s">
        <v>56</v>
      </c>
      <c r="AE928" t="s">
        <v>3336</v>
      </c>
      <c r="AF928" t="s">
        <v>326</v>
      </c>
      <c r="AG928" t="s">
        <v>58</v>
      </c>
      <c r="AH928" s="1">
        <v>45369</v>
      </c>
      <c r="AI928" s="1">
        <v>45373</v>
      </c>
      <c r="AJ928" s="1">
        <v>45376</v>
      </c>
      <c r="AK928" t="s">
        <v>3361</v>
      </c>
      <c r="AL928" t="s">
        <v>3118</v>
      </c>
    </row>
    <row r="929" spans="1:38" x14ac:dyDescent="0.35">
      <c r="A929" t="s">
        <v>3120</v>
      </c>
      <c r="B929" t="s">
        <v>379</v>
      </c>
      <c r="C929" t="s">
        <v>43</v>
      </c>
      <c r="D929" t="s">
        <v>193</v>
      </c>
      <c r="E929" t="s">
        <v>194</v>
      </c>
      <c r="F929" t="s">
        <v>146</v>
      </c>
      <c r="G929" t="s">
        <v>195</v>
      </c>
      <c r="H929">
        <v>29347.846790890268</v>
      </c>
      <c r="I929">
        <f>Sales_Transactions_Raw[[#This Row],[Unit_Price]]*Sales_Transactions_Raw[[#This Row],[Quantity]]</f>
        <v>29347.846790890268</v>
      </c>
      <c r="J929">
        <v>1</v>
      </c>
      <c r="K929">
        <v>15</v>
      </c>
      <c r="L929">
        <v>444</v>
      </c>
      <c r="M929">
        <v>2516</v>
      </c>
      <c r="N929">
        <v>12</v>
      </c>
      <c r="O929">
        <v>301.92</v>
      </c>
      <c r="P929">
        <v>49</v>
      </c>
      <c r="Q929">
        <v>2817.92</v>
      </c>
      <c r="R929" t="s">
        <v>79</v>
      </c>
      <c r="S929" t="s">
        <v>107</v>
      </c>
      <c r="T929" t="s">
        <v>66</v>
      </c>
      <c r="U929" t="s">
        <v>214</v>
      </c>
      <c r="V929" t="s">
        <v>287</v>
      </c>
      <c r="W929" t="s">
        <v>95</v>
      </c>
      <c r="X929" t="s">
        <v>225</v>
      </c>
      <c r="Y929" t="s">
        <v>226</v>
      </c>
      <c r="Z929" t="s">
        <v>95</v>
      </c>
      <c r="AA929" t="s">
        <v>3122</v>
      </c>
      <c r="AB929" t="s">
        <v>3339</v>
      </c>
      <c r="AC929">
        <v>3</v>
      </c>
      <c r="AD929" t="s">
        <v>56</v>
      </c>
      <c r="AE929" t="s">
        <v>3336</v>
      </c>
      <c r="AF929" t="s">
        <v>57</v>
      </c>
      <c r="AG929" t="s">
        <v>111</v>
      </c>
      <c r="AH929" s="1">
        <v>45275</v>
      </c>
      <c r="AI929" s="1">
        <v>45278</v>
      </c>
      <c r="AJ929" s="1">
        <v>45280</v>
      </c>
      <c r="AK929" t="s">
        <v>3382</v>
      </c>
      <c r="AL929" t="s">
        <v>3121</v>
      </c>
    </row>
    <row r="930" spans="1:38" x14ac:dyDescent="0.35">
      <c r="A930" t="s">
        <v>3123</v>
      </c>
      <c r="B930" t="s">
        <v>940</v>
      </c>
      <c r="C930" t="s">
        <v>43</v>
      </c>
      <c r="D930" t="s">
        <v>667</v>
      </c>
      <c r="E930" t="s">
        <v>668</v>
      </c>
      <c r="F930" t="s">
        <v>146</v>
      </c>
      <c r="G930" t="s">
        <v>195</v>
      </c>
      <c r="H930">
        <v>8920</v>
      </c>
      <c r="I930">
        <f>Sales_Transactions_Raw[[#This Row],[Unit_Price]]*Sales_Transactions_Raw[[#This Row],[Quantity]]</f>
        <v>8920</v>
      </c>
      <c r="J930">
        <v>1</v>
      </c>
      <c r="K930">
        <v>10</v>
      </c>
      <c r="L930">
        <v>892</v>
      </c>
      <c r="M930">
        <v>8028</v>
      </c>
      <c r="N930">
        <v>12</v>
      </c>
      <c r="O930">
        <v>963.36</v>
      </c>
      <c r="P930">
        <v>0</v>
      </c>
      <c r="Q930">
        <v>8991.36</v>
      </c>
      <c r="R930" t="s">
        <v>79</v>
      </c>
      <c r="S930" t="s">
        <v>65</v>
      </c>
      <c r="T930" t="s">
        <v>213</v>
      </c>
      <c r="U930" t="s">
        <v>161</v>
      </c>
      <c r="V930" t="s">
        <v>242</v>
      </c>
      <c r="W930" t="s">
        <v>70</v>
      </c>
      <c r="X930" t="s">
        <v>96</v>
      </c>
      <c r="Y930" t="s">
        <v>97</v>
      </c>
      <c r="Z930" t="s">
        <v>95</v>
      </c>
      <c r="AA930" t="s">
        <v>3125</v>
      </c>
      <c r="AB930" t="s">
        <v>3335</v>
      </c>
      <c r="AC930">
        <v>3</v>
      </c>
      <c r="AD930" t="s">
        <v>179</v>
      </c>
      <c r="AE930" t="s">
        <v>3336</v>
      </c>
      <c r="AF930" t="s">
        <v>140</v>
      </c>
      <c r="AG930" t="s">
        <v>85</v>
      </c>
      <c r="AH930" s="1">
        <v>44941</v>
      </c>
      <c r="AI930" s="1">
        <v>44943</v>
      </c>
      <c r="AJ930" s="1">
        <v>44947</v>
      </c>
      <c r="AK930" t="s">
        <v>3521</v>
      </c>
      <c r="AL930" t="s">
        <v>3124</v>
      </c>
    </row>
    <row r="931" spans="1:38" x14ac:dyDescent="0.35">
      <c r="A931" t="s">
        <v>3126</v>
      </c>
      <c r="B931" t="s">
        <v>1036</v>
      </c>
      <c r="C931" t="s">
        <v>43</v>
      </c>
      <c r="D931" t="s">
        <v>956</v>
      </c>
      <c r="E931" t="s">
        <v>957</v>
      </c>
      <c r="F931" t="s">
        <v>46</v>
      </c>
      <c r="G931" t="s">
        <v>147</v>
      </c>
      <c r="H931">
        <v>8280</v>
      </c>
      <c r="I931">
        <f>Sales_Transactions_Raw[[#This Row],[Unit_Price]]*Sales_Transactions_Raw[[#This Row],[Quantity]]</f>
        <v>8280</v>
      </c>
      <c r="J931">
        <v>1</v>
      </c>
      <c r="K931">
        <v>0</v>
      </c>
      <c r="L931">
        <v>0</v>
      </c>
      <c r="M931">
        <v>8280</v>
      </c>
      <c r="N931">
        <v>18</v>
      </c>
      <c r="O931">
        <v>1490.4</v>
      </c>
      <c r="P931">
        <v>0</v>
      </c>
      <c r="Q931">
        <v>9770.4</v>
      </c>
      <c r="R931" t="s">
        <v>160</v>
      </c>
      <c r="S931" t="s">
        <v>65</v>
      </c>
      <c r="T931" t="s">
        <v>115</v>
      </c>
      <c r="U931" t="s">
        <v>108</v>
      </c>
      <c r="V931" t="s">
        <v>149</v>
      </c>
      <c r="W931" t="s">
        <v>81</v>
      </c>
      <c r="X931" t="s">
        <v>411</v>
      </c>
      <c r="Y931" t="s">
        <v>151</v>
      </c>
      <c r="Z931" t="s">
        <v>81</v>
      </c>
      <c r="AA931" t="s">
        <v>3128</v>
      </c>
      <c r="AB931" t="s">
        <v>3341</v>
      </c>
      <c r="AC931">
        <v>4</v>
      </c>
      <c r="AD931" t="s">
        <v>56</v>
      </c>
      <c r="AE931" t="s">
        <v>3336</v>
      </c>
      <c r="AF931" t="s">
        <v>279</v>
      </c>
      <c r="AG931" t="s">
        <v>58</v>
      </c>
      <c r="AH931" s="1">
        <v>44941</v>
      </c>
      <c r="AI931" s="1">
        <v>44943</v>
      </c>
      <c r="AJ931" s="1">
        <v>45440</v>
      </c>
      <c r="AK931" t="s">
        <v>3602</v>
      </c>
      <c r="AL931" t="s">
        <v>3127</v>
      </c>
    </row>
    <row r="932" spans="1:38" x14ac:dyDescent="0.35">
      <c r="A932" t="s">
        <v>3129</v>
      </c>
      <c r="B932" t="s">
        <v>414</v>
      </c>
      <c r="C932" t="s">
        <v>89</v>
      </c>
      <c r="D932" t="s">
        <v>345</v>
      </c>
      <c r="E932" t="s">
        <v>346</v>
      </c>
      <c r="F932" t="s">
        <v>46</v>
      </c>
      <c r="G932" t="s">
        <v>63</v>
      </c>
      <c r="H932">
        <v>132630</v>
      </c>
      <c r="I932">
        <f>Sales_Transactions_Raw[[#This Row],[Unit_Price]]*Sales_Transactions_Raw[[#This Row],[Quantity]]</f>
        <v>530520</v>
      </c>
      <c r="J932">
        <v>4</v>
      </c>
      <c r="K932">
        <v>0</v>
      </c>
      <c r="L932">
        <v>0</v>
      </c>
      <c r="M932">
        <v>530520</v>
      </c>
      <c r="N932">
        <v>18</v>
      </c>
      <c r="O932">
        <v>95493.6</v>
      </c>
      <c r="P932">
        <v>0</v>
      </c>
      <c r="Q932">
        <v>626013.6</v>
      </c>
      <c r="R932" t="s">
        <v>92</v>
      </c>
      <c r="S932" t="s">
        <v>125</v>
      </c>
      <c r="T932" t="s">
        <v>115</v>
      </c>
      <c r="U932" t="s">
        <v>108</v>
      </c>
      <c r="V932" t="s">
        <v>224</v>
      </c>
      <c r="W932" t="s">
        <v>95</v>
      </c>
      <c r="X932" t="s">
        <v>225</v>
      </c>
      <c r="Y932" t="s">
        <v>226</v>
      </c>
      <c r="Z932" t="s">
        <v>95</v>
      </c>
      <c r="AA932" t="s">
        <v>3131</v>
      </c>
      <c r="AB932" t="s">
        <v>3343</v>
      </c>
      <c r="AC932">
        <v>4</v>
      </c>
      <c r="AD932" t="s">
        <v>56</v>
      </c>
      <c r="AE932" t="s">
        <v>3336</v>
      </c>
      <c r="AF932" t="s">
        <v>84</v>
      </c>
      <c r="AG932" t="s">
        <v>3342</v>
      </c>
      <c r="AH932" s="1">
        <v>45071</v>
      </c>
      <c r="AI932" s="1">
        <v>45073</v>
      </c>
      <c r="AJ932" s="1">
        <v>45077</v>
      </c>
      <c r="AK932" t="s">
        <v>3721</v>
      </c>
      <c r="AL932" t="s">
        <v>3130</v>
      </c>
    </row>
    <row r="933" spans="1:38" x14ac:dyDescent="0.35">
      <c r="A933" t="s">
        <v>3132</v>
      </c>
      <c r="B933" t="s">
        <v>365</v>
      </c>
      <c r="C933" t="s">
        <v>89</v>
      </c>
      <c r="D933" t="s">
        <v>526</v>
      </c>
      <c r="E933" t="s">
        <v>527</v>
      </c>
      <c r="F933" t="s">
        <v>185</v>
      </c>
      <c r="G933" t="s">
        <v>528</v>
      </c>
      <c r="H933">
        <v>870</v>
      </c>
      <c r="I933">
        <f>Sales_Transactions_Raw[[#This Row],[Unit_Price]]*Sales_Transactions_Raw[[#This Row],[Quantity]]</f>
        <v>2610</v>
      </c>
      <c r="J933">
        <v>3</v>
      </c>
      <c r="K933">
        <v>15</v>
      </c>
      <c r="L933">
        <v>391.5</v>
      </c>
      <c r="M933">
        <v>2218.5</v>
      </c>
      <c r="N933">
        <v>5</v>
      </c>
      <c r="O933">
        <v>110.92</v>
      </c>
      <c r="P933">
        <v>99</v>
      </c>
      <c r="Q933">
        <v>2329.42</v>
      </c>
      <c r="R933" t="s">
        <v>48</v>
      </c>
      <c r="S933" t="s">
        <v>93</v>
      </c>
      <c r="T933" t="s">
        <v>115</v>
      </c>
      <c r="U933" t="s">
        <v>50</v>
      </c>
      <c r="V933" t="s">
        <v>224</v>
      </c>
      <c r="W933" t="s">
        <v>95</v>
      </c>
      <c r="X933" t="s">
        <v>69</v>
      </c>
      <c r="Y933" t="s">
        <v>54</v>
      </c>
      <c r="Z933" t="s">
        <v>70</v>
      </c>
      <c r="AA933" t="s">
        <v>3134</v>
      </c>
      <c r="AB933" t="s">
        <v>3338</v>
      </c>
      <c r="AC933">
        <v>3</v>
      </c>
      <c r="AD933" t="s">
        <v>56</v>
      </c>
      <c r="AE933" t="s">
        <v>3336</v>
      </c>
      <c r="AF933" t="s">
        <v>153</v>
      </c>
      <c r="AG933" t="s">
        <v>58</v>
      </c>
      <c r="AH933" s="1">
        <v>45378</v>
      </c>
      <c r="AI933" s="1">
        <v>45380</v>
      </c>
      <c r="AJ933" s="1">
        <v>45388</v>
      </c>
      <c r="AK933" t="s">
        <v>3601</v>
      </c>
      <c r="AL933" t="s">
        <v>3133</v>
      </c>
    </row>
    <row r="934" spans="1:38" x14ac:dyDescent="0.35">
      <c r="A934" t="s">
        <v>3135</v>
      </c>
      <c r="B934" t="s">
        <v>543</v>
      </c>
      <c r="C934" t="s">
        <v>43</v>
      </c>
      <c r="D934" t="s">
        <v>971</v>
      </c>
      <c r="E934" t="s">
        <v>972</v>
      </c>
      <c r="F934" t="s">
        <v>146</v>
      </c>
      <c r="G934" t="s">
        <v>195</v>
      </c>
      <c r="H934">
        <v>1570</v>
      </c>
      <c r="I934">
        <f>Sales_Transactions_Raw[[#This Row],[Unit_Price]]*Sales_Transactions_Raw[[#This Row],[Quantity]]</f>
        <v>1570</v>
      </c>
      <c r="J934">
        <v>1</v>
      </c>
      <c r="K934">
        <v>5</v>
      </c>
      <c r="L934">
        <v>78.5</v>
      </c>
      <c r="M934">
        <v>1491.5</v>
      </c>
      <c r="N934">
        <v>12</v>
      </c>
      <c r="O934">
        <v>178.98</v>
      </c>
      <c r="P934">
        <v>79</v>
      </c>
      <c r="Q934">
        <v>1670.48</v>
      </c>
      <c r="R934" t="s">
        <v>48</v>
      </c>
      <c r="S934" t="s">
        <v>107</v>
      </c>
      <c r="T934" t="s">
        <v>136</v>
      </c>
      <c r="U934" t="s">
        <v>196</v>
      </c>
      <c r="V934" t="s">
        <v>269</v>
      </c>
      <c r="W934" t="s">
        <v>70</v>
      </c>
      <c r="X934" t="s">
        <v>288</v>
      </c>
      <c r="Y934" t="s">
        <v>289</v>
      </c>
      <c r="Z934" t="s">
        <v>52</v>
      </c>
      <c r="AA934" t="s">
        <v>3137</v>
      </c>
      <c r="AB934" t="s">
        <v>3338</v>
      </c>
      <c r="AC934">
        <v>4</v>
      </c>
      <c r="AD934" t="s">
        <v>56</v>
      </c>
      <c r="AE934" t="s">
        <v>3336</v>
      </c>
      <c r="AF934" t="s">
        <v>140</v>
      </c>
      <c r="AG934" t="s">
        <v>58</v>
      </c>
      <c r="AH934" s="1">
        <v>45441</v>
      </c>
      <c r="AI934" s="1">
        <v>45447</v>
      </c>
      <c r="AJ934" s="1">
        <v>45451</v>
      </c>
      <c r="AK934" t="s">
        <v>3506</v>
      </c>
      <c r="AL934" t="s">
        <v>3136</v>
      </c>
    </row>
    <row r="935" spans="1:38" x14ac:dyDescent="0.35">
      <c r="A935" t="s">
        <v>3077</v>
      </c>
      <c r="B935" t="s">
        <v>765</v>
      </c>
      <c r="C935" t="s">
        <v>43</v>
      </c>
      <c r="D935" t="s">
        <v>122</v>
      </c>
      <c r="E935" t="s">
        <v>123</v>
      </c>
      <c r="F935" t="s">
        <v>46</v>
      </c>
      <c r="G935" t="s">
        <v>63</v>
      </c>
      <c r="H935">
        <v>62120</v>
      </c>
      <c r="I935">
        <f>Sales_Transactions_Raw[[#This Row],[Unit_Price]]*Sales_Transactions_Raw[[#This Row],[Quantity]]</f>
        <v>186360</v>
      </c>
      <c r="J935">
        <v>3</v>
      </c>
      <c r="K935">
        <v>0</v>
      </c>
      <c r="L935">
        <v>0</v>
      </c>
      <c r="M935">
        <v>186360</v>
      </c>
      <c r="N935">
        <v>18</v>
      </c>
      <c r="O935">
        <v>33544.800000000003</v>
      </c>
      <c r="P935">
        <v>0</v>
      </c>
      <c r="Q935">
        <v>219904.8</v>
      </c>
      <c r="R935" t="s">
        <v>64</v>
      </c>
      <c r="S935" t="s">
        <v>49</v>
      </c>
      <c r="T935" t="s">
        <v>115</v>
      </c>
      <c r="U935" t="s">
        <v>214</v>
      </c>
      <c r="V935" t="s">
        <v>287</v>
      </c>
      <c r="W935" t="s">
        <v>95</v>
      </c>
      <c r="X935" t="s">
        <v>288</v>
      </c>
      <c r="Y935" t="s">
        <v>289</v>
      </c>
      <c r="Z935" t="s">
        <v>52</v>
      </c>
      <c r="AA935" t="s">
        <v>3139</v>
      </c>
      <c r="AB935" t="s">
        <v>3338</v>
      </c>
      <c r="AC935">
        <v>5</v>
      </c>
      <c r="AD935" t="s">
        <v>56</v>
      </c>
      <c r="AE935" t="s">
        <v>3336</v>
      </c>
      <c r="AF935" t="s">
        <v>227</v>
      </c>
      <c r="AG935" t="s">
        <v>3342</v>
      </c>
      <c r="AH935" s="1">
        <v>45225</v>
      </c>
      <c r="AI935" s="1">
        <v>45231</v>
      </c>
      <c r="AJ935" s="1">
        <v>45241</v>
      </c>
      <c r="AK935" t="s">
        <v>3623</v>
      </c>
      <c r="AL935" t="s">
        <v>3138</v>
      </c>
    </row>
    <row r="936" spans="1:38" x14ac:dyDescent="0.35">
      <c r="A936" t="s">
        <v>3140</v>
      </c>
      <c r="B936" t="s">
        <v>418</v>
      </c>
      <c r="C936" t="s">
        <v>43</v>
      </c>
      <c r="D936" t="s">
        <v>441</v>
      </c>
      <c r="E936" t="s">
        <v>442</v>
      </c>
      <c r="F936" t="s">
        <v>46</v>
      </c>
      <c r="G936" t="s">
        <v>369</v>
      </c>
      <c r="H936">
        <v>66420</v>
      </c>
      <c r="I936">
        <f>Sales_Transactions_Raw[[#This Row],[Unit_Price]]*Sales_Transactions_Raw[[#This Row],[Quantity]]</f>
        <v>464940</v>
      </c>
      <c r="J936">
        <v>7</v>
      </c>
      <c r="K936">
        <v>20</v>
      </c>
      <c r="L936">
        <v>92988</v>
      </c>
      <c r="M936">
        <v>371952</v>
      </c>
      <c r="N936">
        <v>18</v>
      </c>
      <c r="O936">
        <v>66951.360000000001</v>
      </c>
      <c r="P936">
        <v>0</v>
      </c>
      <c r="Q936">
        <v>438903.36</v>
      </c>
      <c r="R936" t="s">
        <v>79</v>
      </c>
      <c r="S936" t="s">
        <v>49</v>
      </c>
      <c r="T936" t="s">
        <v>115</v>
      </c>
      <c r="U936" t="s">
        <v>161</v>
      </c>
      <c r="V936" t="s">
        <v>297</v>
      </c>
      <c r="W936" t="s">
        <v>52</v>
      </c>
      <c r="X936" t="s">
        <v>187</v>
      </c>
      <c r="Y936" t="s">
        <v>188</v>
      </c>
      <c r="Z936" t="s">
        <v>68</v>
      </c>
      <c r="AA936" t="s">
        <v>3142</v>
      </c>
      <c r="AB936" t="s">
        <v>3335</v>
      </c>
      <c r="AC936">
        <v>4</v>
      </c>
      <c r="AD936" t="s">
        <v>179</v>
      </c>
      <c r="AE936" t="s">
        <v>3336</v>
      </c>
      <c r="AF936" t="s">
        <v>262</v>
      </c>
      <c r="AG936" t="s">
        <v>58</v>
      </c>
      <c r="AH936" s="1">
        <v>45121</v>
      </c>
      <c r="AI936" s="1">
        <v>45127</v>
      </c>
      <c r="AJ936" s="1">
        <v>45134</v>
      </c>
      <c r="AK936" t="s">
        <v>3401</v>
      </c>
      <c r="AL936" t="s">
        <v>3141</v>
      </c>
    </row>
    <row r="937" spans="1:38" x14ac:dyDescent="0.35">
      <c r="A937" t="s">
        <v>3143</v>
      </c>
      <c r="B937" t="s">
        <v>508</v>
      </c>
      <c r="C937" t="s">
        <v>43</v>
      </c>
      <c r="D937" t="s">
        <v>209</v>
      </c>
      <c r="E937" t="s">
        <v>210</v>
      </c>
      <c r="F937" t="s">
        <v>211</v>
      </c>
      <c r="G937" t="s">
        <v>212</v>
      </c>
      <c r="H937">
        <v>29347.846790890268</v>
      </c>
      <c r="I937">
        <f>Sales_Transactions_Raw[[#This Row],[Unit_Price]]*Sales_Transactions_Raw[[#This Row],[Quantity]]</f>
        <v>117391.38716356107</v>
      </c>
      <c r="J937">
        <v>4</v>
      </c>
      <c r="K937">
        <v>5</v>
      </c>
      <c r="L937">
        <v>850</v>
      </c>
      <c r="M937">
        <v>16150</v>
      </c>
      <c r="N937">
        <v>5</v>
      </c>
      <c r="O937">
        <v>807.5</v>
      </c>
      <c r="P937">
        <v>0</v>
      </c>
      <c r="Q937">
        <v>16957.5</v>
      </c>
      <c r="R937" t="s">
        <v>48</v>
      </c>
      <c r="S937" t="s">
        <v>125</v>
      </c>
      <c r="T937" t="s">
        <v>115</v>
      </c>
      <c r="U937" t="s">
        <v>50</v>
      </c>
      <c r="V937" t="s">
        <v>177</v>
      </c>
      <c r="W937" t="s">
        <v>81</v>
      </c>
      <c r="X937" t="s">
        <v>491</v>
      </c>
      <c r="Y937" t="s">
        <v>358</v>
      </c>
      <c r="Z937" t="s">
        <v>95</v>
      </c>
      <c r="AA937" t="s">
        <v>3145</v>
      </c>
      <c r="AB937" t="s">
        <v>3335</v>
      </c>
      <c r="AC937">
        <v>5</v>
      </c>
      <c r="AD937" t="s">
        <v>56</v>
      </c>
      <c r="AE937" t="s">
        <v>3336</v>
      </c>
      <c r="AF937" t="s">
        <v>140</v>
      </c>
      <c r="AG937" t="s">
        <v>111</v>
      </c>
      <c r="AH937" s="1">
        <v>44953</v>
      </c>
      <c r="AI937" s="1">
        <v>44959</v>
      </c>
      <c r="AJ937" s="1">
        <v>44961</v>
      </c>
      <c r="AK937" t="s">
        <v>3722</v>
      </c>
      <c r="AL937" t="s">
        <v>3144</v>
      </c>
    </row>
    <row r="938" spans="1:38" x14ac:dyDescent="0.35">
      <c r="A938" t="s">
        <v>3146</v>
      </c>
      <c r="B938" t="s">
        <v>1286</v>
      </c>
      <c r="C938" t="s">
        <v>89</v>
      </c>
      <c r="D938" t="s">
        <v>283</v>
      </c>
      <c r="E938" t="s">
        <v>284</v>
      </c>
      <c r="F938" t="s">
        <v>285</v>
      </c>
      <c r="G938" t="s">
        <v>286</v>
      </c>
      <c r="H938">
        <v>480</v>
      </c>
      <c r="I938">
        <f>Sales_Transactions_Raw[[#This Row],[Unit_Price]]*Sales_Transactions_Raw[[#This Row],[Quantity]]</f>
        <v>1440</v>
      </c>
      <c r="J938">
        <v>3</v>
      </c>
      <c r="K938">
        <v>15</v>
      </c>
      <c r="L938">
        <v>216</v>
      </c>
      <c r="M938">
        <v>1224</v>
      </c>
      <c r="N938">
        <v>5</v>
      </c>
      <c r="O938">
        <v>61.2</v>
      </c>
      <c r="P938">
        <v>79</v>
      </c>
      <c r="Q938">
        <v>1285.2</v>
      </c>
      <c r="R938" t="s">
        <v>92</v>
      </c>
      <c r="S938" t="s">
        <v>107</v>
      </c>
      <c r="T938" t="s">
        <v>66</v>
      </c>
      <c r="U938" t="s">
        <v>196</v>
      </c>
      <c r="V938" t="s">
        <v>297</v>
      </c>
      <c r="W938" t="s">
        <v>52</v>
      </c>
      <c r="X938" t="s">
        <v>96</v>
      </c>
      <c r="Y938" t="s">
        <v>97</v>
      </c>
      <c r="Z938" t="s">
        <v>95</v>
      </c>
      <c r="AA938" t="s">
        <v>3148</v>
      </c>
      <c r="AB938" t="s">
        <v>3344</v>
      </c>
      <c r="AC938">
        <v>4</v>
      </c>
      <c r="AD938" t="s">
        <v>56</v>
      </c>
      <c r="AE938" t="s">
        <v>3336</v>
      </c>
      <c r="AF938" t="s">
        <v>84</v>
      </c>
      <c r="AG938" t="s">
        <v>3342</v>
      </c>
      <c r="AH938" s="1">
        <v>45191</v>
      </c>
      <c r="AI938" s="1">
        <v>45192</v>
      </c>
      <c r="AJ938" s="1">
        <v>45197</v>
      </c>
      <c r="AK938" t="s">
        <v>3548</v>
      </c>
      <c r="AL938" t="s">
        <v>3147</v>
      </c>
    </row>
    <row r="939" spans="1:38" x14ac:dyDescent="0.35">
      <c r="A939" t="s">
        <v>3149</v>
      </c>
      <c r="B939" t="s">
        <v>207</v>
      </c>
      <c r="C939" t="s">
        <v>157</v>
      </c>
      <c r="D939" t="s">
        <v>667</v>
      </c>
      <c r="E939" t="s">
        <v>668</v>
      </c>
      <c r="F939" t="s">
        <v>146</v>
      </c>
      <c r="G939" t="s">
        <v>195</v>
      </c>
      <c r="H939">
        <v>9270</v>
      </c>
      <c r="I939">
        <f>Sales_Transactions_Raw[[#This Row],[Unit_Price]]*Sales_Transactions_Raw[[#This Row],[Quantity]]</f>
        <v>27810</v>
      </c>
      <c r="J939">
        <v>3</v>
      </c>
      <c r="K939">
        <v>5</v>
      </c>
      <c r="L939">
        <v>1390.5</v>
      </c>
      <c r="M939">
        <v>26419.5</v>
      </c>
      <c r="N939">
        <v>12</v>
      </c>
      <c r="O939">
        <v>3170.34</v>
      </c>
      <c r="P939">
        <v>0</v>
      </c>
      <c r="Q939">
        <v>29589.84</v>
      </c>
      <c r="R939" t="s">
        <v>160</v>
      </c>
      <c r="S939" t="s">
        <v>125</v>
      </c>
      <c r="T939" t="s">
        <v>66</v>
      </c>
      <c r="U939" t="s">
        <v>196</v>
      </c>
      <c r="V939" t="s">
        <v>177</v>
      </c>
      <c r="W939" t="s">
        <v>81</v>
      </c>
      <c r="X939" t="s">
        <v>69</v>
      </c>
      <c r="Y939" t="s">
        <v>54</v>
      </c>
      <c r="Z939" t="s">
        <v>70</v>
      </c>
      <c r="AA939" t="s">
        <v>3151</v>
      </c>
      <c r="AB939" t="s">
        <v>3338</v>
      </c>
      <c r="AC939">
        <v>5</v>
      </c>
      <c r="AD939" t="s">
        <v>56</v>
      </c>
      <c r="AE939" t="s">
        <v>3336</v>
      </c>
      <c r="AF939" t="s">
        <v>84</v>
      </c>
      <c r="AG939" t="s">
        <v>58</v>
      </c>
      <c r="AH939" s="1">
        <v>45199</v>
      </c>
      <c r="AI939" s="1">
        <v>45201</v>
      </c>
      <c r="AJ939" s="1">
        <v>45203</v>
      </c>
      <c r="AK939" t="s">
        <v>3671</v>
      </c>
      <c r="AL939" t="s">
        <v>3150</v>
      </c>
    </row>
    <row r="940" spans="1:38" x14ac:dyDescent="0.35">
      <c r="A940" t="s">
        <v>3152</v>
      </c>
      <c r="B940" t="s">
        <v>680</v>
      </c>
      <c r="C940" t="s">
        <v>43</v>
      </c>
      <c r="D940" t="s">
        <v>391</v>
      </c>
      <c r="E940" t="s">
        <v>392</v>
      </c>
      <c r="F940" t="s">
        <v>46</v>
      </c>
      <c r="G940" t="s">
        <v>176</v>
      </c>
      <c r="H940">
        <v>9670</v>
      </c>
      <c r="I940">
        <f>Sales_Transactions_Raw[[#This Row],[Unit_Price]]*Sales_Transactions_Raw[[#This Row],[Quantity]]</f>
        <v>9670</v>
      </c>
      <c r="J940">
        <v>1</v>
      </c>
      <c r="K940">
        <v>10</v>
      </c>
      <c r="L940">
        <v>967</v>
      </c>
      <c r="M940">
        <v>8703</v>
      </c>
      <c r="N940">
        <v>18</v>
      </c>
      <c r="O940">
        <v>1566.54</v>
      </c>
      <c r="P940">
        <v>0</v>
      </c>
      <c r="Q940">
        <v>10269.540000000001</v>
      </c>
      <c r="R940" t="s">
        <v>79</v>
      </c>
      <c r="S940" t="s">
        <v>107</v>
      </c>
      <c r="T940" t="s">
        <v>719</v>
      </c>
      <c r="U940" t="s">
        <v>108</v>
      </c>
      <c r="V940" t="s">
        <v>269</v>
      </c>
      <c r="W940" t="s">
        <v>70</v>
      </c>
      <c r="X940" t="s">
        <v>491</v>
      </c>
      <c r="Y940" t="s">
        <v>358</v>
      </c>
      <c r="Z940" t="s">
        <v>95</v>
      </c>
      <c r="AA940" t="s">
        <v>3154</v>
      </c>
      <c r="AB940" t="s">
        <v>3335</v>
      </c>
      <c r="AC940">
        <v>3</v>
      </c>
      <c r="AD940" t="s">
        <v>56</v>
      </c>
      <c r="AE940" t="s">
        <v>3336</v>
      </c>
      <c r="AF940" t="s">
        <v>217</v>
      </c>
      <c r="AG940" t="s">
        <v>58</v>
      </c>
      <c r="AH940" s="1">
        <v>45014</v>
      </c>
      <c r="AI940" s="1">
        <v>45016</v>
      </c>
      <c r="AJ940" s="1">
        <v>45026</v>
      </c>
      <c r="AK940" t="s">
        <v>3544</v>
      </c>
      <c r="AL940" t="s">
        <v>3153</v>
      </c>
    </row>
    <row r="941" spans="1:38" x14ac:dyDescent="0.35">
      <c r="A941" t="s">
        <v>3155</v>
      </c>
      <c r="B941" t="s">
        <v>343</v>
      </c>
      <c r="C941" t="s">
        <v>43</v>
      </c>
      <c r="D941" t="s">
        <v>329</v>
      </c>
      <c r="E941" t="s">
        <v>250</v>
      </c>
      <c r="F941" t="s">
        <v>134</v>
      </c>
      <c r="G941" t="s">
        <v>330</v>
      </c>
      <c r="H941">
        <v>29347.846790890268</v>
      </c>
      <c r="I941">
        <f>Sales_Transactions_Raw[[#This Row],[Unit_Price]]*Sales_Transactions_Raw[[#This Row],[Quantity]]</f>
        <v>117391.38716356107</v>
      </c>
      <c r="J941">
        <v>4</v>
      </c>
      <c r="K941">
        <v>5</v>
      </c>
      <c r="L941">
        <v>4184</v>
      </c>
      <c r="M941">
        <v>79496</v>
      </c>
      <c r="N941">
        <v>5</v>
      </c>
      <c r="O941">
        <v>3974.8</v>
      </c>
      <c r="P941">
        <v>0</v>
      </c>
      <c r="Q941">
        <v>83470.8</v>
      </c>
      <c r="R941" t="s">
        <v>160</v>
      </c>
      <c r="S941" t="s">
        <v>65</v>
      </c>
      <c r="T941" t="s">
        <v>115</v>
      </c>
      <c r="U941" t="s">
        <v>108</v>
      </c>
      <c r="V941" t="s">
        <v>242</v>
      </c>
      <c r="W941" t="s">
        <v>70</v>
      </c>
      <c r="X941" t="s">
        <v>474</v>
      </c>
      <c r="Y941" t="s">
        <v>169</v>
      </c>
      <c r="Z941" t="s">
        <v>95</v>
      </c>
      <c r="AA941" t="s">
        <v>3157</v>
      </c>
      <c r="AB941" t="s">
        <v>3335</v>
      </c>
      <c r="AC941">
        <v>4</v>
      </c>
      <c r="AD941" t="s">
        <v>56</v>
      </c>
      <c r="AE941" t="s">
        <v>3336</v>
      </c>
      <c r="AF941" t="s">
        <v>227</v>
      </c>
      <c r="AG941" t="s">
        <v>111</v>
      </c>
      <c r="AH941" s="1">
        <v>45071</v>
      </c>
      <c r="AI941" s="1">
        <v>45074</v>
      </c>
      <c r="AJ941" s="1">
        <v>45083</v>
      </c>
      <c r="AK941" t="s">
        <v>3428</v>
      </c>
      <c r="AL941" t="s">
        <v>3156</v>
      </c>
    </row>
    <row r="942" spans="1:38" x14ac:dyDescent="0.35">
      <c r="A942" t="s">
        <v>3158</v>
      </c>
      <c r="B942" t="s">
        <v>617</v>
      </c>
      <c r="C942" t="s">
        <v>43</v>
      </c>
      <c r="D942" t="s">
        <v>317</v>
      </c>
      <c r="E942" t="s">
        <v>77</v>
      </c>
      <c r="F942" t="s">
        <v>46</v>
      </c>
      <c r="G942" t="s">
        <v>176</v>
      </c>
      <c r="H942">
        <v>32200</v>
      </c>
      <c r="I942">
        <f>Sales_Transactions_Raw[[#This Row],[Unit_Price]]*Sales_Transactions_Raw[[#This Row],[Quantity]]</f>
        <v>193200</v>
      </c>
      <c r="J942">
        <v>6</v>
      </c>
      <c r="K942">
        <v>0</v>
      </c>
      <c r="L942">
        <v>0</v>
      </c>
      <c r="M942">
        <v>193200</v>
      </c>
      <c r="N942">
        <v>18</v>
      </c>
      <c r="O942">
        <v>34776</v>
      </c>
      <c r="P942">
        <v>0</v>
      </c>
      <c r="Q942">
        <v>227976</v>
      </c>
      <c r="R942" t="s">
        <v>64</v>
      </c>
      <c r="S942" t="s">
        <v>49</v>
      </c>
      <c r="T942" t="s">
        <v>66</v>
      </c>
      <c r="U942" t="s">
        <v>108</v>
      </c>
      <c r="V942" t="s">
        <v>177</v>
      </c>
      <c r="W942" t="s">
        <v>81</v>
      </c>
      <c r="X942" t="s">
        <v>357</v>
      </c>
      <c r="Y942" t="s">
        <v>358</v>
      </c>
      <c r="Z942" t="s">
        <v>95</v>
      </c>
      <c r="AA942" t="s">
        <v>3160</v>
      </c>
      <c r="AB942" t="s">
        <v>3339</v>
      </c>
      <c r="AC942">
        <v>4</v>
      </c>
      <c r="AD942" t="s">
        <v>56</v>
      </c>
      <c r="AE942" t="s">
        <v>3336</v>
      </c>
      <c r="AF942" t="s">
        <v>217</v>
      </c>
      <c r="AG942" t="s">
        <v>3337</v>
      </c>
      <c r="AH942" s="1">
        <v>45092</v>
      </c>
      <c r="AI942" s="1">
        <v>45095</v>
      </c>
      <c r="AJ942" s="1">
        <v>45102</v>
      </c>
      <c r="AK942" t="s">
        <v>3424</v>
      </c>
      <c r="AL942" t="s">
        <v>3159</v>
      </c>
    </row>
    <row r="943" spans="1:38" x14ac:dyDescent="0.35">
      <c r="A943" t="s">
        <v>3161</v>
      </c>
      <c r="B943" t="s">
        <v>717</v>
      </c>
      <c r="C943" t="s">
        <v>131</v>
      </c>
      <c r="D943" t="s">
        <v>350</v>
      </c>
      <c r="E943" t="s">
        <v>351</v>
      </c>
      <c r="F943" t="s">
        <v>211</v>
      </c>
      <c r="G943" t="s">
        <v>352</v>
      </c>
      <c r="H943">
        <v>42240</v>
      </c>
      <c r="I943">
        <f>Sales_Transactions_Raw[[#This Row],[Unit_Price]]*Sales_Transactions_Raw[[#This Row],[Quantity]]</f>
        <v>126720</v>
      </c>
      <c r="J943">
        <v>3</v>
      </c>
      <c r="K943">
        <v>10</v>
      </c>
      <c r="L943">
        <v>12672</v>
      </c>
      <c r="M943">
        <v>114048</v>
      </c>
      <c r="N943">
        <v>5</v>
      </c>
      <c r="O943">
        <v>5702.4</v>
      </c>
      <c r="P943">
        <v>0</v>
      </c>
      <c r="Q943">
        <v>119750.39999999999</v>
      </c>
      <c r="R943" t="s">
        <v>48</v>
      </c>
      <c r="S943" t="s">
        <v>49</v>
      </c>
      <c r="T943" t="s">
        <v>213</v>
      </c>
      <c r="U943" t="s">
        <v>161</v>
      </c>
      <c r="V943" t="s">
        <v>224</v>
      </c>
      <c r="W943" t="s">
        <v>95</v>
      </c>
      <c r="X943" t="s">
        <v>611</v>
      </c>
      <c r="Y943" t="s">
        <v>97</v>
      </c>
      <c r="Z943" t="s">
        <v>95</v>
      </c>
      <c r="AA943" t="s">
        <v>3163</v>
      </c>
      <c r="AB943" t="s">
        <v>3335</v>
      </c>
      <c r="AC943">
        <v>4</v>
      </c>
      <c r="AD943" t="s">
        <v>179</v>
      </c>
      <c r="AE943" t="s">
        <v>476</v>
      </c>
      <c r="AF943" t="s">
        <v>153</v>
      </c>
      <c r="AG943" t="s">
        <v>58</v>
      </c>
      <c r="AH943" s="1">
        <v>45246</v>
      </c>
      <c r="AI943" s="1">
        <v>45252</v>
      </c>
      <c r="AJ943" s="1">
        <v>45258</v>
      </c>
      <c r="AK943" t="s">
        <v>3445</v>
      </c>
      <c r="AL943" t="s">
        <v>3162</v>
      </c>
    </row>
    <row r="944" spans="1:38" x14ac:dyDescent="0.35">
      <c r="A944" t="s">
        <v>1935</v>
      </c>
      <c r="B944" t="s">
        <v>235</v>
      </c>
      <c r="C944" t="s">
        <v>43</v>
      </c>
      <c r="D944" t="s">
        <v>466</v>
      </c>
      <c r="E944" t="s">
        <v>467</v>
      </c>
      <c r="F944" t="s">
        <v>185</v>
      </c>
      <c r="G944" t="s">
        <v>468</v>
      </c>
      <c r="H944">
        <v>630</v>
      </c>
      <c r="I944">
        <f>Sales_Transactions_Raw[[#This Row],[Unit_Price]]*Sales_Transactions_Raw[[#This Row],[Quantity]]</f>
        <v>4410</v>
      </c>
      <c r="J944">
        <v>7</v>
      </c>
      <c r="K944">
        <v>25</v>
      </c>
      <c r="L944">
        <v>1102.5</v>
      </c>
      <c r="M944">
        <v>3307.5</v>
      </c>
      <c r="N944">
        <v>5</v>
      </c>
      <c r="O944">
        <v>165.38</v>
      </c>
      <c r="P944">
        <v>99</v>
      </c>
      <c r="Q944">
        <v>3472.88</v>
      </c>
      <c r="R944" t="s">
        <v>92</v>
      </c>
      <c r="S944" t="s">
        <v>93</v>
      </c>
      <c r="T944" t="s">
        <v>66</v>
      </c>
      <c r="U944" t="s">
        <v>161</v>
      </c>
      <c r="V944" t="s">
        <v>242</v>
      </c>
      <c r="W944" t="s">
        <v>70</v>
      </c>
      <c r="X944" t="s">
        <v>556</v>
      </c>
      <c r="Y944" t="s">
        <v>481</v>
      </c>
      <c r="Z944" t="s">
        <v>52</v>
      </c>
      <c r="AA944" t="s">
        <v>3165</v>
      </c>
      <c r="AB944" t="s">
        <v>3340</v>
      </c>
      <c r="AC944">
        <v>3</v>
      </c>
      <c r="AD944" t="s">
        <v>179</v>
      </c>
      <c r="AE944" t="s">
        <v>206</v>
      </c>
      <c r="AF944" t="s">
        <v>279</v>
      </c>
      <c r="AG944" t="s">
        <v>58</v>
      </c>
      <c r="AH944" s="1">
        <v>45444</v>
      </c>
      <c r="AI944" s="1">
        <v>45446</v>
      </c>
      <c r="AJ944" s="1">
        <v>45448</v>
      </c>
      <c r="AK944" t="s">
        <v>3723</v>
      </c>
      <c r="AL944" t="s">
        <v>3164</v>
      </c>
    </row>
    <row r="945" spans="1:38" x14ac:dyDescent="0.35">
      <c r="A945" t="s">
        <v>3166</v>
      </c>
      <c r="B945" t="s">
        <v>41</v>
      </c>
      <c r="C945" t="s">
        <v>89</v>
      </c>
      <c r="D945" t="s">
        <v>122</v>
      </c>
      <c r="E945" t="s">
        <v>123</v>
      </c>
      <c r="F945" t="s">
        <v>46</v>
      </c>
      <c r="G945" t="s">
        <v>63</v>
      </c>
      <c r="H945">
        <v>57910</v>
      </c>
      <c r="I945">
        <f>Sales_Transactions_Raw[[#This Row],[Unit_Price]]*Sales_Transactions_Raw[[#This Row],[Quantity]]</f>
        <v>57910</v>
      </c>
      <c r="J945">
        <v>1</v>
      </c>
      <c r="K945">
        <v>5</v>
      </c>
      <c r="L945">
        <v>2895.5</v>
      </c>
      <c r="M945">
        <v>55014.5</v>
      </c>
      <c r="N945">
        <v>18</v>
      </c>
      <c r="O945">
        <v>9902.61</v>
      </c>
      <c r="P945">
        <v>0</v>
      </c>
      <c r="Q945">
        <v>64917.11</v>
      </c>
      <c r="R945" t="s">
        <v>160</v>
      </c>
      <c r="S945" t="s">
        <v>49</v>
      </c>
      <c r="T945" t="s">
        <v>213</v>
      </c>
      <c r="U945" t="s">
        <v>108</v>
      </c>
      <c r="V945" t="s">
        <v>276</v>
      </c>
      <c r="W945" t="s">
        <v>95</v>
      </c>
      <c r="X945" t="s">
        <v>626</v>
      </c>
      <c r="Y945" t="s">
        <v>289</v>
      </c>
      <c r="Z945" t="s">
        <v>52</v>
      </c>
      <c r="AA945" t="s">
        <v>3168</v>
      </c>
      <c r="AB945" t="s">
        <v>3344</v>
      </c>
      <c r="AC945">
        <v>5</v>
      </c>
      <c r="AD945" t="s">
        <v>179</v>
      </c>
      <c r="AE945" t="s">
        <v>3336</v>
      </c>
      <c r="AF945" t="s">
        <v>140</v>
      </c>
      <c r="AG945" t="s">
        <v>85</v>
      </c>
      <c r="AH945" s="1">
        <v>44975</v>
      </c>
      <c r="AI945" s="1">
        <v>44980</v>
      </c>
      <c r="AJ945" s="1">
        <v>44983</v>
      </c>
      <c r="AK945" t="s">
        <v>3577</v>
      </c>
      <c r="AL945" t="s">
        <v>3167</v>
      </c>
    </row>
    <row r="946" spans="1:38" x14ac:dyDescent="0.35">
      <c r="A946" t="s">
        <v>3169</v>
      </c>
      <c r="B946" t="s">
        <v>430</v>
      </c>
      <c r="C946" t="s">
        <v>43</v>
      </c>
      <c r="D946" t="s">
        <v>335</v>
      </c>
      <c r="E946" t="s">
        <v>336</v>
      </c>
      <c r="F946" t="s">
        <v>134</v>
      </c>
      <c r="G946" t="s">
        <v>135</v>
      </c>
      <c r="H946">
        <v>10230</v>
      </c>
      <c r="I946">
        <f>Sales_Transactions_Raw[[#This Row],[Unit_Price]]*Sales_Transactions_Raw[[#This Row],[Quantity]]</f>
        <v>61380</v>
      </c>
      <c r="J946">
        <v>6</v>
      </c>
      <c r="K946">
        <v>10</v>
      </c>
      <c r="L946">
        <v>6138</v>
      </c>
      <c r="M946">
        <v>55242</v>
      </c>
      <c r="N946">
        <v>5</v>
      </c>
      <c r="O946">
        <v>2762.1</v>
      </c>
      <c r="P946">
        <v>0</v>
      </c>
      <c r="Q946">
        <v>58004.1</v>
      </c>
      <c r="R946" t="s">
        <v>79</v>
      </c>
      <c r="S946" t="s">
        <v>125</v>
      </c>
      <c r="T946" t="s">
        <v>719</v>
      </c>
      <c r="U946" t="s">
        <v>50</v>
      </c>
      <c r="V946" t="s">
        <v>80</v>
      </c>
      <c r="W946" t="s">
        <v>81</v>
      </c>
      <c r="X946" t="s">
        <v>126</v>
      </c>
      <c r="Y946" t="s">
        <v>127</v>
      </c>
      <c r="Z946" t="s">
        <v>68</v>
      </c>
      <c r="AA946" t="s">
        <v>3171</v>
      </c>
      <c r="AB946" t="s">
        <v>3335</v>
      </c>
      <c r="AC946">
        <v>4</v>
      </c>
      <c r="AD946" t="s">
        <v>56</v>
      </c>
      <c r="AE946" t="s">
        <v>3336</v>
      </c>
      <c r="AF946" t="s">
        <v>84</v>
      </c>
      <c r="AG946" t="s">
        <v>111</v>
      </c>
      <c r="AH946" s="1">
        <v>45242</v>
      </c>
      <c r="AI946" s="1">
        <v>45248</v>
      </c>
      <c r="AJ946" s="1">
        <v>45258</v>
      </c>
      <c r="AK946" t="s">
        <v>3592</v>
      </c>
      <c r="AL946" t="s">
        <v>3170</v>
      </c>
    </row>
    <row r="947" spans="1:38" x14ac:dyDescent="0.35">
      <c r="A947" t="s">
        <v>3172</v>
      </c>
      <c r="B947" t="s">
        <v>1078</v>
      </c>
      <c r="C947" t="s">
        <v>131</v>
      </c>
      <c r="D947" t="s">
        <v>667</v>
      </c>
      <c r="E947" t="s">
        <v>668</v>
      </c>
      <c r="F947" t="s">
        <v>146</v>
      </c>
      <c r="G947" t="s">
        <v>195</v>
      </c>
      <c r="H947">
        <v>8300</v>
      </c>
      <c r="I947">
        <f>Sales_Transactions_Raw[[#This Row],[Unit_Price]]*Sales_Transactions_Raw[[#This Row],[Quantity]]</f>
        <v>8300</v>
      </c>
      <c r="J947">
        <v>1</v>
      </c>
      <c r="K947">
        <v>25</v>
      </c>
      <c r="L947">
        <v>2075</v>
      </c>
      <c r="M947">
        <v>6225</v>
      </c>
      <c r="N947">
        <v>12</v>
      </c>
      <c r="O947">
        <v>747</v>
      </c>
      <c r="P947">
        <v>0</v>
      </c>
      <c r="Q947">
        <v>6972</v>
      </c>
      <c r="R947" t="s">
        <v>64</v>
      </c>
      <c r="S947" t="s">
        <v>107</v>
      </c>
      <c r="T947" t="s">
        <v>115</v>
      </c>
      <c r="U947" t="s">
        <v>50</v>
      </c>
      <c r="V947" t="s">
        <v>287</v>
      </c>
      <c r="W947" t="s">
        <v>95</v>
      </c>
      <c r="X947" t="s">
        <v>370</v>
      </c>
      <c r="Y947" t="s">
        <v>151</v>
      </c>
      <c r="Z947" t="s">
        <v>81</v>
      </c>
      <c r="AA947" t="s">
        <v>3174</v>
      </c>
      <c r="AB947" t="s">
        <v>3343</v>
      </c>
      <c r="AC947">
        <v>3</v>
      </c>
      <c r="AD947" t="s">
        <v>56</v>
      </c>
      <c r="AE947" t="s">
        <v>3336</v>
      </c>
      <c r="AF947" t="s">
        <v>164</v>
      </c>
      <c r="AG947" t="s">
        <v>445</v>
      </c>
      <c r="AH947" s="1">
        <v>45194</v>
      </c>
      <c r="AI947" s="1">
        <v>45200</v>
      </c>
      <c r="AJ947" s="1">
        <v>45205</v>
      </c>
      <c r="AK947" t="s">
        <v>3512</v>
      </c>
      <c r="AL947" t="s">
        <v>3173</v>
      </c>
    </row>
    <row r="948" spans="1:38" x14ac:dyDescent="0.35">
      <c r="A948" t="s">
        <v>3175</v>
      </c>
      <c r="B948" t="s">
        <v>524</v>
      </c>
      <c r="C948" t="s">
        <v>43</v>
      </c>
      <c r="D948" t="s">
        <v>230</v>
      </c>
      <c r="E948" t="s">
        <v>231</v>
      </c>
      <c r="F948" t="s">
        <v>46</v>
      </c>
      <c r="G948" t="s">
        <v>63</v>
      </c>
      <c r="H948">
        <v>121230</v>
      </c>
      <c r="I948">
        <f>Sales_Transactions_Raw[[#This Row],[Unit_Price]]*Sales_Transactions_Raw[[#This Row],[Quantity]]</f>
        <v>121230</v>
      </c>
      <c r="J948">
        <v>1</v>
      </c>
      <c r="K948">
        <v>5</v>
      </c>
      <c r="L948">
        <v>6061.5</v>
      </c>
      <c r="M948">
        <v>115168.5</v>
      </c>
      <c r="N948">
        <v>18</v>
      </c>
      <c r="O948">
        <v>20730.330000000002</v>
      </c>
      <c r="P948">
        <v>0</v>
      </c>
      <c r="Q948">
        <v>135898.83000000002</v>
      </c>
      <c r="R948" t="s">
        <v>79</v>
      </c>
      <c r="S948" t="s">
        <v>65</v>
      </c>
      <c r="T948" t="s">
        <v>115</v>
      </c>
      <c r="U948" t="s">
        <v>108</v>
      </c>
      <c r="V948" t="s">
        <v>287</v>
      </c>
      <c r="W948" t="s">
        <v>95</v>
      </c>
      <c r="X948" t="s">
        <v>443</v>
      </c>
      <c r="Y948" t="s">
        <v>97</v>
      </c>
      <c r="Z948" t="s">
        <v>95</v>
      </c>
      <c r="AA948" t="s">
        <v>3177</v>
      </c>
      <c r="AB948" t="s">
        <v>3338</v>
      </c>
      <c r="AC948">
        <v>4</v>
      </c>
      <c r="AD948" t="s">
        <v>56</v>
      </c>
      <c r="AE948" t="s">
        <v>3336</v>
      </c>
      <c r="AF948" t="s">
        <v>262</v>
      </c>
      <c r="AG948" t="s">
        <v>58</v>
      </c>
      <c r="AH948" s="1">
        <v>45254</v>
      </c>
      <c r="AI948" s="1">
        <v>45255</v>
      </c>
      <c r="AJ948" s="1">
        <v>45258</v>
      </c>
      <c r="AK948" t="s">
        <v>3724</v>
      </c>
      <c r="AL948" t="s">
        <v>3176</v>
      </c>
    </row>
    <row r="949" spans="1:38" x14ac:dyDescent="0.35">
      <c r="A949" t="s">
        <v>3178</v>
      </c>
      <c r="B949" t="s">
        <v>247</v>
      </c>
      <c r="C949" t="s">
        <v>89</v>
      </c>
      <c r="D949" t="s">
        <v>274</v>
      </c>
      <c r="E949" t="s">
        <v>275</v>
      </c>
      <c r="F949" t="s">
        <v>211</v>
      </c>
      <c r="G949" t="s">
        <v>268</v>
      </c>
      <c r="H949">
        <v>14060</v>
      </c>
      <c r="I949">
        <f>Sales_Transactions_Raw[[#This Row],[Unit_Price]]*Sales_Transactions_Raw[[#This Row],[Quantity]]</f>
        <v>70300</v>
      </c>
      <c r="J949">
        <v>5</v>
      </c>
      <c r="K949">
        <v>0</v>
      </c>
      <c r="L949">
        <v>0</v>
      </c>
      <c r="M949">
        <v>70300</v>
      </c>
      <c r="N949">
        <v>5</v>
      </c>
      <c r="O949">
        <v>3515</v>
      </c>
      <c r="P949">
        <v>0</v>
      </c>
      <c r="Q949">
        <v>73815</v>
      </c>
      <c r="R949" t="s">
        <v>160</v>
      </c>
      <c r="S949" t="s">
        <v>49</v>
      </c>
      <c r="T949" t="s">
        <v>148</v>
      </c>
      <c r="U949" t="s">
        <v>214</v>
      </c>
      <c r="V949" t="s">
        <v>116</v>
      </c>
      <c r="W949" t="s">
        <v>70</v>
      </c>
      <c r="X949" t="s">
        <v>260</v>
      </c>
      <c r="Y949" t="s">
        <v>118</v>
      </c>
      <c r="Z949" t="s">
        <v>70</v>
      </c>
      <c r="AA949" t="s">
        <v>3180</v>
      </c>
      <c r="AB949" t="s">
        <v>3338</v>
      </c>
      <c r="AC949">
        <v>4</v>
      </c>
      <c r="AD949" t="s">
        <v>56</v>
      </c>
      <c r="AE949" t="s">
        <v>3336</v>
      </c>
      <c r="AF949" t="s">
        <v>84</v>
      </c>
      <c r="AG949" t="s">
        <v>85</v>
      </c>
      <c r="AH949" s="1">
        <v>45268</v>
      </c>
      <c r="AI949" s="1">
        <v>45270</v>
      </c>
      <c r="AJ949" s="1">
        <v>45276</v>
      </c>
      <c r="AK949" t="s">
        <v>3418</v>
      </c>
      <c r="AL949" t="s">
        <v>3179</v>
      </c>
    </row>
    <row r="950" spans="1:38" x14ac:dyDescent="0.35">
      <c r="A950" t="s">
        <v>3181</v>
      </c>
      <c r="B950" t="s">
        <v>155</v>
      </c>
      <c r="C950" t="s">
        <v>43</v>
      </c>
      <c r="D950" t="s">
        <v>122</v>
      </c>
      <c r="E950" t="s">
        <v>123</v>
      </c>
      <c r="F950" t="s">
        <v>46</v>
      </c>
      <c r="G950" t="s">
        <v>63</v>
      </c>
      <c r="H950">
        <v>58050</v>
      </c>
      <c r="I950">
        <f>Sales_Transactions_Raw[[#This Row],[Unit_Price]]*Sales_Transactions_Raw[[#This Row],[Quantity]]</f>
        <v>58050</v>
      </c>
      <c r="J950">
        <v>1</v>
      </c>
      <c r="K950">
        <v>15</v>
      </c>
      <c r="L950">
        <v>8707.5</v>
      </c>
      <c r="M950">
        <v>49342.5</v>
      </c>
      <c r="N950">
        <v>18</v>
      </c>
      <c r="O950">
        <v>8881.65</v>
      </c>
      <c r="P950">
        <v>0</v>
      </c>
      <c r="Q950">
        <v>58224.15</v>
      </c>
      <c r="R950" t="s">
        <v>160</v>
      </c>
      <c r="S950" t="s">
        <v>65</v>
      </c>
      <c r="T950" t="s">
        <v>115</v>
      </c>
      <c r="U950" t="s">
        <v>196</v>
      </c>
      <c r="V950" t="s">
        <v>51</v>
      </c>
      <c r="W950" t="s">
        <v>52</v>
      </c>
      <c r="X950" t="s">
        <v>306</v>
      </c>
      <c r="Y950" t="s">
        <v>97</v>
      </c>
      <c r="Z950" t="s">
        <v>95</v>
      </c>
      <c r="AA950" t="s">
        <v>3183</v>
      </c>
      <c r="AB950" t="s">
        <v>3341</v>
      </c>
      <c r="AC950">
        <v>4</v>
      </c>
      <c r="AD950" t="s">
        <v>179</v>
      </c>
      <c r="AE950" t="s">
        <v>3336</v>
      </c>
      <c r="AF950" t="s">
        <v>57</v>
      </c>
      <c r="AG950" t="s">
        <v>85</v>
      </c>
      <c r="AH950" s="1">
        <v>45241</v>
      </c>
      <c r="AI950" s="1">
        <v>45244</v>
      </c>
      <c r="AJ950" s="1">
        <v>45276</v>
      </c>
      <c r="AK950" t="s">
        <v>3470</v>
      </c>
      <c r="AL950" t="s">
        <v>3182</v>
      </c>
    </row>
    <row r="951" spans="1:38" x14ac:dyDescent="0.35">
      <c r="A951" t="s">
        <v>3184</v>
      </c>
      <c r="B951" t="s">
        <v>1225</v>
      </c>
      <c r="C951" t="s">
        <v>43</v>
      </c>
      <c r="D951" t="s">
        <v>504</v>
      </c>
      <c r="E951" t="s">
        <v>91</v>
      </c>
      <c r="F951" t="s">
        <v>134</v>
      </c>
      <c r="G951" t="s">
        <v>330</v>
      </c>
      <c r="H951">
        <v>29347.846790890268</v>
      </c>
      <c r="I951">
        <f>Sales_Transactions_Raw[[#This Row],[Unit_Price]]*Sales_Transactions_Raw[[#This Row],[Quantity]]</f>
        <v>146739.23395445134</v>
      </c>
      <c r="J951">
        <v>5</v>
      </c>
      <c r="K951">
        <v>5</v>
      </c>
      <c r="L951">
        <v>6390</v>
      </c>
      <c r="M951">
        <v>121410</v>
      </c>
      <c r="N951">
        <v>5</v>
      </c>
      <c r="O951">
        <v>6070.5</v>
      </c>
      <c r="P951">
        <v>0</v>
      </c>
      <c r="Q951">
        <v>127480.5</v>
      </c>
      <c r="R951" t="s">
        <v>92</v>
      </c>
      <c r="S951" t="s">
        <v>49</v>
      </c>
      <c r="T951" t="s">
        <v>115</v>
      </c>
      <c r="U951" t="s">
        <v>214</v>
      </c>
      <c r="V951" t="s">
        <v>94</v>
      </c>
      <c r="W951" t="s">
        <v>95</v>
      </c>
      <c r="X951" t="s">
        <v>243</v>
      </c>
      <c r="Y951" t="s">
        <v>244</v>
      </c>
      <c r="Z951" t="s">
        <v>70</v>
      </c>
      <c r="AA951" t="s">
        <v>3186</v>
      </c>
      <c r="AB951" t="s">
        <v>3340</v>
      </c>
      <c r="AC951">
        <v>4</v>
      </c>
      <c r="AD951" t="s">
        <v>56</v>
      </c>
      <c r="AE951" t="s">
        <v>3336</v>
      </c>
      <c r="AF951" t="s">
        <v>326</v>
      </c>
      <c r="AG951" t="s">
        <v>58</v>
      </c>
      <c r="AH951" s="1">
        <v>45246</v>
      </c>
      <c r="AI951" s="1">
        <v>45251</v>
      </c>
      <c r="AJ951" s="1">
        <v>45258</v>
      </c>
      <c r="AK951" t="s">
        <v>3591</v>
      </c>
      <c r="AL951" t="s">
        <v>3185</v>
      </c>
    </row>
    <row r="952" spans="1:38" x14ac:dyDescent="0.35">
      <c r="A952" t="s">
        <v>3187</v>
      </c>
      <c r="B952" t="s">
        <v>699</v>
      </c>
      <c r="C952" t="s">
        <v>43</v>
      </c>
      <c r="D952" t="s">
        <v>495</v>
      </c>
      <c r="E952" t="s">
        <v>496</v>
      </c>
      <c r="F952" t="s">
        <v>134</v>
      </c>
      <c r="G952" t="s">
        <v>497</v>
      </c>
      <c r="H952">
        <v>33920</v>
      </c>
      <c r="I952">
        <f>Sales_Transactions_Raw[[#This Row],[Unit_Price]]*Sales_Transactions_Raw[[#This Row],[Quantity]]</f>
        <v>101760</v>
      </c>
      <c r="J952">
        <v>3</v>
      </c>
      <c r="K952">
        <v>0</v>
      </c>
      <c r="L952">
        <v>0</v>
      </c>
      <c r="M952">
        <v>101760</v>
      </c>
      <c r="N952">
        <v>5</v>
      </c>
      <c r="O952">
        <v>5088</v>
      </c>
      <c r="P952">
        <v>0</v>
      </c>
      <c r="Q952">
        <v>106848</v>
      </c>
      <c r="R952" t="s">
        <v>92</v>
      </c>
      <c r="S952" t="s">
        <v>107</v>
      </c>
      <c r="T952" t="s">
        <v>148</v>
      </c>
      <c r="U952" t="s">
        <v>214</v>
      </c>
      <c r="V952" t="s">
        <v>116</v>
      </c>
      <c r="W952" t="s">
        <v>70</v>
      </c>
      <c r="X952" t="s">
        <v>117</v>
      </c>
      <c r="Y952" t="s">
        <v>118</v>
      </c>
      <c r="Z952" t="s">
        <v>70</v>
      </c>
      <c r="AA952" t="s">
        <v>3189</v>
      </c>
      <c r="AB952" t="s">
        <v>3343</v>
      </c>
      <c r="AC952">
        <v>5</v>
      </c>
      <c r="AD952" t="s">
        <v>179</v>
      </c>
      <c r="AE952" t="s">
        <v>3336</v>
      </c>
      <c r="AF952" t="s">
        <v>84</v>
      </c>
      <c r="AG952" t="s">
        <v>58</v>
      </c>
      <c r="AH952" s="1">
        <v>45215</v>
      </c>
      <c r="AI952" s="1">
        <v>45217</v>
      </c>
      <c r="AJ952" s="1">
        <v>45226</v>
      </c>
      <c r="AK952" t="s">
        <v>3696</v>
      </c>
      <c r="AL952" t="s">
        <v>3188</v>
      </c>
    </row>
    <row r="953" spans="1:38" x14ac:dyDescent="0.35">
      <c r="A953" t="s">
        <v>3190</v>
      </c>
      <c r="B953" t="s">
        <v>613</v>
      </c>
      <c r="C953" t="s">
        <v>43</v>
      </c>
      <c r="D953" t="s">
        <v>193</v>
      </c>
      <c r="E953" t="s">
        <v>194</v>
      </c>
      <c r="F953" t="s">
        <v>146</v>
      </c>
      <c r="G953" t="s">
        <v>195</v>
      </c>
      <c r="H953">
        <v>3020</v>
      </c>
      <c r="I953">
        <f>Sales_Transactions_Raw[[#This Row],[Unit_Price]]*Sales_Transactions_Raw[[#This Row],[Quantity]]</f>
        <v>3020</v>
      </c>
      <c r="J953">
        <v>1</v>
      </c>
      <c r="K953">
        <v>15</v>
      </c>
      <c r="L953">
        <v>453</v>
      </c>
      <c r="M953">
        <v>2567</v>
      </c>
      <c r="N953">
        <v>12</v>
      </c>
      <c r="O953">
        <v>308.04000000000002</v>
      </c>
      <c r="P953">
        <v>149</v>
      </c>
      <c r="Q953">
        <v>2875.04</v>
      </c>
      <c r="R953" t="s">
        <v>79</v>
      </c>
      <c r="S953" t="s">
        <v>125</v>
      </c>
      <c r="T953" t="s">
        <v>136</v>
      </c>
      <c r="U953" t="s">
        <v>214</v>
      </c>
      <c r="V953" t="s">
        <v>287</v>
      </c>
      <c r="W953" t="s">
        <v>95</v>
      </c>
      <c r="X953" t="s">
        <v>599</v>
      </c>
      <c r="Y953" t="s">
        <v>319</v>
      </c>
      <c r="Z953" t="s">
        <v>95</v>
      </c>
      <c r="AA953" t="s">
        <v>3192</v>
      </c>
      <c r="AB953" t="s">
        <v>3343</v>
      </c>
      <c r="AC953">
        <v>5</v>
      </c>
      <c r="AD953" t="s">
        <v>56</v>
      </c>
      <c r="AE953" t="s">
        <v>3336</v>
      </c>
      <c r="AF953" t="s">
        <v>217</v>
      </c>
      <c r="AG953" t="s">
        <v>3337</v>
      </c>
      <c r="AH953" s="1">
        <v>45291</v>
      </c>
      <c r="AI953" s="1">
        <v>45297</v>
      </c>
      <c r="AJ953" s="1">
        <v>45301</v>
      </c>
      <c r="AK953" t="s">
        <v>3694</v>
      </c>
      <c r="AL953" t="s">
        <v>3191</v>
      </c>
    </row>
    <row r="954" spans="1:38" x14ac:dyDescent="0.35">
      <c r="A954" t="s">
        <v>3193</v>
      </c>
      <c r="B954" t="s">
        <v>386</v>
      </c>
      <c r="C954" t="s">
        <v>131</v>
      </c>
      <c r="D954" t="s">
        <v>367</v>
      </c>
      <c r="E954" t="s">
        <v>368</v>
      </c>
      <c r="F954" t="s">
        <v>46</v>
      </c>
      <c r="G954" t="s">
        <v>369</v>
      </c>
      <c r="H954">
        <v>25810</v>
      </c>
      <c r="I954">
        <f>Sales_Transactions_Raw[[#This Row],[Unit_Price]]*Sales_Transactions_Raw[[#This Row],[Quantity]]</f>
        <v>77430</v>
      </c>
      <c r="J954">
        <v>3</v>
      </c>
      <c r="K954">
        <v>5</v>
      </c>
      <c r="L954">
        <v>3871.5</v>
      </c>
      <c r="M954">
        <v>73558.5</v>
      </c>
      <c r="N954">
        <v>18</v>
      </c>
      <c r="O954">
        <v>13240.53</v>
      </c>
      <c r="P954">
        <v>0</v>
      </c>
      <c r="Q954">
        <v>86799.03</v>
      </c>
      <c r="R954" t="s">
        <v>124</v>
      </c>
      <c r="S954" t="s">
        <v>49</v>
      </c>
      <c r="T954" t="s">
        <v>115</v>
      </c>
      <c r="U954" t="s">
        <v>196</v>
      </c>
      <c r="V954" t="s">
        <v>269</v>
      </c>
      <c r="W954" t="s">
        <v>70</v>
      </c>
      <c r="X954" t="s">
        <v>162</v>
      </c>
      <c r="Y954" t="s">
        <v>109</v>
      </c>
      <c r="Z954" t="s">
        <v>70</v>
      </c>
      <c r="AA954" t="s">
        <v>3195</v>
      </c>
      <c r="AB954" t="s">
        <v>3344</v>
      </c>
      <c r="AC954">
        <v>5</v>
      </c>
      <c r="AD954" t="s">
        <v>56</v>
      </c>
      <c r="AE954" t="s">
        <v>3336</v>
      </c>
      <c r="AF954" t="s">
        <v>140</v>
      </c>
      <c r="AG954" t="s">
        <v>3342</v>
      </c>
      <c r="AH954" s="1">
        <v>44931</v>
      </c>
      <c r="AI954" s="1">
        <v>45021</v>
      </c>
      <c r="AJ954" s="1">
        <v>45235</v>
      </c>
      <c r="AK954" t="s">
        <v>3499</v>
      </c>
      <c r="AL954" t="s">
        <v>3194</v>
      </c>
    </row>
    <row r="955" spans="1:38" x14ac:dyDescent="0.35">
      <c r="A955" t="s">
        <v>3196</v>
      </c>
      <c r="B955" t="s">
        <v>948</v>
      </c>
      <c r="C955" t="s">
        <v>43</v>
      </c>
      <c r="D955" t="s">
        <v>713</v>
      </c>
      <c r="E955" t="s">
        <v>714</v>
      </c>
      <c r="F955" t="s">
        <v>46</v>
      </c>
      <c r="G955" t="s">
        <v>47</v>
      </c>
      <c r="H955">
        <v>14910</v>
      </c>
      <c r="I955">
        <f>Sales_Transactions_Raw[[#This Row],[Unit_Price]]*Sales_Transactions_Raw[[#This Row],[Quantity]]</f>
        <v>44730</v>
      </c>
      <c r="J955">
        <v>3</v>
      </c>
      <c r="K955">
        <v>0</v>
      </c>
      <c r="L955">
        <v>0</v>
      </c>
      <c r="M955">
        <v>44730</v>
      </c>
      <c r="N955">
        <v>18</v>
      </c>
      <c r="O955">
        <v>8051.4</v>
      </c>
      <c r="P955">
        <v>0</v>
      </c>
      <c r="Q955">
        <v>52781.4</v>
      </c>
      <c r="R955" t="s">
        <v>124</v>
      </c>
      <c r="S955" t="s">
        <v>93</v>
      </c>
      <c r="T955" t="s">
        <v>115</v>
      </c>
      <c r="U955" t="s">
        <v>214</v>
      </c>
      <c r="V955" t="s">
        <v>94</v>
      </c>
      <c r="W955" t="s">
        <v>95</v>
      </c>
      <c r="X955" t="s">
        <v>611</v>
      </c>
      <c r="Y955" t="s">
        <v>97</v>
      </c>
      <c r="Z955" t="s">
        <v>95</v>
      </c>
      <c r="AA955" t="s">
        <v>3198</v>
      </c>
      <c r="AB955" t="s">
        <v>3338</v>
      </c>
      <c r="AC955">
        <v>5</v>
      </c>
      <c r="AD955" t="s">
        <v>56</v>
      </c>
      <c r="AE955" t="s">
        <v>3336</v>
      </c>
      <c r="AF955" t="s">
        <v>217</v>
      </c>
      <c r="AG955" t="s">
        <v>3337</v>
      </c>
      <c r="AH955" s="1">
        <v>45333</v>
      </c>
      <c r="AI955" s="1">
        <v>45340</v>
      </c>
      <c r="AJ955" s="1">
        <v>45349</v>
      </c>
      <c r="AK955" t="s">
        <v>3491</v>
      </c>
      <c r="AL955" t="s">
        <v>3197</v>
      </c>
    </row>
    <row r="956" spans="1:38" x14ac:dyDescent="0.35">
      <c r="A956" t="s">
        <v>3199</v>
      </c>
      <c r="B956" t="s">
        <v>588</v>
      </c>
      <c r="C956" t="s">
        <v>43</v>
      </c>
      <c r="D956" t="s">
        <v>303</v>
      </c>
      <c r="E956" t="s">
        <v>304</v>
      </c>
      <c r="F956" t="s">
        <v>134</v>
      </c>
      <c r="G956" t="s">
        <v>305</v>
      </c>
      <c r="H956">
        <v>40600</v>
      </c>
      <c r="I956">
        <f>Sales_Transactions_Raw[[#This Row],[Unit_Price]]*Sales_Transactions_Raw[[#This Row],[Quantity]]</f>
        <v>40600</v>
      </c>
      <c r="J956">
        <v>1</v>
      </c>
      <c r="K956">
        <v>0</v>
      </c>
      <c r="L956">
        <v>0</v>
      </c>
      <c r="M956">
        <v>40600</v>
      </c>
      <c r="N956">
        <v>5</v>
      </c>
      <c r="O956">
        <v>2030</v>
      </c>
      <c r="P956">
        <v>0</v>
      </c>
      <c r="Q956">
        <v>42630</v>
      </c>
      <c r="R956" t="s">
        <v>92</v>
      </c>
      <c r="S956" t="s">
        <v>107</v>
      </c>
      <c r="T956" t="s">
        <v>115</v>
      </c>
      <c r="U956" t="s">
        <v>214</v>
      </c>
      <c r="V956" t="s">
        <v>51</v>
      </c>
      <c r="W956" t="s">
        <v>52</v>
      </c>
      <c r="X956" t="s">
        <v>422</v>
      </c>
      <c r="Y956" t="s">
        <v>319</v>
      </c>
      <c r="Z956" t="s">
        <v>95</v>
      </c>
      <c r="AA956" t="s">
        <v>3201</v>
      </c>
      <c r="AB956" t="s">
        <v>3340</v>
      </c>
      <c r="AC956">
        <v>4</v>
      </c>
      <c r="AD956" t="s">
        <v>56</v>
      </c>
      <c r="AE956" t="s">
        <v>3336</v>
      </c>
      <c r="AF956" t="s">
        <v>262</v>
      </c>
      <c r="AG956" t="s">
        <v>3342</v>
      </c>
      <c r="AH956" s="1">
        <v>44954</v>
      </c>
      <c r="AI956" s="1">
        <v>44955</v>
      </c>
      <c r="AJ956" s="1">
        <v>44958</v>
      </c>
      <c r="AK956" t="s">
        <v>3648</v>
      </c>
      <c r="AL956" t="s">
        <v>3200</v>
      </c>
    </row>
    <row r="957" spans="1:38" x14ac:dyDescent="0.35">
      <c r="A957" t="s">
        <v>3202</v>
      </c>
      <c r="B957" t="s">
        <v>301</v>
      </c>
      <c r="C957" t="s">
        <v>43</v>
      </c>
      <c r="D957" t="s">
        <v>266</v>
      </c>
      <c r="E957" t="s">
        <v>267</v>
      </c>
      <c r="F957" t="s">
        <v>211</v>
      </c>
      <c r="G957" t="s">
        <v>268</v>
      </c>
      <c r="H957">
        <v>54570</v>
      </c>
      <c r="I957">
        <f>Sales_Transactions_Raw[[#This Row],[Unit_Price]]*Sales_Transactions_Raw[[#This Row],[Quantity]]</f>
        <v>163710</v>
      </c>
      <c r="J957">
        <v>3</v>
      </c>
      <c r="K957">
        <v>0</v>
      </c>
      <c r="L957">
        <v>0</v>
      </c>
      <c r="M957">
        <v>163710</v>
      </c>
      <c r="N957">
        <v>5</v>
      </c>
      <c r="O957">
        <v>8185.5</v>
      </c>
      <c r="P957">
        <v>0</v>
      </c>
      <c r="Q957">
        <v>171895.5</v>
      </c>
      <c r="R957" t="s">
        <v>79</v>
      </c>
      <c r="S957" t="s">
        <v>65</v>
      </c>
      <c r="T957" t="s">
        <v>115</v>
      </c>
      <c r="U957" t="s">
        <v>50</v>
      </c>
      <c r="V957" t="s">
        <v>149</v>
      </c>
      <c r="W957" t="s">
        <v>81</v>
      </c>
      <c r="X957" t="s">
        <v>204</v>
      </c>
      <c r="Y957" t="s">
        <v>118</v>
      </c>
      <c r="Z957" t="s">
        <v>70</v>
      </c>
      <c r="AA957" t="s">
        <v>3204</v>
      </c>
      <c r="AB957" t="s">
        <v>3341</v>
      </c>
      <c r="AC957">
        <v>5</v>
      </c>
      <c r="AD957" t="s">
        <v>179</v>
      </c>
      <c r="AE957" t="s">
        <v>3336</v>
      </c>
      <c r="AF957" t="s">
        <v>217</v>
      </c>
      <c r="AG957" t="s">
        <v>3342</v>
      </c>
      <c r="AH957" s="1">
        <v>45212</v>
      </c>
      <c r="AI957" s="1">
        <v>45217</v>
      </c>
      <c r="AJ957" s="1">
        <v>45226</v>
      </c>
      <c r="AK957" t="s">
        <v>3650</v>
      </c>
      <c r="AL957" t="s">
        <v>3203</v>
      </c>
    </row>
    <row r="958" spans="1:38" x14ac:dyDescent="0.35">
      <c r="A958" t="s">
        <v>3205</v>
      </c>
      <c r="B958" t="s">
        <v>172</v>
      </c>
      <c r="C958" t="s">
        <v>43</v>
      </c>
      <c r="D958" t="s">
        <v>630</v>
      </c>
      <c r="E958" t="s">
        <v>450</v>
      </c>
      <c r="F958" t="s">
        <v>134</v>
      </c>
      <c r="G958" t="s">
        <v>497</v>
      </c>
      <c r="H958">
        <v>46750</v>
      </c>
      <c r="I958">
        <f>Sales_Transactions_Raw[[#This Row],[Unit_Price]]*Sales_Transactions_Raw[[#This Row],[Quantity]]</f>
        <v>93500</v>
      </c>
      <c r="J958">
        <v>2</v>
      </c>
      <c r="K958">
        <v>5</v>
      </c>
      <c r="L958">
        <v>4675</v>
      </c>
      <c r="M958">
        <v>88825</v>
      </c>
      <c r="N958">
        <v>5</v>
      </c>
      <c r="O958">
        <v>4441.25</v>
      </c>
      <c r="P958">
        <v>0</v>
      </c>
      <c r="Q958">
        <v>93266.25</v>
      </c>
      <c r="R958" t="s">
        <v>92</v>
      </c>
      <c r="S958" t="s">
        <v>49</v>
      </c>
      <c r="T958" t="s">
        <v>115</v>
      </c>
      <c r="U958" t="s">
        <v>196</v>
      </c>
      <c r="V958" t="s">
        <v>242</v>
      </c>
      <c r="W958" t="s">
        <v>70</v>
      </c>
      <c r="X958" t="s">
        <v>469</v>
      </c>
      <c r="Y958" t="s">
        <v>244</v>
      </c>
      <c r="Z958" t="s">
        <v>70</v>
      </c>
      <c r="AA958" t="s">
        <v>3207</v>
      </c>
      <c r="AB958" t="s">
        <v>3343</v>
      </c>
      <c r="AC958">
        <v>4</v>
      </c>
      <c r="AD958" t="s">
        <v>56</v>
      </c>
      <c r="AE958" t="s">
        <v>3336</v>
      </c>
      <c r="AF958" t="s">
        <v>84</v>
      </c>
      <c r="AG958" t="s">
        <v>85</v>
      </c>
      <c r="AH958" s="1">
        <v>45312</v>
      </c>
      <c r="AI958" s="1">
        <v>45316</v>
      </c>
      <c r="AJ958" s="1">
        <v>45320</v>
      </c>
      <c r="AK958" t="s">
        <v>3356</v>
      </c>
      <c r="AL958" t="s">
        <v>3206</v>
      </c>
    </row>
    <row r="959" spans="1:38" x14ac:dyDescent="0.35">
      <c r="A959" t="s">
        <v>3208</v>
      </c>
      <c r="B959" t="s">
        <v>1296</v>
      </c>
      <c r="C959" t="s">
        <v>89</v>
      </c>
      <c r="D959" t="s">
        <v>441</v>
      </c>
      <c r="E959" t="s">
        <v>442</v>
      </c>
      <c r="F959" t="s">
        <v>46</v>
      </c>
      <c r="G959" t="s">
        <v>369</v>
      </c>
      <c r="H959">
        <v>63590</v>
      </c>
      <c r="I959">
        <f>Sales_Transactions_Raw[[#This Row],[Unit_Price]]*Sales_Transactions_Raw[[#This Row],[Quantity]]</f>
        <v>190770</v>
      </c>
      <c r="J959">
        <v>3</v>
      </c>
      <c r="K959">
        <v>25</v>
      </c>
      <c r="L959">
        <v>47692.5</v>
      </c>
      <c r="M959">
        <v>143077.5</v>
      </c>
      <c r="N959">
        <v>18</v>
      </c>
      <c r="O959">
        <v>25753.95</v>
      </c>
      <c r="P959">
        <v>0</v>
      </c>
      <c r="Q959">
        <v>168831.45</v>
      </c>
      <c r="R959" t="s">
        <v>124</v>
      </c>
      <c r="S959" t="s">
        <v>93</v>
      </c>
      <c r="T959" t="s">
        <v>115</v>
      </c>
      <c r="U959" t="s">
        <v>196</v>
      </c>
      <c r="V959" t="s">
        <v>297</v>
      </c>
      <c r="W959" t="s">
        <v>52</v>
      </c>
      <c r="X959" t="s">
        <v>232</v>
      </c>
      <c r="Y959" t="s">
        <v>82</v>
      </c>
      <c r="Z959" t="s">
        <v>52</v>
      </c>
      <c r="AA959" t="s">
        <v>3210</v>
      </c>
      <c r="AB959" t="s">
        <v>3339</v>
      </c>
      <c r="AC959">
        <v>1</v>
      </c>
      <c r="AD959" t="s">
        <v>56</v>
      </c>
      <c r="AE959" t="s">
        <v>3336</v>
      </c>
      <c r="AF959" t="s">
        <v>227</v>
      </c>
      <c r="AG959" t="s">
        <v>3337</v>
      </c>
      <c r="AH959" s="1">
        <v>45103</v>
      </c>
      <c r="AI959" s="1">
        <v>44964</v>
      </c>
      <c r="AJ959" s="1">
        <v>45084</v>
      </c>
      <c r="AK959" t="s">
        <v>3563</v>
      </c>
      <c r="AL959" t="s">
        <v>3209</v>
      </c>
    </row>
    <row r="960" spans="1:38" x14ac:dyDescent="0.35">
      <c r="A960" t="s">
        <v>3211</v>
      </c>
      <c r="B960" t="s">
        <v>1000</v>
      </c>
      <c r="C960" t="s">
        <v>43</v>
      </c>
      <c r="D960" t="s">
        <v>426</v>
      </c>
      <c r="E960" t="s">
        <v>427</v>
      </c>
      <c r="F960" t="s">
        <v>134</v>
      </c>
      <c r="G960" t="s">
        <v>305</v>
      </c>
      <c r="H960">
        <v>49590</v>
      </c>
      <c r="I960">
        <f>Sales_Transactions_Raw[[#This Row],[Unit_Price]]*Sales_Transactions_Raw[[#This Row],[Quantity]]</f>
        <v>148770</v>
      </c>
      <c r="J960">
        <v>3</v>
      </c>
      <c r="K960">
        <v>0</v>
      </c>
      <c r="L960">
        <v>0</v>
      </c>
      <c r="M960">
        <v>148770</v>
      </c>
      <c r="N960">
        <v>5</v>
      </c>
      <c r="O960">
        <v>7438.5</v>
      </c>
      <c r="P960">
        <v>0</v>
      </c>
      <c r="Q960">
        <v>156208.5</v>
      </c>
      <c r="R960" t="s">
        <v>64</v>
      </c>
      <c r="S960" t="s">
        <v>65</v>
      </c>
      <c r="T960" t="s">
        <v>115</v>
      </c>
      <c r="U960" t="s">
        <v>196</v>
      </c>
      <c r="V960" t="s">
        <v>287</v>
      </c>
      <c r="W960" t="s">
        <v>95</v>
      </c>
      <c r="X960" t="s">
        <v>393</v>
      </c>
      <c r="Y960" t="s">
        <v>393</v>
      </c>
      <c r="Z960" t="s">
        <v>70</v>
      </c>
      <c r="AA960" t="s">
        <v>3213</v>
      </c>
      <c r="AB960" t="s">
        <v>3341</v>
      </c>
      <c r="AC960">
        <v>4</v>
      </c>
      <c r="AD960" t="s">
        <v>56</v>
      </c>
      <c r="AE960" t="s">
        <v>3336</v>
      </c>
      <c r="AF960" t="s">
        <v>217</v>
      </c>
      <c r="AG960" t="s">
        <v>3337</v>
      </c>
      <c r="AH960" s="1">
        <v>45079</v>
      </c>
      <c r="AI960" s="1">
        <v>45084</v>
      </c>
      <c r="AJ960" s="1">
        <v>45092</v>
      </c>
      <c r="AK960" t="s">
        <v>3728</v>
      </c>
      <c r="AL960" t="s">
        <v>3212</v>
      </c>
    </row>
    <row r="961" spans="1:38" x14ac:dyDescent="0.35">
      <c r="A961" t="s">
        <v>3214</v>
      </c>
      <c r="B961" t="s">
        <v>478</v>
      </c>
      <c r="C961" t="s">
        <v>89</v>
      </c>
      <c r="D961" t="s">
        <v>420</v>
      </c>
      <c r="E961" t="s">
        <v>421</v>
      </c>
      <c r="F961" t="s">
        <v>134</v>
      </c>
      <c r="G961" t="s">
        <v>135</v>
      </c>
      <c r="H961">
        <v>3300</v>
      </c>
      <c r="I961">
        <f>Sales_Transactions_Raw[[#This Row],[Unit_Price]]*Sales_Transactions_Raw[[#This Row],[Quantity]]</f>
        <v>19800</v>
      </c>
      <c r="J961">
        <v>6</v>
      </c>
      <c r="K961">
        <v>5</v>
      </c>
      <c r="L961">
        <v>990</v>
      </c>
      <c r="M961">
        <v>18810</v>
      </c>
      <c r="N961">
        <v>5</v>
      </c>
      <c r="O961">
        <v>940.5</v>
      </c>
      <c r="P961">
        <v>0</v>
      </c>
      <c r="Q961">
        <v>19750.5</v>
      </c>
      <c r="R961" t="s">
        <v>79</v>
      </c>
      <c r="S961" t="s">
        <v>107</v>
      </c>
      <c r="T961" t="s">
        <v>115</v>
      </c>
      <c r="U961" t="s">
        <v>161</v>
      </c>
      <c r="V961" t="s">
        <v>177</v>
      </c>
      <c r="W961" t="s">
        <v>81</v>
      </c>
      <c r="X961" t="s">
        <v>626</v>
      </c>
      <c r="Y961" t="s">
        <v>289</v>
      </c>
      <c r="Z961" t="s">
        <v>52</v>
      </c>
      <c r="AA961" t="s">
        <v>3216</v>
      </c>
      <c r="AB961" t="s">
        <v>3344</v>
      </c>
      <c r="AC961">
        <v>5</v>
      </c>
      <c r="AD961" t="s">
        <v>56</v>
      </c>
      <c r="AE961" t="s">
        <v>3336</v>
      </c>
      <c r="AF961" t="s">
        <v>227</v>
      </c>
      <c r="AG961" t="s">
        <v>3337</v>
      </c>
      <c r="AH961" s="1">
        <v>45069</v>
      </c>
      <c r="AI961" s="1">
        <v>45076</v>
      </c>
      <c r="AJ961" s="1">
        <v>45080</v>
      </c>
      <c r="AK961" t="s">
        <v>3513</v>
      </c>
      <c r="AL961" t="s">
        <v>3215</v>
      </c>
    </row>
    <row r="962" spans="1:38" x14ac:dyDescent="0.35">
      <c r="A962" t="s">
        <v>3217</v>
      </c>
      <c r="B962" t="s">
        <v>646</v>
      </c>
      <c r="C962" t="s">
        <v>89</v>
      </c>
      <c r="D962" t="s">
        <v>144</v>
      </c>
      <c r="E962" t="s">
        <v>145</v>
      </c>
      <c r="F962" t="s">
        <v>146</v>
      </c>
      <c r="G962" t="s">
        <v>147</v>
      </c>
      <c r="H962">
        <v>2370</v>
      </c>
      <c r="I962">
        <f>Sales_Transactions_Raw[[#This Row],[Unit_Price]]*Sales_Transactions_Raw[[#This Row],[Quantity]]</f>
        <v>2370</v>
      </c>
      <c r="J962">
        <v>1</v>
      </c>
      <c r="K962">
        <v>0</v>
      </c>
      <c r="L962">
        <v>0</v>
      </c>
      <c r="M962">
        <v>2370</v>
      </c>
      <c r="N962">
        <v>12</v>
      </c>
      <c r="O962">
        <v>284.39999999999998</v>
      </c>
      <c r="P962">
        <v>99</v>
      </c>
      <c r="Q962">
        <v>2654.4</v>
      </c>
      <c r="R962" t="s">
        <v>48</v>
      </c>
      <c r="S962" t="s">
        <v>93</v>
      </c>
      <c r="T962" t="s">
        <v>115</v>
      </c>
      <c r="U962" t="s">
        <v>108</v>
      </c>
      <c r="V962" t="s">
        <v>269</v>
      </c>
      <c r="W962" t="s">
        <v>70</v>
      </c>
      <c r="X962" t="s">
        <v>137</v>
      </c>
      <c r="Y962" t="s">
        <v>138</v>
      </c>
      <c r="Z962" t="s">
        <v>81</v>
      </c>
      <c r="AA962" t="s">
        <v>3219</v>
      </c>
      <c r="AB962" t="s">
        <v>3338</v>
      </c>
      <c r="AC962">
        <v>4</v>
      </c>
      <c r="AD962" t="s">
        <v>56</v>
      </c>
      <c r="AE962" t="s">
        <v>3336</v>
      </c>
      <c r="AF962" t="s">
        <v>140</v>
      </c>
      <c r="AG962" t="s">
        <v>111</v>
      </c>
      <c r="AH962" s="1">
        <v>45305</v>
      </c>
      <c r="AI962" s="1">
        <v>45309</v>
      </c>
      <c r="AJ962" s="1">
        <v>45316</v>
      </c>
      <c r="AK962" t="s">
        <v>3432</v>
      </c>
      <c r="AL962" t="s">
        <v>3218</v>
      </c>
    </row>
    <row r="963" spans="1:38" x14ac:dyDescent="0.35">
      <c r="A963" t="s">
        <v>3220</v>
      </c>
      <c r="B963" t="s">
        <v>862</v>
      </c>
      <c r="C963" t="s">
        <v>157</v>
      </c>
      <c r="D963" t="s">
        <v>76</v>
      </c>
      <c r="E963" t="s">
        <v>77</v>
      </c>
      <c r="F963" t="s">
        <v>46</v>
      </c>
      <c r="G963" t="s">
        <v>78</v>
      </c>
      <c r="H963">
        <v>73760</v>
      </c>
      <c r="I963">
        <f>Sales_Transactions_Raw[[#This Row],[Unit_Price]]*Sales_Transactions_Raw[[#This Row],[Quantity]]</f>
        <v>590080</v>
      </c>
      <c r="J963">
        <v>8</v>
      </c>
      <c r="K963">
        <v>25</v>
      </c>
      <c r="L963">
        <v>147520</v>
      </c>
      <c r="M963">
        <v>442560</v>
      </c>
      <c r="N963">
        <v>18</v>
      </c>
      <c r="O963">
        <v>79660.800000000003</v>
      </c>
      <c r="P963">
        <v>0</v>
      </c>
      <c r="Q963">
        <v>522220.79999999999</v>
      </c>
      <c r="R963" t="s">
        <v>160</v>
      </c>
      <c r="S963" t="s">
        <v>107</v>
      </c>
      <c r="T963" t="s">
        <v>136</v>
      </c>
      <c r="U963" t="s">
        <v>108</v>
      </c>
      <c r="V963" t="s">
        <v>177</v>
      </c>
      <c r="W963" t="s">
        <v>81</v>
      </c>
      <c r="X963" t="s">
        <v>277</v>
      </c>
      <c r="Y963" t="s">
        <v>127</v>
      </c>
      <c r="Z963" t="s">
        <v>68</v>
      </c>
      <c r="AA963" t="s">
        <v>3222</v>
      </c>
      <c r="AB963" t="s">
        <v>3335</v>
      </c>
      <c r="AC963">
        <v>5</v>
      </c>
      <c r="AD963" t="s">
        <v>56</v>
      </c>
      <c r="AE963" t="s">
        <v>3336</v>
      </c>
      <c r="AF963" t="s">
        <v>72</v>
      </c>
      <c r="AG963" t="s">
        <v>58</v>
      </c>
      <c r="AH963" s="1">
        <v>44957</v>
      </c>
      <c r="AI963" s="1">
        <v>44963</v>
      </c>
      <c r="AJ963" s="1">
        <v>44972</v>
      </c>
      <c r="AK963" t="s">
        <v>3478</v>
      </c>
      <c r="AL963" t="s">
        <v>3221</v>
      </c>
    </row>
    <row r="964" spans="1:38" x14ac:dyDescent="0.35">
      <c r="A964" t="s">
        <v>3223</v>
      </c>
      <c r="B964" t="s">
        <v>447</v>
      </c>
      <c r="C964" t="s">
        <v>157</v>
      </c>
      <c r="D964" t="s">
        <v>420</v>
      </c>
      <c r="E964" t="s">
        <v>421</v>
      </c>
      <c r="F964" t="s">
        <v>134</v>
      </c>
      <c r="G964" t="s">
        <v>135</v>
      </c>
      <c r="H964">
        <v>3360</v>
      </c>
      <c r="I964">
        <f>Sales_Transactions_Raw[[#This Row],[Unit_Price]]*Sales_Transactions_Raw[[#This Row],[Quantity]]</f>
        <v>23520</v>
      </c>
      <c r="J964">
        <v>7</v>
      </c>
      <c r="K964">
        <v>0</v>
      </c>
      <c r="L964">
        <v>0</v>
      </c>
      <c r="M964">
        <v>23520</v>
      </c>
      <c r="N964">
        <v>5</v>
      </c>
      <c r="O964">
        <v>1176</v>
      </c>
      <c r="P964">
        <v>0</v>
      </c>
      <c r="Q964">
        <v>24696</v>
      </c>
      <c r="R964" t="s">
        <v>124</v>
      </c>
      <c r="S964" t="s">
        <v>125</v>
      </c>
      <c r="T964" t="s">
        <v>66</v>
      </c>
      <c r="U964" t="s">
        <v>108</v>
      </c>
      <c r="V964" t="s">
        <v>67</v>
      </c>
      <c r="W964" t="s">
        <v>696</v>
      </c>
      <c r="X964" t="s">
        <v>288</v>
      </c>
      <c r="Y964" t="s">
        <v>289</v>
      </c>
      <c r="Z964" t="s">
        <v>52</v>
      </c>
      <c r="AA964" t="s">
        <v>3225</v>
      </c>
      <c r="AB964" t="s">
        <v>3335</v>
      </c>
      <c r="AC964">
        <v>4</v>
      </c>
      <c r="AD964" t="s">
        <v>56</v>
      </c>
      <c r="AE964" t="s">
        <v>3336</v>
      </c>
      <c r="AF964" t="s">
        <v>153</v>
      </c>
      <c r="AG964" t="s">
        <v>3337</v>
      </c>
      <c r="AH964" s="1">
        <v>45119</v>
      </c>
      <c r="AI964" s="1">
        <v>45126</v>
      </c>
      <c r="AJ964" s="1">
        <v>45130</v>
      </c>
      <c r="AK964" t="s">
        <v>3393</v>
      </c>
      <c r="AL964" t="s">
        <v>3224</v>
      </c>
    </row>
    <row r="965" spans="1:38" x14ac:dyDescent="0.35">
      <c r="A965" t="s">
        <v>3226</v>
      </c>
      <c r="B965" t="s">
        <v>191</v>
      </c>
      <c r="C965" t="s">
        <v>43</v>
      </c>
      <c r="D965" t="s">
        <v>391</v>
      </c>
      <c r="E965" t="s">
        <v>392</v>
      </c>
      <c r="F965" t="s">
        <v>46</v>
      </c>
      <c r="G965" t="s">
        <v>176</v>
      </c>
      <c r="H965">
        <v>10380</v>
      </c>
      <c r="I965">
        <f>Sales_Transactions_Raw[[#This Row],[Unit_Price]]*Sales_Transactions_Raw[[#This Row],[Quantity]]</f>
        <v>20760</v>
      </c>
      <c r="J965">
        <v>2</v>
      </c>
      <c r="K965">
        <v>5</v>
      </c>
      <c r="L965">
        <v>1038</v>
      </c>
      <c r="M965">
        <v>19722</v>
      </c>
      <c r="N965">
        <v>18</v>
      </c>
      <c r="O965">
        <v>3549.96</v>
      </c>
      <c r="P965">
        <v>0</v>
      </c>
      <c r="Q965">
        <v>23271.96</v>
      </c>
      <c r="R965" t="s">
        <v>92</v>
      </c>
      <c r="S965" t="s">
        <v>107</v>
      </c>
      <c r="T965" t="s">
        <v>148</v>
      </c>
      <c r="U965" t="s">
        <v>50</v>
      </c>
      <c r="V965" t="s">
        <v>242</v>
      </c>
      <c r="W965" t="s">
        <v>70</v>
      </c>
      <c r="X965" t="s">
        <v>225</v>
      </c>
      <c r="Y965" t="s">
        <v>226</v>
      </c>
      <c r="Z965" t="s">
        <v>95</v>
      </c>
      <c r="AA965" t="s">
        <v>3228</v>
      </c>
      <c r="AB965" t="s">
        <v>3335</v>
      </c>
      <c r="AC965">
        <v>4</v>
      </c>
      <c r="AD965" t="s">
        <v>179</v>
      </c>
      <c r="AE965" t="s">
        <v>206</v>
      </c>
      <c r="AF965" t="s">
        <v>153</v>
      </c>
      <c r="AG965" t="s">
        <v>111</v>
      </c>
      <c r="AH965" s="1">
        <v>45447</v>
      </c>
      <c r="AI965" s="1">
        <v>45450</v>
      </c>
      <c r="AJ965" s="1">
        <v>45453</v>
      </c>
      <c r="AK965" t="s">
        <v>3718</v>
      </c>
      <c r="AL965" t="s">
        <v>3227</v>
      </c>
    </row>
    <row r="966" spans="1:38" x14ac:dyDescent="0.35">
      <c r="A966" t="s">
        <v>3229</v>
      </c>
      <c r="B966" t="s">
        <v>101</v>
      </c>
      <c r="C966" t="s">
        <v>43</v>
      </c>
      <c r="D966" t="s">
        <v>526</v>
      </c>
      <c r="E966" t="s">
        <v>527</v>
      </c>
      <c r="F966" t="s">
        <v>185</v>
      </c>
      <c r="G966" t="s">
        <v>528</v>
      </c>
      <c r="H966">
        <v>890</v>
      </c>
      <c r="I966">
        <f>Sales_Transactions_Raw[[#This Row],[Unit_Price]]*Sales_Transactions_Raw[[#This Row],[Quantity]]</f>
        <v>3560</v>
      </c>
      <c r="J966">
        <v>4</v>
      </c>
      <c r="K966">
        <v>10</v>
      </c>
      <c r="L966">
        <v>356</v>
      </c>
      <c r="M966">
        <v>3204</v>
      </c>
      <c r="N966">
        <v>5</v>
      </c>
      <c r="O966">
        <v>160.19999999999999</v>
      </c>
      <c r="P966">
        <v>79</v>
      </c>
      <c r="Q966">
        <v>3364.2</v>
      </c>
      <c r="R966" t="s">
        <v>48</v>
      </c>
      <c r="S966" t="s">
        <v>65</v>
      </c>
      <c r="T966" t="s">
        <v>115</v>
      </c>
      <c r="U966" t="s">
        <v>161</v>
      </c>
      <c r="V966" t="s">
        <v>67</v>
      </c>
      <c r="W966" t="s">
        <v>68</v>
      </c>
      <c r="X966" t="s">
        <v>556</v>
      </c>
      <c r="Y966" t="s">
        <v>481</v>
      </c>
      <c r="Z966" t="s">
        <v>52</v>
      </c>
      <c r="AA966" t="s">
        <v>3231</v>
      </c>
      <c r="AB966" t="s">
        <v>3344</v>
      </c>
      <c r="AC966">
        <v>4</v>
      </c>
      <c r="AD966" t="s">
        <v>56</v>
      </c>
      <c r="AE966" t="s">
        <v>3336</v>
      </c>
      <c r="AF966" t="s">
        <v>227</v>
      </c>
      <c r="AG966" t="s">
        <v>58</v>
      </c>
      <c r="AH966" s="1">
        <v>45418</v>
      </c>
      <c r="AI966" s="1">
        <v>45420</v>
      </c>
      <c r="AJ966" s="1">
        <v>45430</v>
      </c>
      <c r="AK966" t="s">
        <v>3349</v>
      </c>
      <c r="AL966" t="s">
        <v>3230</v>
      </c>
    </row>
    <row r="967" spans="1:38" x14ac:dyDescent="0.35">
      <c r="A967" t="s">
        <v>3232</v>
      </c>
      <c r="B967" t="s">
        <v>430</v>
      </c>
      <c r="C967" t="s">
        <v>43</v>
      </c>
      <c r="D967" t="s">
        <v>956</v>
      </c>
      <c r="E967" t="s">
        <v>957</v>
      </c>
      <c r="F967" t="s">
        <v>46</v>
      </c>
      <c r="G967" t="s">
        <v>147</v>
      </c>
      <c r="H967">
        <v>8580</v>
      </c>
      <c r="I967">
        <f>Sales_Transactions_Raw[[#This Row],[Unit_Price]]*Sales_Transactions_Raw[[#This Row],[Quantity]]</f>
        <v>51480</v>
      </c>
      <c r="J967">
        <v>6</v>
      </c>
      <c r="K967">
        <v>20</v>
      </c>
      <c r="L967">
        <v>10296</v>
      </c>
      <c r="M967">
        <v>41184</v>
      </c>
      <c r="N967">
        <v>18</v>
      </c>
      <c r="O967">
        <v>7413.12</v>
      </c>
      <c r="P967">
        <v>0</v>
      </c>
      <c r="Q967">
        <v>48597.120000000003</v>
      </c>
      <c r="R967" t="s">
        <v>48</v>
      </c>
      <c r="S967" t="s">
        <v>125</v>
      </c>
      <c r="T967" t="s">
        <v>66</v>
      </c>
      <c r="U967" t="s">
        <v>196</v>
      </c>
      <c r="V967" t="s">
        <v>224</v>
      </c>
      <c r="W967" t="s">
        <v>95</v>
      </c>
      <c r="X967" t="s">
        <v>168</v>
      </c>
      <c r="Y967" t="s">
        <v>169</v>
      </c>
      <c r="Z967" t="s">
        <v>95</v>
      </c>
      <c r="AA967" t="s">
        <v>3234</v>
      </c>
      <c r="AB967" t="s">
        <v>3340</v>
      </c>
      <c r="AC967">
        <v>4</v>
      </c>
      <c r="AD967" t="s">
        <v>56</v>
      </c>
      <c r="AE967" t="s">
        <v>3336</v>
      </c>
      <c r="AF967" t="s">
        <v>164</v>
      </c>
      <c r="AG967" t="s">
        <v>3342</v>
      </c>
      <c r="AH967" s="1">
        <v>45014</v>
      </c>
      <c r="AI967" s="1">
        <v>45020</v>
      </c>
      <c r="AJ967" s="1">
        <v>45234</v>
      </c>
      <c r="AK967" t="s">
        <v>3420</v>
      </c>
      <c r="AL967" t="s">
        <v>3233</v>
      </c>
    </row>
    <row r="968" spans="1:38" x14ac:dyDescent="0.35">
      <c r="A968" t="s">
        <v>3235</v>
      </c>
      <c r="B968" t="s">
        <v>717</v>
      </c>
      <c r="C968" t="s">
        <v>43</v>
      </c>
      <c r="D968" t="s">
        <v>294</v>
      </c>
      <c r="E968" t="s">
        <v>295</v>
      </c>
      <c r="F968" t="s">
        <v>146</v>
      </c>
      <c r="G968" t="s">
        <v>296</v>
      </c>
      <c r="H968">
        <v>13590</v>
      </c>
      <c r="I968">
        <f>Sales_Transactions_Raw[[#This Row],[Unit_Price]]*Sales_Transactions_Raw[[#This Row],[Quantity]]</f>
        <v>67950</v>
      </c>
      <c r="J968">
        <v>5</v>
      </c>
      <c r="K968">
        <v>0</v>
      </c>
      <c r="L968">
        <v>0</v>
      </c>
      <c r="M968">
        <v>67950</v>
      </c>
      <c r="N968">
        <v>12</v>
      </c>
      <c r="O968">
        <v>8154</v>
      </c>
      <c r="P968">
        <v>0</v>
      </c>
      <c r="Q968">
        <v>76104</v>
      </c>
      <c r="R968" t="s">
        <v>79</v>
      </c>
      <c r="S968" t="s">
        <v>93</v>
      </c>
      <c r="T968" t="s">
        <v>115</v>
      </c>
      <c r="U968" t="s">
        <v>214</v>
      </c>
      <c r="V968" t="s">
        <v>177</v>
      </c>
      <c r="W968" t="s">
        <v>81</v>
      </c>
      <c r="X968" t="s">
        <v>298</v>
      </c>
      <c r="Y968" t="s">
        <v>151</v>
      </c>
      <c r="Z968" t="s">
        <v>81</v>
      </c>
      <c r="AA968" t="s">
        <v>3237</v>
      </c>
      <c r="AB968" t="s">
        <v>3335</v>
      </c>
      <c r="AC968">
        <v>3</v>
      </c>
      <c r="AD968" t="s">
        <v>56</v>
      </c>
      <c r="AE968" t="s">
        <v>3336</v>
      </c>
      <c r="AF968" t="s">
        <v>84</v>
      </c>
      <c r="AG968" t="s">
        <v>111</v>
      </c>
      <c r="AH968" s="1">
        <v>45322</v>
      </c>
      <c r="AI968" s="1">
        <v>45323</v>
      </c>
      <c r="AJ968" s="1">
        <v>45331</v>
      </c>
      <c r="AK968" t="s">
        <v>3503</v>
      </c>
      <c r="AL968" t="s">
        <v>3236</v>
      </c>
    </row>
    <row r="969" spans="1:38" x14ac:dyDescent="0.35">
      <c r="A969" t="s">
        <v>3238</v>
      </c>
      <c r="B969" t="s">
        <v>207</v>
      </c>
      <c r="C969" t="s">
        <v>157</v>
      </c>
      <c r="D969" t="s">
        <v>375</v>
      </c>
      <c r="E969" t="s">
        <v>376</v>
      </c>
      <c r="F969" t="s">
        <v>146</v>
      </c>
      <c r="G969" t="s">
        <v>147</v>
      </c>
      <c r="H969">
        <v>8440</v>
      </c>
      <c r="I969">
        <f>Sales_Transactions_Raw[[#This Row],[Unit_Price]]*Sales_Transactions_Raw[[#This Row],[Quantity]]</f>
        <v>42200</v>
      </c>
      <c r="J969">
        <v>5</v>
      </c>
      <c r="K969">
        <v>15</v>
      </c>
      <c r="L969">
        <v>6330</v>
      </c>
      <c r="M969">
        <v>35870</v>
      </c>
      <c r="N969">
        <v>12</v>
      </c>
      <c r="O969">
        <v>4304.3999999999996</v>
      </c>
      <c r="P969">
        <v>0</v>
      </c>
      <c r="Q969">
        <v>40174.400000000001</v>
      </c>
      <c r="R969" t="s">
        <v>92</v>
      </c>
      <c r="S969" t="s">
        <v>49</v>
      </c>
      <c r="T969" t="s">
        <v>66</v>
      </c>
      <c r="U969" t="s">
        <v>108</v>
      </c>
      <c r="V969" t="s">
        <v>149</v>
      </c>
      <c r="W969" t="s">
        <v>81</v>
      </c>
      <c r="X969" t="s">
        <v>491</v>
      </c>
      <c r="Y969" t="s">
        <v>358</v>
      </c>
      <c r="Z969" t="s">
        <v>95</v>
      </c>
      <c r="AA969" t="s">
        <v>3240</v>
      </c>
      <c r="AB969" t="s">
        <v>3335</v>
      </c>
      <c r="AC969">
        <v>5</v>
      </c>
      <c r="AD969" t="s">
        <v>56</v>
      </c>
      <c r="AE969" t="s">
        <v>3336</v>
      </c>
      <c r="AF969" t="s">
        <v>326</v>
      </c>
      <c r="AG969" t="s">
        <v>3337</v>
      </c>
      <c r="AH969" s="1">
        <v>45322</v>
      </c>
      <c r="AI969" s="1">
        <v>45195</v>
      </c>
      <c r="AJ969" s="1">
        <v>45201</v>
      </c>
      <c r="AK969" t="s">
        <v>3725</v>
      </c>
      <c r="AL969" t="s">
        <v>3239</v>
      </c>
    </row>
    <row r="970" spans="1:38" x14ac:dyDescent="0.35">
      <c r="A970" t="s">
        <v>3241</v>
      </c>
      <c r="B970" t="s">
        <v>219</v>
      </c>
      <c r="C970" t="s">
        <v>43</v>
      </c>
      <c r="D970" t="s">
        <v>317</v>
      </c>
      <c r="E970" t="s">
        <v>77</v>
      </c>
      <c r="F970" t="s">
        <v>46</v>
      </c>
      <c r="G970" t="s">
        <v>176</v>
      </c>
      <c r="H970">
        <v>31540</v>
      </c>
      <c r="I970">
        <f>Sales_Transactions_Raw[[#This Row],[Unit_Price]]*Sales_Transactions_Raw[[#This Row],[Quantity]]</f>
        <v>31540</v>
      </c>
      <c r="J970">
        <v>1</v>
      </c>
      <c r="K970">
        <v>5</v>
      </c>
      <c r="L970">
        <v>1577</v>
      </c>
      <c r="M970">
        <v>29963</v>
      </c>
      <c r="N970">
        <v>18</v>
      </c>
      <c r="O970">
        <v>5393.34</v>
      </c>
      <c r="P970">
        <v>0</v>
      </c>
      <c r="Q970">
        <v>35356.339999999997</v>
      </c>
      <c r="R970" t="s">
        <v>160</v>
      </c>
      <c r="S970" t="s">
        <v>125</v>
      </c>
      <c r="T970" t="s">
        <v>213</v>
      </c>
      <c r="U970" t="s">
        <v>50</v>
      </c>
      <c r="V970" t="s">
        <v>51</v>
      </c>
      <c r="W970" t="s">
        <v>52</v>
      </c>
      <c r="X970" t="s">
        <v>469</v>
      </c>
      <c r="Y970" t="s">
        <v>244</v>
      </c>
      <c r="Z970" t="s">
        <v>70</v>
      </c>
      <c r="AA970" t="s">
        <v>3243</v>
      </c>
      <c r="AB970" t="s">
        <v>3335</v>
      </c>
      <c r="AC970">
        <v>4</v>
      </c>
      <c r="AD970" t="s">
        <v>179</v>
      </c>
      <c r="AE970" t="s">
        <v>3336</v>
      </c>
      <c r="AF970" t="s">
        <v>262</v>
      </c>
      <c r="AG970" t="s">
        <v>3342</v>
      </c>
      <c r="AH970" s="1">
        <v>45079</v>
      </c>
      <c r="AI970" s="1">
        <v>45084</v>
      </c>
      <c r="AJ970" s="1">
        <v>45092</v>
      </c>
      <c r="AK970" t="s">
        <v>3726</v>
      </c>
      <c r="AL970" t="s">
        <v>3242</v>
      </c>
    </row>
    <row r="971" spans="1:38" x14ac:dyDescent="0.35">
      <c r="A971" t="s">
        <v>3244</v>
      </c>
      <c r="B971" t="s">
        <v>1225</v>
      </c>
      <c r="C971" t="s">
        <v>43</v>
      </c>
      <c r="D971" t="s">
        <v>971</v>
      </c>
      <c r="E971" t="s">
        <v>972</v>
      </c>
      <c r="F971" t="s">
        <v>146</v>
      </c>
      <c r="G971" t="s">
        <v>195</v>
      </c>
      <c r="H971">
        <v>1680</v>
      </c>
      <c r="I971">
        <f>Sales_Transactions_Raw[[#This Row],[Unit_Price]]*Sales_Transactions_Raw[[#This Row],[Quantity]]</f>
        <v>1680</v>
      </c>
      <c r="J971">
        <v>1</v>
      </c>
      <c r="K971">
        <v>10</v>
      </c>
      <c r="L971">
        <v>168</v>
      </c>
      <c r="M971">
        <v>1512</v>
      </c>
      <c r="N971">
        <v>12</v>
      </c>
      <c r="O971">
        <v>181.44</v>
      </c>
      <c r="P971">
        <v>149</v>
      </c>
      <c r="Q971">
        <v>1693.44</v>
      </c>
      <c r="R971" t="s">
        <v>160</v>
      </c>
      <c r="S971" t="s">
        <v>125</v>
      </c>
      <c r="T971" t="s">
        <v>66</v>
      </c>
      <c r="U971" t="s">
        <v>196</v>
      </c>
      <c r="V971" t="s">
        <v>224</v>
      </c>
      <c r="W971" t="s">
        <v>95</v>
      </c>
      <c r="X971" t="s">
        <v>187</v>
      </c>
      <c r="Y971" t="s">
        <v>188</v>
      </c>
      <c r="Z971" t="s">
        <v>68</v>
      </c>
      <c r="AA971" t="s">
        <v>3246</v>
      </c>
      <c r="AB971" t="s">
        <v>3335</v>
      </c>
      <c r="AC971">
        <v>2</v>
      </c>
      <c r="AD971" t="s">
        <v>56</v>
      </c>
      <c r="AE971" t="s">
        <v>3336</v>
      </c>
      <c r="AF971" t="s">
        <v>217</v>
      </c>
      <c r="AG971" t="s">
        <v>445</v>
      </c>
      <c r="AH971" s="1">
        <v>45058</v>
      </c>
      <c r="AI971" s="1">
        <v>45063</v>
      </c>
      <c r="AJ971" s="1">
        <v>45069</v>
      </c>
      <c r="AK971" t="s">
        <v>3586</v>
      </c>
      <c r="AL971" t="s">
        <v>3245</v>
      </c>
    </row>
    <row r="972" spans="1:38" x14ac:dyDescent="0.35">
      <c r="A972" t="s">
        <v>3247</v>
      </c>
      <c r="B972" t="s">
        <v>513</v>
      </c>
      <c r="C972" t="s">
        <v>43</v>
      </c>
      <c r="D972" t="s">
        <v>426</v>
      </c>
      <c r="E972" t="s">
        <v>427</v>
      </c>
      <c r="F972" t="s">
        <v>134</v>
      </c>
      <c r="G972" t="s">
        <v>305</v>
      </c>
      <c r="H972">
        <v>44680</v>
      </c>
      <c r="I972">
        <f>Sales_Transactions_Raw[[#This Row],[Unit_Price]]*Sales_Transactions_Raw[[#This Row],[Quantity]]</f>
        <v>134040</v>
      </c>
      <c r="J972">
        <v>3</v>
      </c>
      <c r="K972">
        <v>10</v>
      </c>
      <c r="L972">
        <v>13404</v>
      </c>
      <c r="M972">
        <v>120636</v>
      </c>
      <c r="N972">
        <v>5</v>
      </c>
      <c r="O972">
        <v>6031.8</v>
      </c>
      <c r="P972">
        <v>0</v>
      </c>
      <c r="Q972">
        <v>126667.8</v>
      </c>
      <c r="R972" t="s">
        <v>79</v>
      </c>
      <c r="S972" t="s">
        <v>93</v>
      </c>
      <c r="T972" t="s">
        <v>115</v>
      </c>
      <c r="U972" t="s">
        <v>196</v>
      </c>
      <c r="V972" t="s">
        <v>287</v>
      </c>
      <c r="W972" t="s">
        <v>95</v>
      </c>
      <c r="X972" t="s">
        <v>69</v>
      </c>
      <c r="Y972" t="s">
        <v>54</v>
      </c>
      <c r="Z972" t="s">
        <v>70</v>
      </c>
      <c r="AA972" t="s">
        <v>3249</v>
      </c>
      <c r="AB972" t="s">
        <v>3340</v>
      </c>
      <c r="AC972">
        <v>4</v>
      </c>
      <c r="AD972" t="s">
        <v>56</v>
      </c>
      <c r="AE972" t="s">
        <v>3336</v>
      </c>
      <c r="AF972" t="s">
        <v>99</v>
      </c>
      <c r="AG972" t="s">
        <v>85</v>
      </c>
      <c r="AH972" s="1">
        <v>45390</v>
      </c>
      <c r="AI972" s="1">
        <v>45397</v>
      </c>
      <c r="AJ972" s="1">
        <v>45406</v>
      </c>
      <c r="AK972" t="s">
        <v>3404</v>
      </c>
      <c r="AL972" t="s">
        <v>3248</v>
      </c>
    </row>
    <row r="973" spans="1:38" x14ac:dyDescent="0.35">
      <c r="A973" t="s">
        <v>3250</v>
      </c>
      <c r="B973" t="s">
        <v>343</v>
      </c>
      <c r="C973" t="s">
        <v>43</v>
      </c>
      <c r="D973" t="s">
        <v>367</v>
      </c>
      <c r="E973" t="s">
        <v>368</v>
      </c>
      <c r="F973" t="s">
        <v>46</v>
      </c>
      <c r="G973" t="s">
        <v>369</v>
      </c>
      <c r="H973">
        <v>28870</v>
      </c>
      <c r="I973">
        <f>Sales_Transactions_Raw[[#This Row],[Unit_Price]]*Sales_Transactions_Raw[[#This Row],[Quantity]]</f>
        <v>86610</v>
      </c>
      <c r="J973">
        <v>3</v>
      </c>
      <c r="K973">
        <v>0</v>
      </c>
      <c r="L973">
        <v>0</v>
      </c>
      <c r="M973">
        <v>86610</v>
      </c>
      <c r="N973">
        <v>18</v>
      </c>
      <c r="O973">
        <v>15589.8</v>
      </c>
      <c r="P973">
        <v>0</v>
      </c>
      <c r="Q973">
        <v>102199.8</v>
      </c>
      <c r="R973" t="s">
        <v>124</v>
      </c>
      <c r="S973" t="s">
        <v>125</v>
      </c>
      <c r="T973" t="s">
        <v>66</v>
      </c>
      <c r="U973" t="s">
        <v>161</v>
      </c>
      <c r="V973" t="s">
        <v>297</v>
      </c>
      <c r="W973" t="s">
        <v>52</v>
      </c>
      <c r="X973" t="s">
        <v>370</v>
      </c>
      <c r="Y973" t="s">
        <v>151</v>
      </c>
      <c r="Z973" t="s">
        <v>81</v>
      </c>
      <c r="AA973" t="s">
        <v>3252</v>
      </c>
      <c r="AB973" t="s">
        <v>3338</v>
      </c>
      <c r="AC973">
        <v>2</v>
      </c>
      <c r="AD973" t="s">
        <v>56</v>
      </c>
      <c r="AE973" t="s">
        <v>3336</v>
      </c>
      <c r="AF973" t="s">
        <v>326</v>
      </c>
      <c r="AG973" t="s">
        <v>3337</v>
      </c>
      <c r="AH973" s="1">
        <v>45306</v>
      </c>
      <c r="AI973" s="1">
        <v>45309</v>
      </c>
      <c r="AJ973" s="1">
        <v>45313</v>
      </c>
      <c r="AK973" t="s">
        <v>3377</v>
      </c>
      <c r="AL973" t="s">
        <v>3251</v>
      </c>
    </row>
    <row r="974" spans="1:38" x14ac:dyDescent="0.35">
      <c r="A974" t="s">
        <v>3253</v>
      </c>
      <c r="B974" t="s">
        <v>484</v>
      </c>
      <c r="C974" t="s">
        <v>89</v>
      </c>
      <c r="D974" t="s">
        <v>193</v>
      </c>
      <c r="E974" t="s">
        <v>194</v>
      </c>
      <c r="F974" t="s">
        <v>146</v>
      </c>
      <c r="G974" t="s">
        <v>195</v>
      </c>
      <c r="H974">
        <v>3420</v>
      </c>
      <c r="I974">
        <f>Sales_Transactions_Raw[[#This Row],[Unit_Price]]*Sales_Transactions_Raw[[#This Row],[Quantity]]</f>
        <v>13680</v>
      </c>
      <c r="J974">
        <v>4</v>
      </c>
      <c r="K974">
        <v>15</v>
      </c>
      <c r="L974">
        <v>2052</v>
      </c>
      <c r="M974">
        <v>11628</v>
      </c>
      <c r="N974">
        <v>12</v>
      </c>
      <c r="O974">
        <v>1395.36</v>
      </c>
      <c r="P974">
        <v>0</v>
      </c>
      <c r="Q974">
        <v>13023.36</v>
      </c>
      <c r="R974" t="s">
        <v>106</v>
      </c>
      <c r="S974" t="s">
        <v>93</v>
      </c>
      <c r="T974" t="s">
        <v>115</v>
      </c>
      <c r="U974" t="s">
        <v>108</v>
      </c>
      <c r="V974" t="s">
        <v>269</v>
      </c>
      <c r="W974" t="s">
        <v>70</v>
      </c>
      <c r="X974" t="s">
        <v>150</v>
      </c>
      <c r="Y974" t="s">
        <v>151</v>
      </c>
      <c r="Z974" t="s">
        <v>81</v>
      </c>
      <c r="AA974" t="s">
        <v>3255</v>
      </c>
      <c r="AB974" t="s">
        <v>3335</v>
      </c>
      <c r="AC974">
        <v>4</v>
      </c>
      <c r="AD974" t="s">
        <v>56</v>
      </c>
      <c r="AE974" t="s">
        <v>3336</v>
      </c>
      <c r="AF974" t="s">
        <v>262</v>
      </c>
      <c r="AG974" t="s">
        <v>85</v>
      </c>
      <c r="AH974" s="1">
        <v>45126</v>
      </c>
      <c r="AI974" s="1">
        <v>45128</v>
      </c>
      <c r="AJ974" s="1">
        <v>45134</v>
      </c>
      <c r="AK974" t="s">
        <v>3567</v>
      </c>
      <c r="AL974" t="s">
        <v>3254</v>
      </c>
    </row>
    <row r="975" spans="1:38" x14ac:dyDescent="0.35">
      <c r="A975" t="s">
        <v>3256</v>
      </c>
      <c r="B975" t="s">
        <v>272</v>
      </c>
      <c r="C975" t="s">
        <v>43</v>
      </c>
      <c r="D975" t="s">
        <v>323</v>
      </c>
      <c r="E975" t="s">
        <v>324</v>
      </c>
      <c r="F975" t="s">
        <v>146</v>
      </c>
      <c r="G975" t="s">
        <v>296</v>
      </c>
      <c r="H975">
        <v>10230</v>
      </c>
      <c r="I975">
        <f>Sales_Transactions_Raw[[#This Row],[Unit_Price]]*Sales_Transactions_Raw[[#This Row],[Quantity]]</f>
        <v>10230</v>
      </c>
      <c r="J975">
        <v>1</v>
      </c>
      <c r="K975">
        <v>0</v>
      </c>
      <c r="L975">
        <v>0</v>
      </c>
      <c r="M975">
        <v>10230</v>
      </c>
      <c r="N975">
        <v>12</v>
      </c>
      <c r="O975">
        <v>1227.5999999999999</v>
      </c>
      <c r="P975">
        <v>0</v>
      </c>
      <c r="Q975">
        <v>11457.6</v>
      </c>
      <c r="R975" t="s">
        <v>48</v>
      </c>
      <c r="S975" t="s">
        <v>125</v>
      </c>
      <c r="T975" t="s">
        <v>66</v>
      </c>
      <c r="U975" t="s">
        <v>196</v>
      </c>
      <c r="V975" t="s">
        <v>297</v>
      </c>
      <c r="W975" t="s">
        <v>52</v>
      </c>
      <c r="X975" t="s">
        <v>626</v>
      </c>
      <c r="Y975" t="s">
        <v>289</v>
      </c>
      <c r="Z975" t="s">
        <v>52</v>
      </c>
      <c r="AA975" t="s">
        <v>3258</v>
      </c>
      <c r="AB975" t="s">
        <v>3335</v>
      </c>
      <c r="AC975">
        <v>4</v>
      </c>
      <c r="AD975" t="s">
        <v>56</v>
      </c>
      <c r="AE975" t="s">
        <v>3336</v>
      </c>
      <c r="AF975" t="s">
        <v>99</v>
      </c>
      <c r="AG975" t="s">
        <v>85</v>
      </c>
      <c r="AH975" s="1">
        <v>45172</v>
      </c>
      <c r="AI975" s="1">
        <v>45179</v>
      </c>
      <c r="AJ975" s="1">
        <v>45186</v>
      </c>
      <c r="AK975" t="s">
        <v>3446</v>
      </c>
      <c r="AL975" t="s">
        <v>3257</v>
      </c>
    </row>
    <row r="976" spans="1:38" x14ac:dyDescent="0.35">
      <c r="A976" t="s">
        <v>3259</v>
      </c>
      <c r="B976" t="s">
        <v>533</v>
      </c>
      <c r="C976" t="s">
        <v>43</v>
      </c>
      <c r="D976" t="s">
        <v>158</v>
      </c>
      <c r="E976" t="s">
        <v>159</v>
      </c>
      <c r="F976" t="s">
        <v>46</v>
      </c>
      <c r="G976" t="s">
        <v>105</v>
      </c>
      <c r="H976">
        <v>49640</v>
      </c>
      <c r="I976">
        <f>Sales_Transactions_Raw[[#This Row],[Unit_Price]]*Sales_Transactions_Raw[[#This Row],[Quantity]]</f>
        <v>99280</v>
      </c>
      <c r="J976">
        <v>2</v>
      </c>
      <c r="K976">
        <v>15</v>
      </c>
      <c r="L976">
        <v>14892</v>
      </c>
      <c r="M976">
        <v>84388</v>
      </c>
      <c r="N976">
        <v>18</v>
      </c>
      <c r="O976">
        <v>15189.84</v>
      </c>
      <c r="P976">
        <v>0</v>
      </c>
      <c r="Q976">
        <v>99577.84</v>
      </c>
      <c r="R976" t="s">
        <v>79</v>
      </c>
      <c r="S976" t="s">
        <v>49</v>
      </c>
      <c r="T976" t="s">
        <v>115</v>
      </c>
      <c r="U976" t="s">
        <v>196</v>
      </c>
      <c r="V976" t="s">
        <v>94</v>
      </c>
      <c r="W976" t="s">
        <v>95</v>
      </c>
      <c r="X976" t="s">
        <v>578</v>
      </c>
      <c r="Y976" t="s">
        <v>54</v>
      </c>
      <c r="Z976" t="s">
        <v>70</v>
      </c>
      <c r="AA976" t="s">
        <v>3261</v>
      </c>
      <c r="AB976" t="s">
        <v>3335</v>
      </c>
      <c r="AC976">
        <v>3</v>
      </c>
      <c r="AD976" t="s">
        <v>56</v>
      </c>
      <c r="AE976" t="s">
        <v>3336</v>
      </c>
      <c r="AF976" t="s">
        <v>99</v>
      </c>
      <c r="AG976" t="s">
        <v>3342</v>
      </c>
      <c r="AH976" s="1">
        <v>45115</v>
      </c>
      <c r="AI976" s="1">
        <v>45119</v>
      </c>
      <c r="AJ976" s="1">
        <v>45127</v>
      </c>
      <c r="AK976" t="s">
        <v>3562</v>
      </c>
      <c r="AL976" t="s">
        <v>3260</v>
      </c>
    </row>
    <row r="977" spans="1:38" x14ac:dyDescent="0.35">
      <c r="A977" t="s">
        <v>3262</v>
      </c>
      <c r="B977" t="s">
        <v>832</v>
      </c>
      <c r="C977" t="s">
        <v>43</v>
      </c>
      <c r="D977" t="s">
        <v>704</v>
      </c>
      <c r="E977" t="s">
        <v>705</v>
      </c>
      <c r="F977" t="s">
        <v>285</v>
      </c>
      <c r="G977" t="s">
        <v>706</v>
      </c>
      <c r="H977">
        <v>270</v>
      </c>
      <c r="I977">
        <f>Sales_Transactions_Raw[[#This Row],[Unit_Price]]*Sales_Transactions_Raw[[#This Row],[Quantity]]</f>
        <v>4050</v>
      </c>
      <c r="J977">
        <v>15</v>
      </c>
      <c r="K977">
        <v>10</v>
      </c>
      <c r="L977">
        <v>405</v>
      </c>
      <c r="M977">
        <v>3645</v>
      </c>
      <c r="N977">
        <v>5</v>
      </c>
      <c r="O977">
        <v>182.25</v>
      </c>
      <c r="P977">
        <v>49</v>
      </c>
      <c r="Q977">
        <v>3827.25</v>
      </c>
      <c r="R977" t="s">
        <v>48</v>
      </c>
      <c r="S977" t="s">
        <v>93</v>
      </c>
      <c r="T977" t="s">
        <v>66</v>
      </c>
      <c r="U977" t="s">
        <v>214</v>
      </c>
      <c r="V977" t="s">
        <v>242</v>
      </c>
      <c r="W977" t="s">
        <v>70</v>
      </c>
      <c r="X977" t="s">
        <v>515</v>
      </c>
      <c r="Y977" t="s">
        <v>82</v>
      </c>
      <c r="Z977" t="s">
        <v>52</v>
      </c>
      <c r="AA977" t="s">
        <v>3264</v>
      </c>
      <c r="AB977" t="s">
        <v>3335</v>
      </c>
      <c r="AC977">
        <v>4</v>
      </c>
      <c r="AD977" t="s">
        <v>56</v>
      </c>
      <c r="AE977" t="s">
        <v>3336</v>
      </c>
      <c r="AF977" t="s">
        <v>72</v>
      </c>
      <c r="AG977" t="s">
        <v>58</v>
      </c>
      <c r="AH977" s="1">
        <v>45469</v>
      </c>
      <c r="AI977" s="1">
        <v>45471</v>
      </c>
      <c r="AJ977" s="1">
        <v>45474</v>
      </c>
      <c r="AK977" t="s">
        <v>3543</v>
      </c>
      <c r="AL977" t="s">
        <v>3263</v>
      </c>
    </row>
    <row r="978" spans="1:38" x14ac:dyDescent="0.35">
      <c r="A978" t="s">
        <v>3265</v>
      </c>
      <c r="B978" t="s">
        <v>453</v>
      </c>
      <c r="C978" t="s">
        <v>43</v>
      </c>
      <c r="D978" t="s">
        <v>122</v>
      </c>
      <c r="E978" t="s">
        <v>123</v>
      </c>
      <c r="F978" t="s">
        <v>46</v>
      </c>
      <c r="G978" t="s">
        <v>63</v>
      </c>
      <c r="H978">
        <v>62150</v>
      </c>
      <c r="I978">
        <f>Sales_Transactions_Raw[[#This Row],[Unit_Price]]*Sales_Transactions_Raw[[#This Row],[Quantity]]</f>
        <v>186450</v>
      </c>
      <c r="J978">
        <v>3</v>
      </c>
      <c r="K978">
        <v>25</v>
      </c>
      <c r="L978">
        <v>46612.5</v>
      </c>
      <c r="M978">
        <v>139837.5</v>
      </c>
      <c r="N978">
        <v>18</v>
      </c>
      <c r="O978">
        <v>25170.75</v>
      </c>
      <c r="P978">
        <v>0</v>
      </c>
      <c r="Q978">
        <v>165008.25</v>
      </c>
      <c r="R978" t="s">
        <v>124</v>
      </c>
      <c r="S978" t="s">
        <v>49</v>
      </c>
      <c r="T978" t="s">
        <v>213</v>
      </c>
      <c r="U978" t="s">
        <v>108</v>
      </c>
      <c r="V978" t="s">
        <v>51</v>
      </c>
      <c r="W978" t="s">
        <v>52</v>
      </c>
      <c r="X978" t="s">
        <v>578</v>
      </c>
      <c r="Y978" t="s">
        <v>54</v>
      </c>
      <c r="Z978" t="s">
        <v>70</v>
      </c>
      <c r="AA978" t="s">
        <v>3267</v>
      </c>
      <c r="AB978" t="s">
        <v>3335</v>
      </c>
      <c r="AC978">
        <v>5</v>
      </c>
      <c r="AD978" t="s">
        <v>179</v>
      </c>
      <c r="AE978" t="s">
        <v>818</v>
      </c>
      <c r="AF978" t="s">
        <v>326</v>
      </c>
      <c r="AG978" t="s">
        <v>58</v>
      </c>
      <c r="AH978" s="1">
        <v>45237</v>
      </c>
      <c r="AI978" s="1">
        <v>45240</v>
      </c>
      <c r="AJ978" s="1">
        <v>45247</v>
      </c>
      <c r="AK978" t="s">
        <v>3443</v>
      </c>
      <c r="AL978" t="s">
        <v>3266</v>
      </c>
    </row>
    <row r="979" spans="1:38" x14ac:dyDescent="0.35">
      <c r="A979" t="s">
        <v>3268</v>
      </c>
      <c r="B979" t="s">
        <v>365</v>
      </c>
      <c r="C979" t="s">
        <v>43</v>
      </c>
      <c r="D979" t="s">
        <v>867</v>
      </c>
      <c r="E979" t="s">
        <v>868</v>
      </c>
      <c r="F979" t="s">
        <v>285</v>
      </c>
      <c r="G979" t="s">
        <v>869</v>
      </c>
      <c r="H979">
        <v>180</v>
      </c>
      <c r="I979">
        <f>Sales_Transactions_Raw[[#This Row],[Unit_Price]]*Sales_Transactions_Raw[[#This Row],[Quantity]]</f>
        <v>360</v>
      </c>
      <c r="J979">
        <v>2</v>
      </c>
      <c r="K979">
        <v>5</v>
      </c>
      <c r="L979">
        <v>18</v>
      </c>
      <c r="M979">
        <v>342</v>
      </c>
      <c r="N979">
        <v>5</v>
      </c>
      <c r="O979">
        <v>17.100000000000001</v>
      </c>
      <c r="P979">
        <v>79</v>
      </c>
      <c r="Q979">
        <v>359.1</v>
      </c>
      <c r="R979" t="s">
        <v>106</v>
      </c>
      <c r="S979" t="s">
        <v>125</v>
      </c>
      <c r="T979" t="s">
        <v>148</v>
      </c>
      <c r="U979" t="s">
        <v>161</v>
      </c>
      <c r="V979" t="s">
        <v>276</v>
      </c>
      <c r="W979" t="s">
        <v>95</v>
      </c>
      <c r="X979" t="s">
        <v>556</v>
      </c>
      <c r="Y979" t="s">
        <v>481</v>
      </c>
      <c r="Z979" t="s">
        <v>52</v>
      </c>
      <c r="AA979" t="s">
        <v>3270</v>
      </c>
      <c r="AB979" t="s">
        <v>3335</v>
      </c>
      <c r="AC979">
        <v>3</v>
      </c>
      <c r="AD979" t="s">
        <v>56</v>
      </c>
      <c r="AE979" t="s">
        <v>3336</v>
      </c>
      <c r="AF979" t="s">
        <v>140</v>
      </c>
      <c r="AG979" t="s">
        <v>3337</v>
      </c>
      <c r="AH979" s="1">
        <v>45213</v>
      </c>
      <c r="AI979" s="1">
        <v>45220</v>
      </c>
      <c r="AJ979" s="1">
        <v>45227</v>
      </c>
      <c r="AK979" t="s">
        <v>3727</v>
      </c>
      <c r="AL979" t="s">
        <v>3269</v>
      </c>
    </row>
    <row r="980" spans="1:38" x14ac:dyDescent="0.35">
      <c r="A980" t="s">
        <v>3271</v>
      </c>
      <c r="B980" t="s">
        <v>581</v>
      </c>
      <c r="C980" t="s">
        <v>43</v>
      </c>
      <c r="D980" t="s">
        <v>713</v>
      </c>
      <c r="E980" t="s">
        <v>714</v>
      </c>
      <c r="F980" t="s">
        <v>46</v>
      </c>
      <c r="G980" t="s">
        <v>47</v>
      </c>
      <c r="H980">
        <v>15550</v>
      </c>
      <c r="I980">
        <f>Sales_Transactions_Raw[[#This Row],[Unit_Price]]*Sales_Transactions_Raw[[#This Row],[Quantity]]</f>
        <v>31100</v>
      </c>
      <c r="J980">
        <v>2</v>
      </c>
      <c r="K980">
        <v>15</v>
      </c>
      <c r="L980">
        <v>4665</v>
      </c>
      <c r="M980">
        <v>26435</v>
      </c>
      <c r="N980">
        <v>18</v>
      </c>
      <c r="O980">
        <v>4758.3</v>
      </c>
      <c r="P980">
        <v>0</v>
      </c>
      <c r="Q980">
        <v>31193.3</v>
      </c>
      <c r="R980" t="s">
        <v>92</v>
      </c>
      <c r="S980" t="s">
        <v>107</v>
      </c>
      <c r="T980" t="s">
        <v>148</v>
      </c>
      <c r="U980" t="s">
        <v>161</v>
      </c>
      <c r="V980" t="s">
        <v>149</v>
      </c>
      <c r="W980" t="s">
        <v>81</v>
      </c>
      <c r="X980" t="s">
        <v>96</v>
      </c>
      <c r="Y980" t="s">
        <v>97</v>
      </c>
      <c r="Z980" t="s">
        <v>95</v>
      </c>
      <c r="AA980" t="s">
        <v>3273</v>
      </c>
      <c r="AB980" t="s">
        <v>3338</v>
      </c>
      <c r="AC980">
        <v>4</v>
      </c>
      <c r="AD980" t="s">
        <v>56</v>
      </c>
      <c r="AE980" t="s">
        <v>3336</v>
      </c>
      <c r="AF980" t="s">
        <v>279</v>
      </c>
      <c r="AG980" t="s">
        <v>85</v>
      </c>
      <c r="AH980" s="1">
        <v>45318</v>
      </c>
      <c r="AI980" s="1">
        <v>45353</v>
      </c>
      <c r="AJ980" s="1">
        <v>45475</v>
      </c>
      <c r="AK980" t="s">
        <v>3697</v>
      </c>
      <c r="AL980" t="s">
        <v>3272</v>
      </c>
    </row>
    <row r="981" spans="1:38" x14ac:dyDescent="0.35">
      <c r="A981" t="s">
        <v>3274</v>
      </c>
      <c r="B981" t="s">
        <v>1000</v>
      </c>
      <c r="C981" t="s">
        <v>43</v>
      </c>
      <c r="D981" t="s">
        <v>495</v>
      </c>
      <c r="E981" t="s">
        <v>496</v>
      </c>
      <c r="F981" t="s">
        <v>134</v>
      </c>
      <c r="G981" t="s">
        <v>497</v>
      </c>
      <c r="H981">
        <v>32550</v>
      </c>
      <c r="I981">
        <f>Sales_Transactions_Raw[[#This Row],[Unit_Price]]*Sales_Transactions_Raw[[#This Row],[Quantity]]</f>
        <v>32550</v>
      </c>
      <c r="J981">
        <v>1</v>
      </c>
      <c r="K981">
        <v>0</v>
      </c>
      <c r="L981">
        <v>0</v>
      </c>
      <c r="M981">
        <v>32550</v>
      </c>
      <c r="N981">
        <v>5</v>
      </c>
      <c r="O981">
        <v>1627.5</v>
      </c>
      <c r="P981">
        <v>0</v>
      </c>
      <c r="Q981">
        <v>34177.5</v>
      </c>
      <c r="R981" t="s">
        <v>79</v>
      </c>
      <c r="S981" t="s">
        <v>107</v>
      </c>
      <c r="T981" t="s">
        <v>115</v>
      </c>
      <c r="U981" t="s">
        <v>50</v>
      </c>
      <c r="V981" t="s">
        <v>242</v>
      </c>
      <c r="W981" t="s">
        <v>70</v>
      </c>
      <c r="X981" t="s">
        <v>277</v>
      </c>
      <c r="Y981" t="s">
        <v>127</v>
      </c>
      <c r="Z981" t="s">
        <v>68</v>
      </c>
      <c r="AA981" t="s">
        <v>3276</v>
      </c>
      <c r="AB981" t="s">
        <v>3335</v>
      </c>
      <c r="AC981">
        <v>4</v>
      </c>
      <c r="AD981" t="s">
        <v>56</v>
      </c>
      <c r="AE981" t="s">
        <v>3336</v>
      </c>
      <c r="AF981" t="s">
        <v>84</v>
      </c>
      <c r="AG981" t="s">
        <v>58</v>
      </c>
      <c r="AH981" s="1">
        <v>45395</v>
      </c>
      <c r="AI981" s="1">
        <v>45397</v>
      </c>
      <c r="AJ981" s="1">
        <v>45400</v>
      </c>
      <c r="AK981" t="s">
        <v>3728</v>
      </c>
      <c r="AL981" t="s">
        <v>3275</v>
      </c>
    </row>
    <row r="982" spans="1:38" x14ac:dyDescent="0.35">
      <c r="A982" t="s">
        <v>3277</v>
      </c>
      <c r="B982" t="s">
        <v>687</v>
      </c>
      <c r="C982" t="s">
        <v>43</v>
      </c>
      <c r="D982" t="s">
        <v>294</v>
      </c>
      <c r="E982" t="s">
        <v>295</v>
      </c>
      <c r="F982" t="s">
        <v>146</v>
      </c>
      <c r="G982" t="s">
        <v>296</v>
      </c>
      <c r="H982">
        <v>13150</v>
      </c>
      <c r="I982">
        <f>Sales_Transactions_Raw[[#This Row],[Unit_Price]]*Sales_Transactions_Raw[[#This Row],[Quantity]]</f>
        <v>26300</v>
      </c>
      <c r="J982">
        <v>2</v>
      </c>
      <c r="K982">
        <v>25</v>
      </c>
      <c r="L982">
        <v>6575</v>
      </c>
      <c r="M982">
        <v>19725</v>
      </c>
      <c r="N982">
        <v>12</v>
      </c>
      <c r="O982">
        <v>2367</v>
      </c>
      <c r="P982">
        <v>0</v>
      </c>
      <c r="Q982">
        <v>22092</v>
      </c>
      <c r="R982" t="s">
        <v>79</v>
      </c>
      <c r="S982" t="s">
        <v>107</v>
      </c>
      <c r="T982" t="s">
        <v>115</v>
      </c>
      <c r="U982" t="s">
        <v>214</v>
      </c>
      <c r="V982" t="s">
        <v>269</v>
      </c>
      <c r="W982" t="s">
        <v>70</v>
      </c>
      <c r="X982" t="s">
        <v>198</v>
      </c>
      <c r="Y982" t="s">
        <v>199</v>
      </c>
      <c r="Z982" t="s">
        <v>52</v>
      </c>
      <c r="AA982" t="s">
        <v>3279</v>
      </c>
      <c r="AB982" t="s">
        <v>3335</v>
      </c>
      <c r="AC982">
        <v>3</v>
      </c>
      <c r="AD982" t="s">
        <v>56</v>
      </c>
      <c r="AE982" t="s">
        <v>3336</v>
      </c>
      <c r="AF982" t="s">
        <v>57</v>
      </c>
      <c r="AG982" t="s">
        <v>3342</v>
      </c>
      <c r="AH982" s="1">
        <v>45105</v>
      </c>
      <c r="AI982" s="1">
        <v>45397</v>
      </c>
      <c r="AJ982" s="1">
        <v>45115</v>
      </c>
      <c r="AK982" t="s">
        <v>3664</v>
      </c>
      <c r="AL982" t="s">
        <v>3278</v>
      </c>
    </row>
    <row r="983" spans="1:38" x14ac:dyDescent="0.35">
      <c r="A983" t="s">
        <v>3280</v>
      </c>
      <c r="B983" t="s">
        <v>765</v>
      </c>
      <c r="C983" t="s">
        <v>157</v>
      </c>
      <c r="D983" t="s">
        <v>274</v>
      </c>
      <c r="E983" t="s">
        <v>275</v>
      </c>
      <c r="F983" t="s">
        <v>211</v>
      </c>
      <c r="G983" t="s">
        <v>268</v>
      </c>
      <c r="H983">
        <v>13850</v>
      </c>
      <c r="I983">
        <f>Sales_Transactions_Raw[[#This Row],[Unit_Price]]*Sales_Transactions_Raw[[#This Row],[Quantity]]</f>
        <v>27700</v>
      </c>
      <c r="J983">
        <v>2</v>
      </c>
      <c r="K983">
        <v>10</v>
      </c>
      <c r="L983">
        <v>2770</v>
      </c>
      <c r="M983">
        <v>24930</v>
      </c>
      <c r="N983">
        <v>5</v>
      </c>
      <c r="O983">
        <v>1246.5</v>
      </c>
      <c r="P983">
        <v>0</v>
      </c>
      <c r="Q983">
        <v>26176.5</v>
      </c>
      <c r="R983" t="s">
        <v>124</v>
      </c>
      <c r="S983" t="s">
        <v>65</v>
      </c>
      <c r="T983" t="s">
        <v>115</v>
      </c>
      <c r="U983" t="s">
        <v>108</v>
      </c>
      <c r="V983" t="s">
        <v>67</v>
      </c>
      <c r="W983" t="s">
        <v>68</v>
      </c>
      <c r="X983" t="s">
        <v>469</v>
      </c>
      <c r="Y983" t="s">
        <v>244</v>
      </c>
      <c r="Z983" t="s">
        <v>70</v>
      </c>
      <c r="AA983" t="s">
        <v>3282</v>
      </c>
      <c r="AB983" t="s">
        <v>3339</v>
      </c>
      <c r="AC983">
        <v>4</v>
      </c>
      <c r="AD983" t="s">
        <v>56</v>
      </c>
      <c r="AE983" t="s">
        <v>3336</v>
      </c>
      <c r="AF983" t="s">
        <v>84</v>
      </c>
      <c r="AG983" t="s">
        <v>3342</v>
      </c>
      <c r="AH983" s="1">
        <v>45310</v>
      </c>
      <c r="AI983" s="1">
        <v>45314</v>
      </c>
      <c r="AJ983" s="1">
        <v>45115</v>
      </c>
      <c r="AK983" t="s">
        <v>3623</v>
      </c>
      <c r="AL983" t="s">
        <v>3281</v>
      </c>
    </row>
    <row r="984" spans="1:38" x14ac:dyDescent="0.35">
      <c r="A984" t="s">
        <v>2082</v>
      </c>
      <c r="B984" t="s">
        <v>142</v>
      </c>
      <c r="C984" t="s">
        <v>157</v>
      </c>
      <c r="D984" t="s">
        <v>62</v>
      </c>
      <c r="E984" t="s">
        <v>45</v>
      </c>
      <c r="F984" t="s">
        <v>46</v>
      </c>
      <c r="G984" t="s">
        <v>63</v>
      </c>
      <c r="H984">
        <v>60270</v>
      </c>
      <c r="I984">
        <f>Sales_Transactions_Raw[[#This Row],[Unit_Price]]*Sales_Transactions_Raw[[#This Row],[Quantity]]</f>
        <v>120540</v>
      </c>
      <c r="J984">
        <v>2</v>
      </c>
      <c r="K984">
        <v>10</v>
      </c>
      <c r="L984">
        <v>12054</v>
      </c>
      <c r="M984">
        <v>108486</v>
      </c>
      <c r="N984">
        <v>18</v>
      </c>
      <c r="O984">
        <v>19527.48</v>
      </c>
      <c r="P984">
        <v>0</v>
      </c>
      <c r="Q984">
        <v>128013.48</v>
      </c>
      <c r="R984" t="s">
        <v>48</v>
      </c>
      <c r="S984" t="s">
        <v>65</v>
      </c>
      <c r="T984" t="s">
        <v>115</v>
      </c>
      <c r="U984" t="s">
        <v>196</v>
      </c>
      <c r="V984" t="s">
        <v>197</v>
      </c>
      <c r="W984" t="s">
        <v>68</v>
      </c>
      <c r="X984" t="s">
        <v>515</v>
      </c>
      <c r="Y984" t="s">
        <v>82</v>
      </c>
      <c r="Z984" t="s">
        <v>52</v>
      </c>
      <c r="AA984" t="s">
        <v>3284</v>
      </c>
      <c r="AB984" t="s">
        <v>3341</v>
      </c>
      <c r="AC984">
        <v>4</v>
      </c>
      <c r="AD984" t="s">
        <v>56</v>
      </c>
      <c r="AE984" t="s">
        <v>3336</v>
      </c>
      <c r="AF984" t="s">
        <v>217</v>
      </c>
      <c r="AG984" t="s">
        <v>3337</v>
      </c>
      <c r="AH984" s="1">
        <v>45016</v>
      </c>
      <c r="AI984" s="1">
        <v>45314</v>
      </c>
      <c r="AJ984" s="1">
        <v>45022</v>
      </c>
      <c r="AK984" t="s">
        <v>3353</v>
      </c>
      <c r="AL984" t="s">
        <v>3283</v>
      </c>
    </row>
    <row r="985" spans="1:38" x14ac:dyDescent="0.35">
      <c r="A985" t="s">
        <v>3285</v>
      </c>
      <c r="B985" t="s">
        <v>74</v>
      </c>
      <c r="C985" t="s">
        <v>157</v>
      </c>
      <c r="D985" t="s">
        <v>283</v>
      </c>
      <c r="E985" t="s">
        <v>284</v>
      </c>
      <c r="F985" t="s">
        <v>285</v>
      </c>
      <c r="G985" t="s">
        <v>286</v>
      </c>
      <c r="H985">
        <v>420</v>
      </c>
      <c r="I985">
        <f>Sales_Transactions_Raw[[#This Row],[Unit_Price]]*Sales_Transactions_Raw[[#This Row],[Quantity]]</f>
        <v>1260</v>
      </c>
      <c r="J985">
        <v>3</v>
      </c>
      <c r="K985">
        <v>15</v>
      </c>
      <c r="L985">
        <v>189</v>
      </c>
      <c r="M985">
        <v>1071</v>
      </c>
      <c r="N985">
        <v>5</v>
      </c>
      <c r="O985">
        <v>53.55</v>
      </c>
      <c r="P985">
        <v>79</v>
      </c>
      <c r="Q985">
        <v>1124.55</v>
      </c>
      <c r="R985" t="s">
        <v>48</v>
      </c>
      <c r="S985" t="s">
        <v>49</v>
      </c>
      <c r="T985" t="s">
        <v>115</v>
      </c>
      <c r="U985" t="s">
        <v>196</v>
      </c>
      <c r="V985" t="s">
        <v>197</v>
      </c>
      <c r="W985" t="s">
        <v>68</v>
      </c>
      <c r="X985" t="s">
        <v>237</v>
      </c>
      <c r="Y985" t="s">
        <v>138</v>
      </c>
      <c r="Z985" t="s">
        <v>81</v>
      </c>
      <c r="AA985" t="s">
        <v>3287</v>
      </c>
      <c r="AB985" t="s">
        <v>3340</v>
      </c>
      <c r="AC985">
        <v>4</v>
      </c>
      <c r="AD985" t="s">
        <v>56</v>
      </c>
      <c r="AE985" t="s">
        <v>3336</v>
      </c>
      <c r="AF985" t="s">
        <v>279</v>
      </c>
      <c r="AG985" t="s">
        <v>445</v>
      </c>
      <c r="AH985" s="1">
        <v>45224</v>
      </c>
      <c r="AI985" s="1">
        <v>45226</v>
      </c>
      <c r="AJ985" s="1">
        <v>45233</v>
      </c>
      <c r="AK985" t="s">
        <v>3391</v>
      </c>
      <c r="AL985" t="s">
        <v>3286</v>
      </c>
    </row>
    <row r="986" spans="1:38" x14ac:dyDescent="0.35">
      <c r="A986" t="s">
        <v>3288</v>
      </c>
      <c r="B986" t="s">
        <v>948</v>
      </c>
      <c r="C986" t="s">
        <v>43</v>
      </c>
      <c r="D986" t="s">
        <v>132</v>
      </c>
      <c r="E986" t="s">
        <v>133</v>
      </c>
      <c r="F986" t="s">
        <v>134</v>
      </c>
      <c r="G986" t="s">
        <v>135</v>
      </c>
      <c r="H986">
        <v>2780</v>
      </c>
      <c r="I986">
        <f>Sales_Transactions_Raw[[#This Row],[Unit_Price]]*Sales_Transactions_Raw[[#This Row],[Quantity]]</f>
        <v>2780</v>
      </c>
      <c r="J986">
        <v>1</v>
      </c>
      <c r="K986">
        <v>15</v>
      </c>
      <c r="L986">
        <v>417</v>
      </c>
      <c r="M986">
        <v>2363</v>
      </c>
      <c r="N986">
        <v>5</v>
      </c>
      <c r="O986">
        <v>118.15</v>
      </c>
      <c r="P986">
        <v>149</v>
      </c>
      <c r="Q986">
        <v>2481.15</v>
      </c>
      <c r="R986" t="s">
        <v>64</v>
      </c>
      <c r="S986" t="s">
        <v>125</v>
      </c>
      <c r="T986" t="s">
        <v>115</v>
      </c>
      <c r="U986" t="s">
        <v>214</v>
      </c>
      <c r="V986" t="s">
        <v>287</v>
      </c>
      <c r="W986" t="s">
        <v>95</v>
      </c>
      <c r="X986" t="s">
        <v>505</v>
      </c>
      <c r="Y986" t="s">
        <v>118</v>
      </c>
      <c r="Z986" t="s">
        <v>70</v>
      </c>
      <c r="AA986" t="s">
        <v>3290</v>
      </c>
      <c r="AB986" t="s">
        <v>3335</v>
      </c>
      <c r="AC986">
        <v>4</v>
      </c>
      <c r="AD986" t="s">
        <v>56</v>
      </c>
      <c r="AE986" t="s">
        <v>3336</v>
      </c>
      <c r="AF986" t="s">
        <v>72</v>
      </c>
      <c r="AG986" t="s">
        <v>85</v>
      </c>
      <c r="AH986" s="1">
        <v>45453</v>
      </c>
      <c r="AI986" s="1">
        <v>45455</v>
      </c>
      <c r="AJ986" s="1">
        <v>45458</v>
      </c>
      <c r="AK986" t="s">
        <v>3609</v>
      </c>
      <c r="AL986" t="s">
        <v>3289</v>
      </c>
    </row>
    <row r="987" spans="1:38" x14ac:dyDescent="0.35">
      <c r="A987" t="s">
        <v>3291</v>
      </c>
      <c r="B987" t="s">
        <v>832</v>
      </c>
      <c r="C987" t="s">
        <v>43</v>
      </c>
      <c r="D987" t="s">
        <v>495</v>
      </c>
      <c r="E987" t="s">
        <v>496</v>
      </c>
      <c r="F987" t="s">
        <v>134</v>
      </c>
      <c r="G987" t="s">
        <v>497</v>
      </c>
      <c r="H987">
        <v>32440</v>
      </c>
      <c r="I987">
        <f>Sales_Transactions_Raw[[#This Row],[Unit_Price]]*Sales_Transactions_Raw[[#This Row],[Quantity]]</f>
        <v>97320</v>
      </c>
      <c r="J987">
        <v>3</v>
      </c>
      <c r="K987">
        <v>20</v>
      </c>
      <c r="L987">
        <v>19464</v>
      </c>
      <c r="M987">
        <v>77856</v>
      </c>
      <c r="N987">
        <v>5</v>
      </c>
      <c r="O987">
        <v>3892.8</v>
      </c>
      <c r="P987">
        <v>0</v>
      </c>
      <c r="Q987">
        <v>81748.800000000003</v>
      </c>
      <c r="R987" t="s">
        <v>92</v>
      </c>
      <c r="S987" t="s">
        <v>65</v>
      </c>
      <c r="T987" t="s">
        <v>136</v>
      </c>
      <c r="U987" t="s">
        <v>196</v>
      </c>
      <c r="V987" t="s">
        <v>224</v>
      </c>
      <c r="W987" t="s">
        <v>95</v>
      </c>
      <c r="X987" t="s">
        <v>260</v>
      </c>
      <c r="Y987" t="s">
        <v>118</v>
      </c>
      <c r="Z987" t="s">
        <v>70</v>
      </c>
      <c r="AA987" t="s">
        <v>3293</v>
      </c>
      <c r="AB987" t="s">
        <v>3338</v>
      </c>
      <c r="AC987">
        <v>1</v>
      </c>
      <c r="AD987" t="s">
        <v>56</v>
      </c>
      <c r="AE987" t="s">
        <v>3336</v>
      </c>
      <c r="AF987" t="s">
        <v>84</v>
      </c>
      <c r="AG987" t="s">
        <v>58</v>
      </c>
      <c r="AH987" s="1">
        <v>45037</v>
      </c>
      <c r="AI987" s="1">
        <v>45041</v>
      </c>
      <c r="AJ987" s="1">
        <v>45048</v>
      </c>
      <c r="AK987" t="s">
        <v>3543</v>
      </c>
      <c r="AL987" t="s">
        <v>3292</v>
      </c>
    </row>
    <row r="988" spans="1:38" x14ac:dyDescent="0.35">
      <c r="A988" t="s">
        <v>3294</v>
      </c>
      <c r="B988" t="s">
        <v>772</v>
      </c>
      <c r="C988" t="s">
        <v>43</v>
      </c>
      <c r="D988" t="s">
        <v>704</v>
      </c>
      <c r="E988" t="s">
        <v>705</v>
      </c>
      <c r="F988" t="s">
        <v>285</v>
      </c>
      <c r="G988" t="s">
        <v>706</v>
      </c>
      <c r="H988">
        <v>300</v>
      </c>
      <c r="I988">
        <f>Sales_Transactions_Raw[[#This Row],[Unit_Price]]*Sales_Transactions_Raw[[#This Row],[Quantity]]</f>
        <v>300</v>
      </c>
      <c r="J988">
        <v>1</v>
      </c>
      <c r="K988">
        <v>25</v>
      </c>
      <c r="L988">
        <v>75</v>
      </c>
      <c r="M988">
        <v>225</v>
      </c>
      <c r="N988">
        <v>5</v>
      </c>
      <c r="O988">
        <v>11.25</v>
      </c>
      <c r="P988">
        <v>49</v>
      </c>
      <c r="Q988">
        <v>236.25</v>
      </c>
      <c r="R988" t="s">
        <v>106</v>
      </c>
      <c r="S988" t="s">
        <v>107</v>
      </c>
      <c r="T988" t="s">
        <v>66</v>
      </c>
      <c r="U988" t="s">
        <v>214</v>
      </c>
      <c r="V988" t="s">
        <v>297</v>
      </c>
      <c r="W988" t="s">
        <v>52</v>
      </c>
      <c r="X988" t="s">
        <v>469</v>
      </c>
      <c r="Y988" t="s">
        <v>244</v>
      </c>
      <c r="Z988" t="s">
        <v>70</v>
      </c>
      <c r="AA988" t="s">
        <v>3296</v>
      </c>
      <c r="AB988" t="s">
        <v>3338</v>
      </c>
      <c r="AC988">
        <v>4</v>
      </c>
      <c r="AD988" t="s">
        <v>56</v>
      </c>
      <c r="AE988" t="s">
        <v>3336</v>
      </c>
      <c r="AF988" t="s">
        <v>84</v>
      </c>
      <c r="AG988" t="s">
        <v>58</v>
      </c>
      <c r="AH988" s="1">
        <v>45184</v>
      </c>
      <c r="AI988" s="1">
        <v>45191</v>
      </c>
      <c r="AJ988" s="1">
        <v>45195</v>
      </c>
      <c r="AK988" t="s">
        <v>3729</v>
      </c>
      <c r="AL988" t="s">
        <v>3295</v>
      </c>
    </row>
    <row r="989" spans="1:38" x14ac:dyDescent="0.35">
      <c r="A989" t="s">
        <v>3297</v>
      </c>
      <c r="B989" t="s">
        <v>272</v>
      </c>
      <c r="C989" t="s">
        <v>89</v>
      </c>
      <c r="D989" t="s">
        <v>266</v>
      </c>
      <c r="E989" t="s">
        <v>267</v>
      </c>
      <c r="F989" t="s">
        <v>211</v>
      </c>
      <c r="G989" t="s">
        <v>268</v>
      </c>
      <c r="H989">
        <v>55910</v>
      </c>
      <c r="I989">
        <f>Sales_Transactions_Raw[[#This Row],[Unit_Price]]*Sales_Transactions_Raw[[#This Row],[Quantity]]</f>
        <v>55910</v>
      </c>
      <c r="J989">
        <v>1</v>
      </c>
      <c r="K989">
        <v>15</v>
      </c>
      <c r="L989">
        <v>8386.5</v>
      </c>
      <c r="M989">
        <v>47523.5</v>
      </c>
      <c r="N989">
        <v>5</v>
      </c>
      <c r="O989">
        <v>2376.1799999999998</v>
      </c>
      <c r="P989">
        <v>0</v>
      </c>
      <c r="Q989">
        <v>49899.68</v>
      </c>
      <c r="R989" t="s">
        <v>92</v>
      </c>
      <c r="S989" t="s">
        <v>65</v>
      </c>
      <c r="T989" t="s">
        <v>136</v>
      </c>
      <c r="U989" t="s">
        <v>108</v>
      </c>
      <c r="V989" t="s">
        <v>197</v>
      </c>
      <c r="W989" t="s">
        <v>68</v>
      </c>
      <c r="X989" t="s">
        <v>510</v>
      </c>
      <c r="Y989" t="s">
        <v>199</v>
      </c>
      <c r="Z989" t="s">
        <v>52</v>
      </c>
      <c r="AA989" t="s">
        <v>3299</v>
      </c>
      <c r="AB989" t="s">
        <v>3335</v>
      </c>
      <c r="AC989">
        <v>4</v>
      </c>
      <c r="AD989" t="s">
        <v>56</v>
      </c>
      <c r="AE989" t="s">
        <v>3336</v>
      </c>
      <c r="AF989" t="s">
        <v>217</v>
      </c>
      <c r="AG989" t="s">
        <v>85</v>
      </c>
      <c r="AH989" s="1">
        <v>45110</v>
      </c>
      <c r="AI989" s="1">
        <v>45114</v>
      </c>
      <c r="AJ989" s="1">
        <v>45119</v>
      </c>
      <c r="AK989" t="s">
        <v>3446</v>
      </c>
      <c r="AL989" t="s">
        <v>3298</v>
      </c>
    </row>
    <row r="990" spans="1:38" x14ac:dyDescent="0.35">
      <c r="A990" t="s">
        <v>3300</v>
      </c>
      <c r="B990" t="s">
        <v>944</v>
      </c>
      <c r="C990" t="s">
        <v>43</v>
      </c>
      <c r="D990" t="s">
        <v>44</v>
      </c>
      <c r="E990" t="s">
        <v>45</v>
      </c>
      <c r="F990" t="s">
        <v>46</v>
      </c>
      <c r="G990" t="s">
        <v>47</v>
      </c>
      <c r="H990">
        <v>13160</v>
      </c>
      <c r="I990">
        <f>Sales_Transactions_Raw[[#This Row],[Unit_Price]]*Sales_Transactions_Raw[[#This Row],[Quantity]]</f>
        <v>65800</v>
      </c>
      <c r="J990">
        <v>5</v>
      </c>
      <c r="K990">
        <v>25</v>
      </c>
      <c r="L990">
        <v>16450</v>
      </c>
      <c r="M990">
        <v>49350</v>
      </c>
      <c r="N990">
        <v>18</v>
      </c>
      <c r="O990">
        <v>8883</v>
      </c>
      <c r="P990">
        <v>0</v>
      </c>
      <c r="Q990">
        <v>58233</v>
      </c>
      <c r="R990" t="s">
        <v>79</v>
      </c>
      <c r="S990" t="s">
        <v>65</v>
      </c>
      <c r="T990" t="s">
        <v>148</v>
      </c>
      <c r="U990" t="s">
        <v>50</v>
      </c>
      <c r="V990" t="s">
        <v>67</v>
      </c>
      <c r="W990" t="s">
        <v>68</v>
      </c>
      <c r="X990" t="s">
        <v>486</v>
      </c>
      <c r="Y990" t="s">
        <v>138</v>
      </c>
      <c r="Z990" t="s">
        <v>81</v>
      </c>
      <c r="AA990" t="s">
        <v>3302</v>
      </c>
      <c r="AB990" t="s">
        <v>3335</v>
      </c>
      <c r="AC990">
        <v>4</v>
      </c>
      <c r="AD990" t="s">
        <v>56</v>
      </c>
      <c r="AE990" t="s">
        <v>3336</v>
      </c>
      <c r="AF990" t="s">
        <v>153</v>
      </c>
      <c r="AG990" t="s">
        <v>3337</v>
      </c>
      <c r="AH990" s="1">
        <v>45147</v>
      </c>
      <c r="AI990" s="1">
        <v>45149</v>
      </c>
      <c r="AJ990" s="1">
        <v>45155</v>
      </c>
      <c r="AK990" t="s">
        <v>3635</v>
      </c>
      <c r="AL990" t="s">
        <v>3301</v>
      </c>
    </row>
    <row r="991" spans="1:38" x14ac:dyDescent="0.35">
      <c r="A991" t="s">
        <v>3303</v>
      </c>
      <c r="B991" t="s">
        <v>453</v>
      </c>
      <c r="C991" t="s">
        <v>89</v>
      </c>
      <c r="D991" t="s">
        <v>44</v>
      </c>
      <c r="E991" t="s">
        <v>45</v>
      </c>
      <c r="F991" t="s">
        <v>46</v>
      </c>
      <c r="G991" t="s">
        <v>47</v>
      </c>
      <c r="H991">
        <v>12760</v>
      </c>
      <c r="I991">
        <f>Sales_Transactions_Raw[[#This Row],[Unit_Price]]*Sales_Transactions_Raw[[#This Row],[Quantity]]</f>
        <v>38280</v>
      </c>
      <c r="J991">
        <v>3</v>
      </c>
      <c r="K991">
        <v>0</v>
      </c>
      <c r="L991">
        <v>0</v>
      </c>
      <c r="M991">
        <v>38280</v>
      </c>
      <c r="N991">
        <v>18</v>
      </c>
      <c r="O991">
        <v>6890.4</v>
      </c>
      <c r="P991">
        <v>0</v>
      </c>
      <c r="Q991">
        <v>45170.400000000001</v>
      </c>
      <c r="R991" t="s">
        <v>160</v>
      </c>
      <c r="S991" t="s">
        <v>49</v>
      </c>
      <c r="T991" t="s">
        <v>115</v>
      </c>
      <c r="U991" t="s">
        <v>108</v>
      </c>
      <c r="V991" t="s">
        <v>224</v>
      </c>
      <c r="W991" t="s">
        <v>95</v>
      </c>
      <c r="X991" t="s">
        <v>306</v>
      </c>
      <c r="Y991" t="s">
        <v>97</v>
      </c>
      <c r="Z991" t="s">
        <v>95</v>
      </c>
      <c r="AA991" t="s">
        <v>3305</v>
      </c>
      <c r="AB991" t="s">
        <v>3340</v>
      </c>
      <c r="AC991">
        <v>5</v>
      </c>
      <c r="AD991" t="s">
        <v>56</v>
      </c>
      <c r="AE991" t="s">
        <v>3336</v>
      </c>
      <c r="AF991" t="s">
        <v>164</v>
      </c>
      <c r="AG991" t="s">
        <v>58</v>
      </c>
      <c r="AH991" s="1">
        <v>45295</v>
      </c>
      <c r="AI991" s="1">
        <v>45297</v>
      </c>
      <c r="AJ991" s="1">
        <v>45299</v>
      </c>
      <c r="AK991" t="s">
        <v>3394</v>
      </c>
      <c r="AL991" t="s">
        <v>3304</v>
      </c>
    </row>
    <row r="992" spans="1:38" x14ac:dyDescent="0.35">
      <c r="A992" t="s">
        <v>3306</v>
      </c>
      <c r="B992" t="s">
        <v>166</v>
      </c>
      <c r="C992" t="s">
        <v>43</v>
      </c>
      <c r="D992" t="s">
        <v>375</v>
      </c>
      <c r="E992" t="s">
        <v>376</v>
      </c>
      <c r="F992" t="s">
        <v>146</v>
      </c>
      <c r="G992" t="s">
        <v>147</v>
      </c>
      <c r="H992">
        <v>29347.846790890268</v>
      </c>
      <c r="I992">
        <f>Sales_Transactions_Raw[[#This Row],[Unit_Price]]*Sales_Transactions_Raw[[#This Row],[Quantity]]</f>
        <v>88043.540372670803</v>
      </c>
      <c r="J992">
        <v>3</v>
      </c>
      <c r="K992">
        <v>5</v>
      </c>
      <c r="L992">
        <v>1414.5</v>
      </c>
      <c r="M992">
        <v>26875.5</v>
      </c>
      <c r="N992">
        <v>12</v>
      </c>
      <c r="O992">
        <v>3225.06</v>
      </c>
      <c r="P992">
        <v>0</v>
      </c>
      <c r="Q992">
        <v>30100.560000000001</v>
      </c>
      <c r="R992" t="s">
        <v>124</v>
      </c>
      <c r="S992" t="s">
        <v>49</v>
      </c>
      <c r="T992" t="s">
        <v>115</v>
      </c>
      <c r="U992" t="s">
        <v>108</v>
      </c>
      <c r="V992" t="s">
        <v>67</v>
      </c>
      <c r="W992" t="s">
        <v>68</v>
      </c>
      <c r="X992" t="s">
        <v>443</v>
      </c>
      <c r="Y992" t="s">
        <v>97</v>
      </c>
      <c r="Z992" t="s">
        <v>95</v>
      </c>
      <c r="AA992" t="s">
        <v>3308</v>
      </c>
      <c r="AB992" t="s">
        <v>3343</v>
      </c>
      <c r="AC992">
        <v>4</v>
      </c>
      <c r="AD992" t="s">
        <v>56</v>
      </c>
      <c r="AE992" t="s">
        <v>3336</v>
      </c>
      <c r="AF992" t="s">
        <v>164</v>
      </c>
      <c r="AG992" t="s">
        <v>85</v>
      </c>
      <c r="AH992" s="1">
        <v>45388</v>
      </c>
      <c r="AI992" s="1">
        <v>45394</v>
      </c>
      <c r="AJ992" s="1">
        <v>45397</v>
      </c>
      <c r="AK992" t="s">
        <v>3568</v>
      </c>
      <c r="AL992" t="s">
        <v>3307</v>
      </c>
    </row>
    <row r="993" spans="1:38" x14ac:dyDescent="0.35">
      <c r="A993" t="s">
        <v>3309</v>
      </c>
      <c r="B993" t="s">
        <v>753</v>
      </c>
      <c r="C993" t="s">
        <v>89</v>
      </c>
      <c r="D993" t="s">
        <v>44</v>
      </c>
      <c r="E993" t="s">
        <v>45</v>
      </c>
      <c r="F993" t="s">
        <v>46</v>
      </c>
      <c r="G993" t="s">
        <v>47</v>
      </c>
      <c r="H993">
        <v>12240</v>
      </c>
      <c r="I993">
        <f>Sales_Transactions_Raw[[#This Row],[Unit_Price]]*Sales_Transactions_Raw[[#This Row],[Quantity]]</f>
        <v>12240</v>
      </c>
      <c r="J993">
        <v>1</v>
      </c>
      <c r="K993">
        <v>20</v>
      </c>
      <c r="L993">
        <v>2448</v>
      </c>
      <c r="M993">
        <v>9792</v>
      </c>
      <c r="N993">
        <v>18</v>
      </c>
      <c r="O993">
        <v>1762.56</v>
      </c>
      <c r="P993">
        <v>0</v>
      </c>
      <c r="Q993">
        <v>11554.56</v>
      </c>
      <c r="R993" t="s">
        <v>79</v>
      </c>
      <c r="S993" t="s">
        <v>49</v>
      </c>
      <c r="T993" t="s">
        <v>213</v>
      </c>
      <c r="U993" t="s">
        <v>161</v>
      </c>
      <c r="V993" t="s">
        <v>276</v>
      </c>
      <c r="W993" t="s">
        <v>95</v>
      </c>
      <c r="X993" t="s">
        <v>340</v>
      </c>
      <c r="Y993" t="s">
        <v>169</v>
      </c>
      <c r="Z993" t="s">
        <v>95</v>
      </c>
      <c r="AA993" t="s">
        <v>3311</v>
      </c>
      <c r="AB993" t="s">
        <v>3344</v>
      </c>
      <c r="AC993">
        <v>4</v>
      </c>
      <c r="AD993" t="s">
        <v>179</v>
      </c>
      <c r="AE993" t="s">
        <v>3336</v>
      </c>
      <c r="AF993" t="s">
        <v>164</v>
      </c>
      <c r="AG993" t="s">
        <v>445</v>
      </c>
      <c r="AH993" s="1">
        <v>45154</v>
      </c>
      <c r="AI993" s="1">
        <v>45161</v>
      </c>
      <c r="AJ993" s="1">
        <v>45164</v>
      </c>
      <c r="AK993" t="s">
        <v>3535</v>
      </c>
      <c r="AL993" t="s">
        <v>3310</v>
      </c>
    </row>
    <row r="994" spans="1:38" x14ac:dyDescent="0.35">
      <c r="A994" t="s">
        <v>3312</v>
      </c>
      <c r="B994" t="s">
        <v>400</v>
      </c>
      <c r="C994" t="s">
        <v>43</v>
      </c>
      <c r="D994" t="s">
        <v>183</v>
      </c>
      <c r="E994" t="s">
        <v>184</v>
      </c>
      <c r="F994" t="s">
        <v>185</v>
      </c>
      <c r="G994" t="s">
        <v>186</v>
      </c>
      <c r="H994">
        <v>110</v>
      </c>
      <c r="I994">
        <f>Sales_Transactions_Raw[[#This Row],[Unit_Price]]*Sales_Transactions_Raw[[#This Row],[Quantity]]</f>
        <v>880</v>
      </c>
      <c r="J994">
        <v>8</v>
      </c>
      <c r="K994">
        <v>0</v>
      </c>
      <c r="L994">
        <v>0</v>
      </c>
      <c r="M994">
        <v>880</v>
      </c>
      <c r="N994">
        <v>5</v>
      </c>
      <c r="O994">
        <v>44</v>
      </c>
      <c r="P994">
        <v>49</v>
      </c>
      <c r="Q994">
        <v>924</v>
      </c>
      <c r="R994" t="s">
        <v>124</v>
      </c>
      <c r="S994" t="s">
        <v>125</v>
      </c>
      <c r="T994" t="s">
        <v>115</v>
      </c>
      <c r="U994" t="s">
        <v>214</v>
      </c>
      <c r="V994" t="s">
        <v>51</v>
      </c>
      <c r="W994" t="s">
        <v>52</v>
      </c>
      <c r="X994" t="s">
        <v>232</v>
      </c>
      <c r="Y994" t="s">
        <v>82</v>
      </c>
      <c r="Z994" t="s">
        <v>52</v>
      </c>
      <c r="AA994" t="s">
        <v>3314</v>
      </c>
      <c r="AB994" t="s">
        <v>3335</v>
      </c>
      <c r="AC994">
        <v>4</v>
      </c>
      <c r="AD994" t="s">
        <v>56</v>
      </c>
      <c r="AE994" t="s">
        <v>3336</v>
      </c>
      <c r="AF994" t="s">
        <v>326</v>
      </c>
      <c r="AG994" t="s">
        <v>58</v>
      </c>
      <c r="AH994" s="1">
        <v>45224</v>
      </c>
      <c r="AI994" s="1">
        <v>45231</v>
      </c>
      <c r="AJ994" s="1">
        <v>45241</v>
      </c>
      <c r="AK994" t="s">
        <v>3730</v>
      </c>
      <c r="AL994" t="s">
        <v>3313</v>
      </c>
    </row>
    <row r="995" spans="1:38" x14ac:dyDescent="0.35">
      <c r="A995" t="s">
        <v>3315</v>
      </c>
      <c r="B995" t="s">
        <v>781</v>
      </c>
      <c r="C995" t="s">
        <v>43</v>
      </c>
      <c r="D995" t="s">
        <v>323</v>
      </c>
      <c r="E995" t="s">
        <v>324</v>
      </c>
      <c r="F995" t="s">
        <v>146</v>
      </c>
      <c r="G995" t="s">
        <v>296</v>
      </c>
      <c r="H995">
        <v>10400</v>
      </c>
      <c r="I995">
        <f>Sales_Transactions_Raw[[#This Row],[Unit_Price]]*Sales_Transactions_Raw[[#This Row],[Quantity]]</f>
        <v>10400</v>
      </c>
      <c r="J995">
        <v>1</v>
      </c>
      <c r="K995">
        <v>10</v>
      </c>
      <c r="L995">
        <v>1040</v>
      </c>
      <c r="M995">
        <v>9360</v>
      </c>
      <c r="N995">
        <v>12</v>
      </c>
      <c r="O995">
        <v>1123.2</v>
      </c>
      <c r="P995">
        <v>0</v>
      </c>
      <c r="Q995">
        <v>10483.200000000001</v>
      </c>
      <c r="R995" t="s">
        <v>64</v>
      </c>
      <c r="S995" t="s">
        <v>125</v>
      </c>
      <c r="T995" t="s">
        <v>719</v>
      </c>
      <c r="U995" t="s">
        <v>214</v>
      </c>
      <c r="V995" t="s">
        <v>242</v>
      </c>
      <c r="W995" t="s">
        <v>70</v>
      </c>
      <c r="X995" t="s">
        <v>480</v>
      </c>
      <c r="Y995" t="s">
        <v>481</v>
      </c>
      <c r="Z995" t="s">
        <v>52</v>
      </c>
      <c r="AA995" t="s">
        <v>3317</v>
      </c>
      <c r="AB995" t="s">
        <v>3335</v>
      </c>
      <c r="AC995">
        <v>4</v>
      </c>
      <c r="AD995" t="s">
        <v>56</v>
      </c>
      <c r="AE995" t="s">
        <v>3336</v>
      </c>
      <c r="AF995" t="s">
        <v>72</v>
      </c>
      <c r="AG995" t="s">
        <v>85</v>
      </c>
      <c r="AH995" s="1">
        <v>45421</v>
      </c>
      <c r="AI995" s="1">
        <v>45424</v>
      </c>
      <c r="AJ995" s="1">
        <v>45428</v>
      </c>
      <c r="AK995" t="s">
        <v>3706</v>
      </c>
      <c r="AL995" t="s">
        <v>3316</v>
      </c>
    </row>
    <row r="996" spans="1:38" x14ac:dyDescent="0.35">
      <c r="A996" t="s">
        <v>3318</v>
      </c>
      <c r="B996" t="s">
        <v>379</v>
      </c>
      <c r="C996" t="s">
        <v>43</v>
      </c>
      <c r="D996" t="s">
        <v>402</v>
      </c>
      <c r="E996" t="s">
        <v>403</v>
      </c>
      <c r="F996" t="s">
        <v>146</v>
      </c>
      <c r="G996" t="s">
        <v>223</v>
      </c>
      <c r="H996">
        <v>1870</v>
      </c>
      <c r="I996">
        <f>Sales_Transactions_Raw[[#This Row],[Unit_Price]]*Sales_Transactions_Raw[[#This Row],[Quantity]]</f>
        <v>3740</v>
      </c>
      <c r="J996">
        <v>2</v>
      </c>
      <c r="K996">
        <v>20</v>
      </c>
      <c r="L996">
        <v>748</v>
      </c>
      <c r="M996">
        <v>2992</v>
      </c>
      <c r="N996">
        <v>12</v>
      </c>
      <c r="O996">
        <v>359.04</v>
      </c>
      <c r="P996">
        <v>79</v>
      </c>
      <c r="Q996">
        <v>3351.04</v>
      </c>
      <c r="R996" t="s">
        <v>160</v>
      </c>
      <c r="S996" t="s">
        <v>125</v>
      </c>
      <c r="T996" t="s">
        <v>66</v>
      </c>
      <c r="U996" t="s">
        <v>50</v>
      </c>
      <c r="V996" t="s">
        <v>242</v>
      </c>
      <c r="W996" t="s">
        <v>70</v>
      </c>
      <c r="X996" t="s">
        <v>288</v>
      </c>
      <c r="Y996" t="s">
        <v>289</v>
      </c>
      <c r="Z996" t="s">
        <v>52</v>
      </c>
      <c r="AA996" t="s">
        <v>3320</v>
      </c>
      <c r="AB996" t="s">
        <v>3335</v>
      </c>
      <c r="AC996">
        <v>3</v>
      </c>
      <c r="AD996" t="s">
        <v>56</v>
      </c>
      <c r="AE996" t="s">
        <v>3336</v>
      </c>
      <c r="AF996" t="s">
        <v>262</v>
      </c>
      <c r="AG996" t="s">
        <v>3342</v>
      </c>
      <c r="AH996" s="1">
        <v>45085</v>
      </c>
      <c r="AI996" s="1">
        <v>45089</v>
      </c>
      <c r="AJ996" s="1">
        <v>45096</v>
      </c>
      <c r="AK996" t="s">
        <v>3658</v>
      </c>
      <c r="AL996" t="s">
        <v>3319</v>
      </c>
    </row>
    <row r="997" spans="1:38" x14ac:dyDescent="0.35">
      <c r="A997" t="s">
        <v>3321</v>
      </c>
      <c r="B997" t="s">
        <v>581</v>
      </c>
      <c r="C997" t="s">
        <v>43</v>
      </c>
      <c r="D997" t="s">
        <v>667</v>
      </c>
      <c r="E997" t="s">
        <v>668</v>
      </c>
      <c r="F997" t="s">
        <v>146</v>
      </c>
      <c r="G997" t="s">
        <v>195</v>
      </c>
      <c r="H997">
        <v>9550</v>
      </c>
      <c r="I997">
        <f>Sales_Transactions_Raw[[#This Row],[Unit_Price]]*Sales_Transactions_Raw[[#This Row],[Quantity]]</f>
        <v>57300</v>
      </c>
      <c r="J997">
        <v>6</v>
      </c>
      <c r="K997">
        <v>15</v>
      </c>
      <c r="L997">
        <v>8595</v>
      </c>
      <c r="M997">
        <v>48705</v>
      </c>
      <c r="N997">
        <v>12</v>
      </c>
      <c r="O997">
        <v>5844.6</v>
      </c>
      <c r="P997">
        <v>0</v>
      </c>
      <c r="Q997">
        <v>54549.599999999999</v>
      </c>
      <c r="R997" t="s">
        <v>124</v>
      </c>
      <c r="S997" t="s">
        <v>65</v>
      </c>
      <c r="T997" t="s">
        <v>213</v>
      </c>
      <c r="U997" t="s">
        <v>50</v>
      </c>
      <c r="V997" t="s">
        <v>177</v>
      </c>
      <c r="W997" t="s">
        <v>81</v>
      </c>
      <c r="X997" t="s">
        <v>556</v>
      </c>
      <c r="Y997" t="s">
        <v>481</v>
      </c>
      <c r="Z997" t="s">
        <v>52</v>
      </c>
      <c r="AA997" t="s">
        <v>3323</v>
      </c>
      <c r="AB997" t="s">
        <v>3335</v>
      </c>
      <c r="AC997">
        <v>4</v>
      </c>
      <c r="AD997" t="s">
        <v>179</v>
      </c>
      <c r="AE997" t="s">
        <v>3336</v>
      </c>
      <c r="AF997" t="s">
        <v>140</v>
      </c>
      <c r="AG997" t="s">
        <v>58</v>
      </c>
      <c r="AH997" s="1">
        <v>44967</v>
      </c>
      <c r="AI997" s="1">
        <v>44968</v>
      </c>
      <c r="AJ997" s="1">
        <v>44971</v>
      </c>
      <c r="AK997" t="s">
        <v>3417</v>
      </c>
      <c r="AL997" t="s">
        <v>3322</v>
      </c>
    </row>
    <row r="998" spans="1:38" x14ac:dyDescent="0.35">
      <c r="A998" t="s">
        <v>3324</v>
      </c>
      <c r="B998" t="s">
        <v>691</v>
      </c>
      <c r="C998" t="s">
        <v>157</v>
      </c>
      <c r="D998" t="s">
        <v>426</v>
      </c>
      <c r="E998" t="s">
        <v>427</v>
      </c>
      <c r="F998" t="s">
        <v>134</v>
      </c>
      <c r="G998" t="s">
        <v>305</v>
      </c>
      <c r="H998">
        <v>49020</v>
      </c>
      <c r="I998">
        <f>Sales_Transactions_Raw[[#This Row],[Unit_Price]]*Sales_Transactions_Raw[[#This Row],[Quantity]]</f>
        <v>49020</v>
      </c>
      <c r="J998">
        <v>1</v>
      </c>
      <c r="K998">
        <v>15</v>
      </c>
      <c r="L998">
        <v>7353</v>
      </c>
      <c r="M998">
        <v>41667</v>
      </c>
      <c r="N998">
        <v>5</v>
      </c>
      <c r="O998">
        <v>2083.35</v>
      </c>
      <c r="P998">
        <v>0</v>
      </c>
      <c r="Q998">
        <v>43750.35</v>
      </c>
      <c r="R998" t="s">
        <v>79</v>
      </c>
      <c r="S998" t="s">
        <v>65</v>
      </c>
      <c r="T998" t="s">
        <v>136</v>
      </c>
      <c r="U998" t="s">
        <v>161</v>
      </c>
      <c r="V998" t="s">
        <v>67</v>
      </c>
      <c r="W998" t="s">
        <v>68</v>
      </c>
      <c r="X998" t="s">
        <v>126</v>
      </c>
      <c r="Y998" t="s">
        <v>127</v>
      </c>
      <c r="Z998" t="s">
        <v>68</v>
      </c>
      <c r="AA998" t="s">
        <v>3326</v>
      </c>
      <c r="AB998" t="s">
        <v>3339</v>
      </c>
      <c r="AC998">
        <v>5</v>
      </c>
      <c r="AD998" t="s">
        <v>56</v>
      </c>
      <c r="AE998" t="s">
        <v>3336</v>
      </c>
      <c r="AF998" t="s">
        <v>164</v>
      </c>
      <c r="AG998" t="s">
        <v>58</v>
      </c>
      <c r="AH998" s="1">
        <v>45000</v>
      </c>
      <c r="AI998" s="1">
        <v>45005</v>
      </c>
      <c r="AJ998" s="1">
        <v>45007</v>
      </c>
      <c r="AK998" t="s">
        <v>3440</v>
      </c>
      <c r="AL998" t="s">
        <v>3325</v>
      </c>
    </row>
    <row r="999" spans="1:38" x14ac:dyDescent="0.35">
      <c r="A999" t="s">
        <v>3327</v>
      </c>
      <c r="B999" t="s">
        <v>264</v>
      </c>
      <c r="C999" t="s">
        <v>89</v>
      </c>
      <c r="D999" t="s">
        <v>158</v>
      </c>
      <c r="E999" t="s">
        <v>159</v>
      </c>
      <c r="F999" t="s">
        <v>46</v>
      </c>
      <c r="G999" t="s">
        <v>105</v>
      </c>
      <c r="H999">
        <v>49980</v>
      </c>
      <c r="I999">
        <f>Sales_Transactions_Raw[[#This Row],[Unit_Price]]*Sales_Transactions_Raw[[#This Row],[Quantity]]</f>
        <v>149940</v>
      </c>
      <c r="J999">
        <v>3</v>
      </c>
      <c r="K999">
        <v>0</v>
      </c>
      <c r="L999">
        <v>0</v>
      </c>
      <c r="M999">
        <v>149940</v>
      </c>
      <c r="N999">
        <v>18</v>
      </c>
      <c r="O999">
        <v>26989.200000000001</v>
      </c>
      <c r="P999">
        <v>0</v>
      </c>
      <c r="Q999">
        <v>176929.2</v>
      </c>
      <c r="R999" t="s">
        <v>160</v>
      </c>
      <c r="S999" t="s">
        <v>125</v>
      </c>
      <c r="T999" t="s">
        <v>719</v>
      </c>
      <c r="U999" t="s">
        <v>50</v>
      </c>
      <c r="V999" t="s">
        <v>94</v>
      </c>
      <c r="W999" t="s">
        <v>95</v>
      </c>
      <c r="X999" t="s">
        <v>117</v>
      </c>
      <c r="Y999" t="s">
        <v>118</v>
      </c>
      <c r="Z999" t="s">
        <v>70</v>
      </c>
      <c r="AB999" t="s">
        <v>3335</v>
      </c>
      <c r="AC999">
        <v>3</v>
      </c>
      <c r="AD999" t="s">
        <v>56</v>
      </c>
      <c r="AE999" t="s">
        <v>3336</v>
      </c>
      <c r="AF999" t="s">
        <v>72</v>
      </c>
      <c r="AG999" t="s">
        <v>58</v>
      </c>
      <c r="AH999" s="1">
        <v>45080</v>
      </c>
      <c r="AI999" s="1">
        <v>45086</v>
      </c>
      <c r="AJ999" s="1">
        <v>45090</v>
      </c>
      <c r="AK999" t="s">
        <v>3526</v>
      </c>
      <c r="AL999" t="s">
        <v>3328</v>
      </c>
    </row>
    <row r="1000" spans="1:38" x14ac:dyDescent="0.35">
      <c r="A1000" t="s">
        <v>3329</v>
      </c>
      <c r="B1000" t="s">
        <v>549</v>
      </c>
      <c r="C1000" t="s">
        <v>43</v>
      </c>
      <c r="D1000" t="s">
        <v>132</v>
      </c>
      <c r="E1000" t="s">
        <v>133</v>
      </c>
      <c r="F1000" t="s">
        <v>134</v>
      </c>
      <c r="G1000" t="s">
        <v>135</v>
      </c>
      <c r="H1000">
        <v>2720</v>
      </c>
      <c r="I1000">
        <f>Sales_Transactions_Raw[[#This Row],[Unit_Price]]*Sales_Transactions_Raw[[#This Row],[Quantity]]</f>
        <v>5440</v>
      </c>
      <c r="J1000">
        <v>2</v>
      </c>
      <c r="K1000">
        <v>10</v>
      </c>
      <c r="L1000">
        <v>544</v>
      </c>
      <c r="M1000">
        <v>4896</v>
      </c>
      <c r="N1000">
        <v>5</v>
      </c>
      <c r="O1000">
        <v>244.8</v>
      </c>
      <c r="P1000">
        <v>0</v>
      </c>
      <c r="Q1000">
        <v>5140.8</v>
      </c>
      <c r="R1000" t="s">
        <v>79</v>
      </c>
      <c r="S1000" t="s">
        <v>49</v>
      </c>
      <c r="T1000" t="s">
        <v>115</v>
      </c>
      <c r="U1000" t="s">
        <v>214</v>
      </c>
      <c r="V1000" t="s">
        <v>51</v>
      </c>
      <c r="W1000" t="s">
        <v>52</v>
      </c>
      <c r="X1000" t="s">
        <v>578</v>
      </c>
      <c r="Y1000" t="s">
        <v>54</v>
      </c>
      <c r="Z1000" t="s">
        <v>70</v>
      </c>
      <c r="AA1000" t="s">
        <v>3331</v>
      </c>
      <c r="AB1000" t="s">
        <v>3339</v>
      </c>
      <c r="AC1000">
        <v>4</v>
      </c>
      <c r="AD1000" t="s">
        <v>56</v>
      </c>
      <c r="AE1000" t="s">
        <v>3336</v>
      </c>
      <c r="AF1000" t="s">
        <v>227</v>
      </c>
      <c r="AG1000" t="s">
        <v>58</v>
      </c>
      <c r="AH1000" s="1">
        <v>45310</v>
      </c>
      <c r="AI1000" s="1">
        <v>45312</v>
      </c>
      <c r="AJ1000" s="1">
        <v>45317</v>
      </c>
      <c r="AK1000" t="s">
        <v>3542</v>
      </c>
      <c r="AL1000" t="s">
        <v>3330</v>
      </c>
    </row>
    <row r="1001" spans="1:38" x14ac:dyDescent="0.35">
      <c r="A1001" t="s">
        <v>3332</v>
      </c>
      <c r="B1001" t="s">
        <v>656</v>
      </c>
      <c r="C1001" t="s">
        <v>157</v>
      </c>
      <c r="D1001" t="s">
        <v>335</v>
      </c>
      <c r="E1001" t="s">
        <v>336</v>
      </c>
      <c r="F1001" t="s">
        <v>134</v>
      </c>
      <c r="G1001" t="s">
        <v>135</v>
      </c>
      <c r="H1001">
        <v>9400</v>
      </c>
      <c r="I1001">
        <f>Sales_Transactions_Raw[[#This Row],[Unit_Price]]*Sales_Transactions_Raw[[#This Row],[Quantity]]</f>
        <v>37600</v>
      </c>
      <c r="J1001">
        <v>4</v>
      </c>
      <c r="K1001">
        <v>5</v>
      </c>
      <c r="L1001">
        <v>1880</v>
      </c>
      <c r="M1001">
        <v>35720</v>
      </c>
      <c r="N1001">
        <v>5</v>
      </c>
      <c r="O1001">
        <v>1786</v>
      </c>
      <c r="P1001">
        <v>0</v>
      </c>
      <c r="Q1001">
        <v>37506</v>
      </c>
      <c r="R1001" t="s">
        <v>160</v>
      </c>
      <c r="S1001" t="s">
        <v>125</v>
      </c>
      <c r="T1001" t="s">
        <v>136</v>
      </c>
      <c r="U1001" t="s">
        <v>196</v>
      </c>
      <c r="V1001" t="s">
        <v>177</v>
      </c>
      <c r="W1001" t="s">
        <v>81</v>
      </c>
      <c r="X1001" t="s">
        <v>232</v>
      </c>
      <c r="Y1001" t="s">
        <v>82</v>
      </c>
      <c r="Z1001" t="s">
        <v>52</v>
      </c>
      <c r="AA1001" t="s">
        <v>3334</v>
      </c>
      <c r="AB1001" t="s">
        <v>3344</v>
      </c>
      <c r="AC1001">
        <v>4</v>
      </c>
      <c r="AD1001" t="s">
        <v>56</v>
      </c>
      <c r="AE1001" t="s">
        <v>3336</v>
      </c>
      <c r="AF1001" t="s">
        <v>217</v>
      </c>
      <c r="AG1001" t="s">
        <v>111</v>
      </c>
      <c r="AH1001" s="1">
        <v>44998</v>
      </c>
      <c r="AI1001" s="1">
        <v>45004</v>
      </c>
      <c r="AJ1001" s="1">
        <v>45006</v>
      </c>
      <c r="AK1001" t="s">
        <v>3433</v>
      </c>
      <c r="AL1001" t="s">
        <v>3333</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3212F-5698-4958-BD44-A1C3CB0229B8}">
  <dimension ref="F3:I7"/>
  <sheetViews>
    <sheetView workbookViewId="0">
      <selection activeCell="F3" sqref="F3"/>
    </sheetView>
  </sheetViews>
  <sheetFormatPr defaultRowHeight="14.5" x14ac:dyDescent="0.35"/>
  <cols>
    <col min="8" max="8" width="11.81640625" bestFit="1" customWidth="1"/>
  </cols>
  <sheetData>
    <row r="3" spans="6:9" x14ac:dyDescent="0.35">
      <c r="F3">
        <f>Sales_Transactions_Raw!H2*Sales_Transactions_Raw!J2</f>
        <v>81690</v>
      </c>
      <c r="H3">
        <f>Sales_Transactions_Raw!M2*Sales_Transactions_Raw!N2</f>
        <v>1396899</v>
      </c>
    </row>
    <row r="4" spans="6:9" x14ac:dyDescent="0.35">
      <c r="F4">
        <f>F3*5%</f>
        <v>4084.5</v>
      </c>
      <c r="I4">
        <f>H3+Sales_Transactions_Raw!M2</f>
        <v>1474504.5</v>
      </c>
    </row>
    <row r="5" spans="6:9" x14ac:dyDescent="0.35">
      <c r="F5">
        <f>F3-F4</f>
        <v>77605.5</v>
      </c>
    </row>
    <row r="7" spans="6:9" x14ac:dyDescent="0.35">
      <c r="G7">
        <f>(Sales_Transactions_Raw!H2*Sales_Transactions_Raw!J2)-Sales_Transactions_Raw!K2</f>
        <v>81685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BADCC-FE09-4C04-8B58-8CBC463D4A54}">
  <dimension ref="B2:H11"/>
  <sheetViews>
    <sheetView workbookViewId="0">
      <selection activeCell="E12" sqref="E12"/>
    </sheetView>
  </sheetViews>
  <sheetFormatPr defaultRowHeight="14.5" x14ac:dyDescent="0.35"/>
  <cols>
    <col min="4" max="4" width="12.453125" customWidth="1"/>
    <col min="5" max="5" width="8.7265625" customWidth="1"/>
    <col min="8" max="8" width="11.81640625" bestFit="1" customWidth="1"/>
  </cols>
  <sheetData>
    <row r="2" spans="2:8" x14ac:dyDescent="0.35">
      <c r="B2" t="s">
        <v>0</v>
      </c>
      <c r="C2" t="s">
        <v>1</v>
      </c>
      <c r="D2" t="s">
        <v>6</v>
      </c>
    </row>
    <row r="3" spans="2:8" x14ac:dyDescent="0.35">
      <c r="C3" t="s">
        <v>2</v>
      </c>
      <c r="D3" t="s">
        <v>4</v>
      </c>
      <c r="E3" t="s">
        <v>5</v>
      </c>
    </row>
    <row r="4" spans="2:8" x14ac:dyDescent="0.35">
      <c r="C4" t="s">
        <v>3</v>
      </c>
      <c r="D4" t="s">
        <v>7</v>
      </c>
    </row>
    <row r="5" spans="2:8" x14ac:dyDescent="0.35">
      <c r="H5">
        <f>Sales_Transactions_Raw!H2*Sales_Transactions_Raw!J2*Sales_Transactions_Raw!K2</f>
        <v>408450</v>
      </c>
    </row>
    <row r="11" spans="2:8" x14ac:dyDescent="0.35">
      <c r="H11" s="2" t="s">
        <v>3731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20CB9E-873E-4EE3-981F-9971A4C527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Report</vt:lpstr>
      <vt:lpstr>KPIs</vt:lpstr>
      <vt:lpstr>Month wise sales</vt:lpstr>
      <vt:lpstr>Category sales</vt:lpstr>
      <vt:lpstr>Saleschan(Sales)</vt:lpstr>
      <vt:lpstr>Payment method</vt:lpstr>
      <vt:lpstr>Regionwise</vt:lpstr>
      <vt:lpstr>Sales_Transactions_Raw</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roshana waghmore</dc:creator>
  <cp:lastModifiedBy>roshana waghmore</cp:lastModifiedBy>
  <dcterms:created xsi:type="dcterms:W3CDTF">2026-06-16T07:36:21Z</dcterms:created>
  <dcterms:modified xsi:type="dcterms:W3CDTF">2026-09-07T04:54:09Z</dcterms:modified>
</cp:coreProperties>
</file>